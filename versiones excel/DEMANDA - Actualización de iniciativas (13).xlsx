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updateLinks="always"/>
  <mc:AlternateContent xmlns:mc="http://schemas.openxmlformats.org/markup-compatibility/2006">
    <mc:Choice Requires="x15">
      <x15ac:absPath xmlns:x15ac="http://schemas.microsoft.com/office/spreadsheetml/2010/11/ac" url="https://educorpperu.sharepoint.com/sites/Repositorio_EquipoCentral/dit/portafoliosyp/Documentos compartidos/PMO/Demanda/"/>
    </mc:Choice>
  </mc:AlternateContent>
  <xr:revisionPtr revIDLastSave="0" documentId="8_{8A88361C-C4ED-444D-9CED-09BFA0833F8C}" xr6:coauthVersionLast="47" xr6:coauthVersionMax="47" xr10:uidLastSave="{00000000-0000-0000-0000-000000000000}"/>
  <bookViews>
    <workbookView xWindow="28680" yWindow="-120" windowWidth="19440" windowHeight="14880" tabRatio="790" firstSheet="3" activeTab="12" xr2:uid="{00000000-000D-0000-FFFF-FFFF00000000}"/>
  </bookViews>
  <sheets>
    <sheet name="Data maestra" sheetId="35" state="hidden" r:id="rId1"/>
    <sheet name="BD" sheetId="1" r:id="rId2"/>
    <sheet name="Registro incompleto" sheetId="30" r:id="rId3"/>
    <sheet name="Por estimar" sheetId="19" r:id="rId4"/>
    <sheet name="Por aprobar estimacion" sheetId="29" r:id="rId5"/>
    <sheet name="Priorización BRM" sheetId="22" state="hidden" r:id="rId6"/>
    <sheet name="Backup 1902 1025" sheetId="13" state="hidden" r:id="rId7"/>
    <sheet name="Por confirmar" sheetId="6" state="hidden" r:id="rId8"/>
    <sheet name="Forms" sheetId="4" state="hidden" r:id="rId9"/>
    <sheet name="Criterios Prioriz" sheetId="2" state="hidden" r:id="rId10"/>
    <sheet name="Hoja1" sheetId="5" state="hidden" r:id="rId11"/>
    <sheet name="Tipo de cambio" sheetId="25" state="hidden" r:id="rId12"/>
    <sheet name="Por habilitar presup." sheetId="31" r:id="rId13"/>
    <sheet name="Por planificar" sheetId="24" r:id="rId14"/>
    <sheet name="Sheet1" sheetId="26" state="hidden" r:id="rId15"/>
    <sheet name="Aprobar Planificación" sheetId="32" r:id="rId16"/>
    <sheet name="Planificadas" sheetId="33" r:id="rId17"/>
    <sheet name="Eliminados" sheetId="34" r:id="rId18"/>
  </sheets>
  <externalReferences>
    <externalReference r:id="rId19"/>
  </externalReferences>
  <definedNames>
    <definedName name="_xlnm._FilterDatabase" localSheetId="15" hidden="1">'Aprobar Planificación'!$A$1:$AW$1</definedName>
    <definedName name="_xlnm._FilterDatabase" localSheetId="1" hidden="1">BD!$A$1:$DU$100</definedName>
    <definedName name="_xlnm._FilterDatabase" localSheetId="17" hidden="1">Eliminados!$A$1:$FD$13</definedName>
    <definedName name="_xlnm._FilterDatabase" localSheetId="16" hidden="1">Planificadas!$A$1:$FH$57</definedName>
    <definedName name="_xlnm._FilterDatabase" localSheetId="4" hidden="1">'Por aprobar estimacion'!$A$1:$AR$8</definedName>
    <definedName name="_xlnm._FilterDatabase" localSheetId="12" hidden="1">'Por habilitar presup.'!$A$1:$AS$12</definedName>
    <definedName name="_xlnm._FilterDatabase" localSheetId="13" hidden="1">'Por planificar'!$A$1:$AV$3</definedName>
    <definedName name="_xlnm._FilterDatabase" localSheetId="5" hidden="1">'Priorización BRM'!$A$1:$AR$30</definedName>
    <definedName name="_xlnm._FilterDatabase" localSheetId="3" hidden="1">'Por estimar'!$A$1:$AP$49</definedName>
    <definedName name="ComplejidadEstimación">Sheet1!$B$3:$B$5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8" i="19" l="1"/>
  <c r="AG49" i="19"/>
  <c r="AG46" i="19"/>
  <c r="AG47" i="19"/>
  <c r="AG45" i="19"/>
  <c r="AG44" i="19"/>
  <c r="AG42" i="19"/>
  <c r="AG41" i="19"/>
  <c r="AG38" i="19"/>
  <c r="AG39" i="19"/>
  <c r="AG40" i="19"/>
  <c r="AG36" i="19"/>
  <c r="AG37" i="19"/>
  <c r="AG31" i="19"/>
  <c r="AG32" i="19"/>
  <c r="AG33" i="19"/>
  <c r="AG34" i="19"/>
  <c r="AG35" i="19"/>
  <c r="AG30" i="19"/>
  <c r="AG29" i="19"/>
  <c r="AG24" i="19"/>
  <c r="AG25" i="19"/>
  <c r="AG23" i="19"/>
  <c r="AG21" i="19"/>
  <c r="AG18" i="19"/>
  <c r="AG19" i="19"/>
  <c r="AG20" i="19"/>
  <c r="AG17" i="19"/>
  <c r="AG15" i="19"/>
  <c r="AG12" i="19"/>
  <c r="AG11" i="19"/>
  <c r="AG2" i="19"/>
  <c r="AG3" i="19"/>
  <c r="A163" i="1" l="1"/>
  <c r="B163" i="1"/>
  <c r="C163" i="1"/>
  <c r="D163" i="1"/>
  <c r="E163" i="1"/>
  <c r="F163" i="1"/>
  <c r="G163" i="1"/>
  <c r="H163" i="1"/>
  <c r="I163" i="1"/>
  <c r="J163" i="1"/>
  <c r="K163" i="1"/>
  <c r="L163" i="1"/>
  <c r="M163" i="1"/>
  <c r="N163" i="1"/>
  <c r="O163" i="1"/>
  <c r="P163" i="1"/>
  <c r="Q163" i="1"/>
  <c r="R163" i="1"/>
  <c r="S163" i="1"/>
  <c r="T163" i="1"/>
  <c r="U163" i="1"/>
  <c r="V163" i="1"/>
  <c r="W163" i="1"/>
  <c r="X163" i="1"/>
  <c r="Y163" i="1"/>
  <c r="Z163" i="1"/>
  <c r="AA163" i="1"/>
  <c r="A164" i="1"/>
  <c r="B164" i="1"/>
  <c r="C164" i="1"/>
  <c r="D164" i="1"/>
  <c r="E164" i="1"/>
  <c r="F164" i="1"/>
  <c r="G164" i="1"/>
  <c r="H164" i="1"/>
  <c r="I164" i="1"/>
  <c r="J164" i="1"/>
  <c r="K164" i="1"/>
  <c r="L164" i="1"/>
  <c r="M164" i="1"/>
  <c r="N164" i="1"/>
  <c r="O164" i="1"/>
  <c r="P164" i="1"/>
  <c r="Q164" i="1"/>
  <c r="R164" i="1"/>
  <c r="S164" i="1"/>
  <c r="T164" i="1"/>
  <c r="U164" i="1"/>
  <c r="V164" i="1"/>
  <c r="W164" i="1"/>
  <c r="X164" i="1"/>
  <c r="Y164" i="1"/>
  <c r="Z164" i="1"/>
  <c r="AA164" i="1"/>
  <c r="A165" i="1"/>
  <c r="B165" i="1"/>
  <c r="C165" i="1"/>
  <c r="D165" i="1"/>
  <c r="E165" i="1"/>
  <c r="F165" i="1"/>
  <c r="G165" i="1"/>
  <c r="H165" i="1"/>
  <c r="I165" i="1"/>
  <c r="J165" i="1"/>
  <c r="K165" i="1"/>
  <c r="L165" i="1"/>
  <c r="M165" i="1"/>
  <c r="N165" i="1"/>
  <c r="O165" i="1"/>
  <c r="P165" i="1"/>
  <c r="Q165" i="1"/>
  <c r="R165" i="1"/>
  <c r="S165" i="1"/>
  <c r="T165" i="1"/>
  <c r="U165" i="1"/>
  <c r="V165" i="1"/>
  <c r="W165" i="1"/>
  <c r="X165" i="1"/>
  <c r="Y165" i="1"/>
  <c r="Z165" i="1"/>
  <c r="AA165" i="1"/>
  <c r="A166" i="1"/>
  <c r="B166" i="1"/>
  <c r="C166" i="1"/>
  <c r="D166" i="1"/>
  <c r="E166" i="1"/>
  <c r="F166" i="1"/>
  <c r="G166" i="1"/>
  <c r="H166" i="1"/>
  <c r="I166" i="1"/>
  <c r="J166" i="1"/>
  <c r="K166" i="1"/>
  <c r="L166" i="1"/>
  <c r="M166" i="1"/>
  <c r="N166" i="1"/>
  <c r="O166" i="1"/>
  <c r="P166" i="1"/>
  <c r="Q166" i="1"/>
  <c r="R166" i="1"/>
  <c r="S166" i="1"/>
  <c r="T166" i="1"/>
  <c r="U166" i="1"/>
  <c r="V166" i="1"/>
  <c r="W166" i="1"/>
  <c r="X166" i="1"/>
  <c r="Y166" i="1"/>
  <c r="Z166" i="1"/>
  <c r="AA166" i="1"/>
  <c r="A167" i="1"/>
  <c r="B167" i="1"/>
  <c r="C167" i="1"/>
  <c r="D167" i="1"/>
  <c r="E167" i="1"/>
  <c r="F167" i="1"/>
  <c r="G167" i="1"/>
  <c r="H167" i="1"/>
  <c r="I167" i="1"/>
  <c r="J167" i="1"/>
  <c r="K167" i="1"/>
  <c r="L167" i="1"/>
  <c r="M167" i="1"/>
  <c r="N167" i="1"/>
  <c r="O167" i="1"/>
  <c r="P167" i="1"/>
  <c r="Q167" i="1"/>
  <c r="R167" i="1"/>
  <c r="S167" i="1"/>
  <c r="T167" i="1"/>
  <c r="U167" i="1"/>
  <c r="V167" i="1"/>
  <c r="W167" i="1"/>
  <c r="X167" i="1"/>
  <c r="Y167" i="1"/>
  <c r="Z167" i="1"/>
  <c r="AA167" i="1"/>
  <c r="A168" i="1"/>
  <c r="B168" i="1"/>
  <c r="C168" i="1"/>
  <c r="D168" i="1"/>
  <c r="E168" i="1"/>
  <c r="F168" i="1"/>
  <c r="G168" i="1"/>
  <c r="H168" i="1"/>
  <c r="I168" i="1"/>
  <c r="J168" i="1"/>
  <c r="K168" i="1"/>
  <c r="L168" i="1"/>
  <c r="M168" i="1"/>
  <c r="N168" i="1"/>
  <c r="O168" i="1"/>
  <c r="P168" i="1"/>
  <c r="Q168" i="1"/>
  <c r="R168" i="1"/>
  <c r="S168" i="1"/>
  <c r="T168" i="1"/>
  <c r="U168" i="1"/>
  <c r="V168" i="1"/>
  <c r="W168" i="1"/>
  <c r="X168" i="1"/>
  <c r="Y168" i="1"/>
  <c r="Z168" i="1"/>
  <c r="AA168" i="1"/>
  <c r="A169" i="1"/>
  <c r="B169" i="1"/>
  <c r="C169" i="1"/>
  <c r="D169" i="1"/>
  <c r="E169" i="1"/>
  <c r="F169" i="1"/>
  <c r="G169" i="1"/>
  <c r="H169" i="1"/>
  <c r="I169" i="1"/>
  <c r="J169" i="1"/>
  <c r="K169" i="1"/>
  <c r="L169" i="1"/>
  <c r="M169" i="1"/>
  <c r="N169" i="1"/>
  <c r="O169" i="1"/>
  <c r="P169" i="1"/>
  <c r="Q169" i="1"/>
  <c r="R169" i="1"/>
  <c r="S169" i="1"/>
  <c r="T169" i="1"/>
  <c r="U169" i="1"/>
  <c r="V169" i="1"/>
  <c r="W169" i="1"/>
  <c r="X169" i="1"/>
  <c r="Y169" i="1"/>
  <c r="Z169" i="1"/>
  <c r="AA169" i="1"/>
  <c r="A170" i="1"/>
  <c r="B170" i="1"/>
  <c r="C170" i="1"/>
  <c r="D170" i="1"/>
  <c r="E170" i="1"/>
  <c r="F170" i="1"/>
  <c r="G170" i="1"/>
  <c r="H170" i="1"/>
  <c r="I170" i="1"/>
  <c r="J170" i="1"/>
  <c r="K170" i="1"/>
  <c r="L170" i="1"/>
  <c r="M170" i="1"/>
  <c r="N170" i="1"/>
  <c r="O170" i="1"/>
  <c r="P170" i="1"/>
  <c r="Q170" i="1"/>
  <c r="R170" i="1"/>
  <c r="S170" i="1"/>
  <c r="T170" i="1"/>
  <c r="U170" i="1"/>
  <c r="V170" i="1"/>
  <c r="W170" i="1"/>
  <c r="X170" i="1"/>
  <c r="Y170" i="1"/>
  <c r="Z170" i="1"/>
  <c r="AA170" i="1"/>
  <c r="A171" i="1"/>
  <c r="B171" i="1"/>
  <c r="C171" i="1"/>
  <c r="D171" i="1"/>
  <c r="E171" i="1"/>
  <c r="F171" i="1"/>
  <c r="G171" i="1"/>
  <c r="H171" i="1"/>
  <c r="I171" i="1"/>
  <c r="J171" i="1"/>
  <c r="K171" i="1"/>
  <c r="L171" i="1"/>
  <c r="M171" i="1"/>
  <c r="N171" i="1"/>
  <c r="O171" i="1"/>
  <c r="P171" i="1"/>
  <c r="Q171" i="1"/>
  <c r="R171" i="1"/>
  <c r="S171" i="1"/>
  <c r="T171" i="1"/>
  <c r="U171" i="1"/>
  <c r="V171" i="1"/>
  <c r="W171" i="1"/>
  <c r="X171" i="1"/>
  <c r="Y171" i="1"/>
  <c r="Z171" i="1"/>
  <c r="AA171" i="1"/>
  <c r="A172" i="1"/>
  <c r="B172" i="1"/>
  <c r="C172" i="1"/>
  <c r="D172" i="1"/>
  <c r="E172" i="1"/>
  <c r="F172" i="1"/>
  <c r="G172" i="1"/>
  <c r="H172" i="1"/>
  <c r="I172" i="1"/>
  <c r="J172" i="1"/>
  <c r="K172" i="1"/>
  <c r="L172" i="1"/>
  <c r="M172" i="1"/>
  <c r="N172" i="1"/>
  <c r="O172" i="1"/>
  <c r="P172" i="1"/>
  <c r="Q172" i="1"/>
  <c r="R172" i="1"/>
  <c r="S172" i="1"/>
  <c r="T172" i="1"/>
  <c r="U172" i="1"/>
  <c r="V172" i="1"/>
  <c r="W172" i="1"/>
  <c r="X172" i="1"/>
  <c r="Y172" i="1"/>
  <c r="Z172" i="1"/>
  <c r="AA172" i="1"/>
  <c r="A173" i="1"/>
  <c r="B173" i="1"/>
  <c r="C173" i="1"/>
  <c r="D173" i="1"/>
  <c r="E173" i="1"/>
  <c r="F173" i="1"/>
  <c r="G173" i="1"/>
  <c r="H173" i="1"/>
  <c r="I173" i="1"/>
  <c r="J173" i="1"/>
  <c r="K173" i="1"/>
  <c r="L173" i="1"/>
  <c r="M173" i="1"/>
  <c r="N173" i="1"/>
  <c r="O173" i="1"/>
  <c r="P173" i="1"/>
  <c r="Q173" i="1"/>
  <c r="R173" i="1"/>
  <c r="S173" i="1"/>
  <c r="T173" i="1"/>
  <c r="U173" i="1"/>
  <c r="V173" i="1"/>
  <c r="W173" i="1"/>
  <c r="X173" i="1"/>
  <c r="Y173" i="1"/>
  <c r="Z173" i="1"/>
  <c r="AA173" i="1"/>
  <c r="A174" i="1"/>
  <c r="B174" i="1"/>
  <c r="C174" i="1"/>
  <c r="D174" i="1"/>
  <c r="E174" i="1"/>
  <c r="F174" i="1"/>
  <c r="G174" i="1"/>
  <c r="H174" i="1"/>
  <c r="I174" i="1"/>
  <c r="J174" i="1"/>
  <c r="K174" i="1"/>
  <c r="L174" i="1"/>
  <c r="M174" i="1"/>
  <c r="N174" i="1"/>
  <c r="O174" i="1"/>
  <c r="P174" i="1"/>
  <c r="Q174" i="1"/>
  <c r="R174" i="1"/>
  <c r="S174" i="1"/>
  <c r="T174" i="1"/>
  <c r="U174" i="1"/>
  <c r="V174" i="1"/>
  <c r="W174" i="1"/>
  <c r="X174" i="1"/>
  <c r="Y174" i="1"/>
  <c r="Z174" i="1"/>
  <c r="AA174" i="1"/>
  <c r="A175" i="1"/>
  <c r="B175" i="1"/>
  <c r="C175" i="1"/>
  <c r="D175" i="1"/>
  <c r="E175" i="1"/>
  <c r="F175" i="1"/>
  <c r="G175" i="1"/>
  <c r="H175" i="1"/>
  <c r="I175" i="1"/>
  <c r="J175" i="1"/>
  <c r="K175" i="1"/>
  <c r="L175" i="1"/>
  <c r="M175" i="1"/>
  <c r="N175" i="1"/>
  <c r="O175" i="1"/>
  <c r="P175" i="1"/>
  <c r="Q175" i="1"/>
  <c r="R175" i="1"/>
  <c r="S175" i="1"/>
  <c r="T175" i="1"/>
  <c r="U175" i="1"/>
  <c r="V175" i="1"/>
  <c r="W175" i="1"/>
  <c r="X175" i="1"/>
  <c r="Y175" i="1"/>
  <c r="Z175" i="1"/>
  <c r="AA175" i="1"/>
  <c r="A176" i="1"/>
  <c r="B176" i="1"/>
  <c r="C176" i="1"/>
  <c r="D176" i="1"/>
  <c r="E176" i="1"/>
  <c r="F176" i="1"/>
  <c r="G176" i="1"/>
  <c r="H176" i="1"/>
  <c r="I176" i="1"/>
  <c r="J176" i="1"/>
  <c r="K176" i="1"/>
  <c r="L176" i="1"/>
  <c r="M176" i="1"/>
  <c r="N176" i="1"/>
  <c r="O176" i="1"/>
  <c r="P176" i="1"/>
  <c r="Q176" i="1"/>
  <c r="R176" i="1"/>
  <c r="S176" i="1"/>
  <c r="T176" i="1"/>
  <c r="U176" i="1"/>
  <c r="V176" i="1"/>
  <c r="W176" i="1"/>
  <c r="X176" i="1"/>
  <c r="Y176" i="1"/>
  <c r="Z176" i="1"/>
  <c r="AA176" i="1"/>
  <c r="A177" i="1"/>
  <c r="B177" i="1"/>
  <c r="C177" i="1"/>
  <c r="D177" i="1"/>
  <c r="E177" i="1"/>
  <c r="F177" i="1"/>
  <c r="G177" i="1"/>
  <c r="H177" i="1"/>
  <c r="I177" i="1"/>
  <c r="J177" i="1"/>
  <c r="K177" i="1"/>
  <c r="L177" i="1"/>
  <c r="M177" i="1"/>
  <c r="N177" i="1"/>
  <c r="O177" i="1"/>
  <c r="P177" i="1"/>
  <c r="Q177" i="1"/>
  <c r="R177" i="1"/>
  <c r="S177" i="1"/>
  <c r="T177" i="1"/>
  <c r="U177" i="1"/>
  <c r="V177" i="1"/>
  <c r="W177" i="1"/>
  <c r="X177" i="1"/>
  <c r="Y177" i="1"/>
  <c r="Z177" i="1"/>
  <c r="AA177" i="1"/>
  <c r="A178" i="1"/>
  <c r="B178" i="1"/>
  <c r="C178" i="1"/>
  <c r="D178" i="1"/>
  <c r="E178" i="1"/>
  <c r="F178" i="1"/>
  <c r="G178" i="1"/>
  <c r="H178" i="1"/>
  <c r="I178" i="1"/>
  <c r="J178" i="1"/>
  <c r="K178" i="1"/>
  <c r="L178" i="1"/>
  <c r="M178" i="1"/>
  <c r="N178" i="1"/>
  <c r="O178" i="1"/>
  <c r="P178" i="1"/>
  <c r="Q178" i="1"/>
  <c r="R178" i="1"/>
  <c r="S178" i="1"/>
  <c r="T178" i="1"/>
  <c r="U178" i="1"/>
  <c r="V178" i="1"/>
  <c r="W178" i="1"/>
  <c r="X178" i="1"/>
  <c r="Y178" i="1"/>
  <c r="Z178" i="1"/>
  <c r="AA178" i="1"/>
  <c r="A179" i="1"/>
  <c r="B179" i="1"/>
  <c r="C179" i="1"/>
  <c r="D179" i="1"/>
  <c r="E179" i="1"/>
  <c r="F179" i="1"/>
  <c r="G179" i="1"/>
  <c r="H179" i="1"/>
  <c r="I179" i="1"/>
  <c r="J179" i="1"/>
  <c r="K179" i="1"/>
  <c r="L179" i="1"/>
  <c r="M179" i="1"/>
  <c r="N179" i="1"/>
  <c r="O179" i="1"/>
  <c r="P179" i="1"/>
  <c r="Q179" i="1"/>
  <c r="R179" i="1"/>
  <c r="S179" i="1"/>
  <c r="T179" i="1"/>
  <c r="U179" i="1"/>
  <c r="V179" i="1"/>
  <c r="W179" i="1"/>
  <c r="X179" i="1"/>
  <c r="Y179" i="1"/>
  <c r="Z179" i="1"/>
  <c r="AA179" i="1"/>
  <c r="A180" i="1"/>
  <c r="B180" i="1"/>
  <c r="C180" i="1"/>
  <c r="D180" i="1"/>
  <c r="E180" i="1"/>
  <c r="F180" i="1"/>
  <c r="G180" i="1"/>
  <c r="H180" i="1"/>
  <c r="I180" i="1"/>
  <c r="J180" i="1"/>
  <c r="K180" i="1"/>
  <c r="L180" i="1"/>
  <c r="M180" i="1"/>
  <c r="N180" i="1"/>
  <c r="O180" i="1"/>
  <c r="P180" i="1"/>
  <c r="Q180" i="1"/>
  <c r="R180" i="1"/>
  <c r="S180" i="1"/>
  <c r="T180" i="1"/>
  <c r="U180" i="1"/>
  <c r="V180" i="1"/>
  <c r="W180" i="1"/>
  <c r="X180" i="1"/>
  <c r="Y180" i="1"/>
  <c r="Z180" i="1"/>
  <c r="AA180" i="1"/>
  <c r="A181" i="1"/>
  <c r="B181" i="1"/>
  <c r="C181" i="1"/>
  <c r="D181" i="1"/>
  <c r="E181" i="1"/>
  <c r="F181" i="1"/>
  <c r="G181" i="1"/>
  <c r="H181" i="1"/>
  <c r="I181" i="1"/>
  <c r="J181" i="1"/>
  <c r="K181" i="1"/>
  <c r="L181" i="1"/>
  <c r="M181" i="1"/>
  <c r="N181" i="1"/>
  <c r="O181" i="1"/>
  <c r="P181" i="1"/>
  <c r="Q181" i="1"/>
  <c r="R181" i="1"/>
  <c r="S181" i="1"/>
  <c r="T181" i="1"/>
  <c r="U181" i="1"/>
  <c r="V181" i="1"/>
  <c r="W181" i="1"/>
  <c r="X181" i="1"/>
  <c r="Y181" i="1"/>
  <c r="Z181" i="1"/>
  <c r="AA181" i="1"/>
  <c r="A182" i="1"/>
  <c r="B182" i="1"/>
  <c r="C182" i="1"/>
  <c r="D182" i="1"/>
  <c r="E182" i="1"/>
  <c r="F182" i="1"/>
  <c r="G182" i="1"/>
  <c r="H182" i="1"/>
  <c r="I182" i="1"/>
  <c r="J182" i="1"/>
  <c r="K182" i="1"/>
  <c r="L182" i="1"/>
  <c r="M182" i="1"/>
  <c r="N182" i="1"/>
  <c r="O182" i="1"/>
  <c r="P182" i="1"/>
  <c r="Q182" i="1"/>
  <c r="R182" i="1"/>
  <c r="S182" i="1"/>
  <c r="T182" i="1"/>
  <c r="U182" i="1"/>
  <c r="V182" i="1"/>
  <c r="W182" i="1"/>
  <c r="X182" i="1"/>
  <c r="Y182" i="1"/>
  <c r="Z182" i="1"/>
  <c r="AA182" i="1"/>
  <c r="A183" i="1"/>
  <c r="B183" i="1"/>
  <c r="C183" i="1"/>
  <c r="D183" i="1"/>
  <c r="E183" i="1"/>
  <c r="F183" i="1"/>
  <c r="G183" i="1"/>
  <c r="H183" i="1"/>
  <c r="I183" i="1"/>
  <c r="J183" i="1"/>
  <c r="K183" i="1"/>
  <c r="L183" i="1"/>
  <c r="M183" i="1"/>
  <c r="N183" i="1"/>
  <c r="O183" i="1"/>
  <c r="P183" i="1"/>
  <c r="Q183" i="1"/>
  <c r="R183" i="1"/>
  <c r="S183" i="1"/>
  <c r="T183" i="1"/>
  <c r="U183" i="1"/>
  <c r="V183" i="1"/>
  <c r="W183" i="1"/>
  <c r="X183" i="1"/>
  <c r="Y183" i="1"/>
  <c r="Z183" i="1"/>
  <c r="AA183" i="1"/>
  <c r="A184" i="1"/>
  <c r="B184" i="1"/>
  <c r="C184" i="1"/>
  <c r="D184" i="1"/>
  <c r="E184" i="1"/>
  <c r="F184" i="1"/>
  <c r="G184" i="1"/>
  <c r="H184" i="1"/>
  <c r="I184" i="1"/>
  <c r="J184" i="1"/>
  <c r="K184" i="1"/>
  <c r="L184" i="1"/>
  <c r="M184" i="1"/>
  <c r="N184" i="1"/>
  <c r="O184" i="1"/>
  <c r="P184" i="1"/>
  <c r="Q184" i="1"/>
  <c r="R184" i="1"/>
  <c r="S184" i="1"/>
  <c r="T184" i="1"/>
  <c r="U184" i="1"/>
  <c r="V184" i="1"/>
  <c r="W184" i="1"/>
  <c r="X184" i="1"/>
  <c r="Y184" i="1"/>
  <c r="Z184" i="1"/>
  <c r="AA184" i="1"/>
  <c r="A185" i="1"/>
  <c r="B185" i="1"/>
  <c r="C185" i="1"/>
  <c r="D185" i="1"/>
  <c r="E185" i="1"/>
  <c r="F185" i="1"/>
  <c r="G185" i="1"/>
  <c r="H185" i="1"/>
  <c r="I185" i="1"/>
  <c r="J185" i="1"/>
  <c r="K185" i="1"/>
  <c r="L185" i="1"/>
  <c r="M185" i="1"/>
  <c r="N185" i="1"/>
  <c r="O185" i="1"/>
  <c r="P185" i="1"/>
  <c r="Q185" i="1"/>
  <c r="R185" i="1"/>
  <c r="S185" i="1"/>
  <c r="T185" i="1"/>
  <c r="U185" i="1"/>
  <c r="V185" i="1"/>
  <c r="W185" i="1"/>
  <c r="X185" i="1"/>
  <c r="Y185" i="1"/>
  <c r="Z185" i="1"/>
  <c r="AA185" i="1"/>
  <c r="A186" i="1"/>
  <c r="B186" i="1"/>
  <c r="C186" i="1"/>
  <c r="D186" i="1"/>
  <c r="E186" i="1"/>
  <c r="F186" i="1"/>
  <c r="G186" i="1"/>
  <c r="H186" i="1"/>
  <c r="I186" i="1"/>
  <c r="J186" i="1"/>
  <c r="K186" i="1"/>
  <c r="L186" i="1"/>
  <c r="M186" i="1"/>
  <c r="N186" i="1"/>
  <c r="O186" i="1"/>
  <c r="P186" i="1"/>
  <c r="Q186" i="1"/>
  <c r="R186" i="1"/>
  <c r="S186" i="1"/>
  <c r="T186" i="1"/>
  <c r="U186" i="1"/>
  <c r="V186" i="1"/>
  <c r="W186" i="1"/>
  <c r="X186" i="1"/>
  <c r="Y186" i="1"/>
  <c r="Z186" i="1"/>
  <c r="AA186" i="1"/>
  <c r="A187" i="1"/>
  <c r="B187" i="1"/>
  <c r="C187" i="1"/>
  <c r="D187" i="1"/>
  <c r="E187" i="1"/>
  <c r="F187" i="1"/>
  <c r="G187" i="1"/>
  <c r="H187" i="1"/>
  <c r="I187" i="1"/>
  <c r="J187" i="1"/>
  <c r="K187" i="1"/>
  <c r="L187" i="1"/>
  <c r="M187" i="1"/>
  <c r="N187" i="1"/>
  <c r="O187" i="1"/>
  <c r="P187" i="1"/>
  <c r="Q187" i="1"/>
  <c r="R187" i="1"/>
  <c r="S187" i="1"/>
  <c r="T187" i="1"/>
  <c r="U187" i="1"/>
  <c r="V187" i="1"/>
  <c r="W187" i="1"/>
  <c r="X187" i="1"/>
  <c r="Y187" i="1"/>
  <c r="Z187" i="1"/>
  <c r="AA187" i="1"/>
  <c r="A188" i="1"/>
  <c r="B188" i="1"/>
  <c r="C188" i="1"/>
  <c r="D188" i="1"/>
  <c r="E188" i="1"/>
  <c r="F188" i="1"/>
  <c r="G188" i="1"/>
  <c r="H188" i="1"/>
  <c r="I188" i="1"/>
  <c r="J188" i="1"/>
  <c r="K188" i="1"/>
  <c r="L188" i="1"/>
  <c r="M188" i="1"/>
  <c r="N188" i="1"/>
  <c r="O188" i="1"/>
  <c r="P188" i="1"/>
  <c r="Q188" i="1"/>
  <c r="R188" i="1"/>
  <c r="S188" i="1"/>
  <c r="T188" i="1"/>
  <c r="U188" i="1"/>
  <c r="V188" i="1"/>
  <c r="W188" i="1"/>
  <c r="X188" i="1"/>
  <c r="Y188" i="1"/>
  <c r="Z188" i="1"/>
  <c r="AA188" i="1"/>
  <c r="A189" i="1"/>
  <c r="B189" i="1"/>
  <c r="C189" i="1"/>
  <c r="D189" i="1"/>
  <c r="E189" i="1"/>
  <c r="F189" i="1"/>
  <c r="G189" i="1"/>
  <c r="H189" i="1"/>
  <c r="I189" i="1"/>
  <c r="J189" i="1"/>
  <c r="K189" i="1"/>
  <c r="L189" i="1"/>
  <c r="M189" i="1"/>
  <c r="N189" i="1"/>
  <c r="O189" i="1"/>
  <c r="P189" i="1"/>
  <c r="Q189" i="1"/>
  <c r="R189" i="1"/>
  <c r="S189" i="1"/>
  <c r="T189" i="1"/>
  <c r="U189" i="1"/>
  <c r="V189" i="1"/>
  <c r="W189" i="1"/>
  <c r="X189" i="1"/>
  <c r="Y189" i="1"/>
  <c r="Z189" i="1"/>
  <c r="AA189" i="1"/>
  <c r="A190" i="1"/>
  <c r="B190" i="1"/>
  <c r="C190" i="1"/>
  <c r="D190" i="1"/>
  <c r="E190" i="1"/>
  <c r="F190" i="1"/>
  <c r="G190" i="1"/>
  <c r="H190" i="1"/>
  <c r="I190" i="1"/>
  <c r="J190" i="1"/>
  <c r="K190" i="1"/>
  <c r="L190" i="1"/>
  <c r="M190" i="1"/>
  <c r="N190" i="1"/>
  <c r="O190" i="1"/>
  <c r="P190" i="1"/>
  <c r="Q190" i="1"/>
  <c r="R190" i="1"/>
  <c r="S190" i="1"/>
  <c r="T190" i="1"/>
  <c r="U190" i="1"/>
  <c r="V190" i="1"/>
  <c r="W190" i="1"/>
  <c r="X190" i="1"/>
  <c r="Y190" i="1"/>
  <c r="Z190" i="1"/>
  <c r="AA190" i="1"/>
  <c r="A191" i="1"/>
  <c r="B191" i="1"/>
  <c r="C191" i="1"/>
  <c r="D191" i="1"/>
  <c r="E191" i="1"/>
  <c r="F191" i="1"/>
  <c r="G191" i="1"/>
  <c r="H191" i="1"/>
  <c r="I191" i="1"/>
  <c r="J191" i="1"/>
  <c r="K191" i="1"/>
  <c r="L191" i="1"/>
  <c r="M191" i="1"/>
  <c r="N191" i="1"/>
  <c r="O191" i="1"/>
  <c r="P191" i="1"/>
  <c r="Q191" i="1"/>
  <c r="R191" i="1"/>
  <c r="S191" i="1"/>
  <c r="T191" i="1"/>
  <c r="U191" i="1"/>
  <c r="V191" i="1"/>
  <c r="W191" i="1"/>
  <c r="X191" i="1"/>
  <c r="Y191" i="1"/>
  <c r="Z191" i="1"/>
  <c r="AA191" i="1"/>
  <c r="A192" i="1"/>
  <c r="B192" i="1"/>
  <c r="C192" i="1"/>
  <c r="D192" i="1"/>
  <c r="E192" i="1"/>
  <c r="F192" i="1"/>
  <c r="G192" i="1"/>
  <c r="H192" i="1"/>
  <c r="I192" i="1"/>
  <c r="J192" i="1"/>
  <c r="K192" i="1"/>
  <c r="L192" i="1"/>
  <c r="M192" i="1"/>
  <c r="N192" i="1"/>
  <c r="O192" i="1"/>
  <c r="P192" i="1"/>
  <c r="Q192" i="1"/>
  <c r="R192" i="1"/>
  <c r="S192" i="1"/>
  <c r="T192" i="1"/>
  <c r="U192" i="1"/>
  <c r="V192" i="1"/>
  <c r="W192" i="1"/>
  <c r="X192" i="1"/>
  <c r="Y192" i="1"/>
  <c r="Z192" i="1"/>
  <c r="AA192" i="1"/>
  <c r="A193" i="1"/>
  <c r="B193" i="1"/>
  <c r="C193" i="1"/>
  <c r="D193" i="1"/>
  <c r="E193" i="1"/>
  <c r="F193" i="1"/>
  <c r="G193" i="1"/>
  <c r="H193" i="1"/>
  <c r="I193" i="1"/>
  <c r="J193" i="1"/>
  <c r="K193" i="1"/>
  <c r="L193" i="1"/>
  <c r="M193" i="1"/>
  <c r="N193" i="1"/>
  <c r="O193" i="1"/>
  <c r="P193" i="1"/>
  <c r="Q193" i="1"/>
  <c r="R193" i="1"/>
  <c r="S193" i="1"/>
  <c r="T193" i="1"/>
  <c r="U193" i="1"/>
  <c r="V193" i="1"/>
  <c r="W193" i="1"/>
  <c r="X193" i="1"/>
  <c r="Y193" i="1"/>
  <c r="Z193" i="1"/>
  <c r="AA193" i="1"/>
  <c r="A194" i="1"/>
  <c r="B194" i="1"/>
  <c r="C194" i="1"/>
  <c r="D194" i="1"/>
  <c r="E194" i="1"/>
  <c r="F194" i="1"/>
  <c r="G194" i="1"/>
  <c r="H194" i="1"/>
  <c r="I194" i="1"/>
  <c r="J194" i="1"/>
  <c r="K194" i="1"/>
  <c r="L194" i="1"/>
  <c r="M194" i="1"/>
  <c r="N194" i="1"/>
  <c r="O194" i="1"/>
  <c r="P194" i="1"/>
  <c r="Q194" i="1"/>
  <c r="R194" i="1"/>
  <c r="S194" i="1"/>
  <c r="T194" i="1"/>
  <c r="U194" i="1"/>
  <c r="V194" i="1"/>
  <c r="W194" i="1"/>
  <c r="X194" i="1"/>
  <c r="Y194" i="1"/>
  <c r="Z194" i="1"/>
  <c r="AA194" i="1"/>
  <c r="A195" i="1"/>
  <c r="B195" i="1"/>
  <c r="C195" i="1"/>
  <c r="D195" i="1"/>
  <c r="E195" i="1"/>
  <c r="F195" i="1"/>
  <c r="G195" i="1"/>
  <c r="H195" i="1"/>
  <c r="I195" i="1"/>
  <c r="J195" i="1"/>
  <c r="K195" i="1"/>
  <c r="L195" i="1"/>
  <c r="M195" i="1"/>
  <c r="N195" i="1"/>
  <c r="O195" i="1"/>
  <c r="P195" i="1"/>
  <c r="Q195" i="1"/>
  <c r="R195" i="1"/>
  <c r="S195" i="1"/>
  <c r="T195" i="1"/>
  <c r="U195" i="1"/>
  <c r="V195" i="1"/>
  <c r="W195" i="1"/>
  <c r="X195" i="1"/>
  <c r="Y195" i="1"/>
  <c r="Z195" i="1"/>
  <c r="AA195" i="1"/>
  <c r="A196" i="1"/>
  <c r="B196" i="1"/>
  <c r="C196" i="1"/>
  <c r="D196" i="1"/>
  <c r="E196" i="1"/>
  <c r="F196" i="1"/>
  <c r="G196" i="1"/>
  <c r="H196" i="1"/>
  <c r="I196" i="1"/>
  <c r="J196" i="1"/>
  <c r="K196" i="1"/>
  <c r="L196" i="1"/>
  <c r="M196" i="1"/>
  <c r="N196" i="1"/>
  <c r="O196" i="1"/>
  <c r="P196" i="1"/>
  <c r="Q196" i="1"/>
  <c r="R196" i="1"/>
  <c r="S196" i="1"/>
  <c r="T196" i="1"/>
  <c r="U196" i="1"/>
  <c r="V196" i="1"/>
  <c r="W196" i="1"/>
  <c r="X196" i="1"/>
  <c r="Y196" i="1"/>
  <c r="Z196" i="1"/>
  <c r="AA196" i="1"/>
  <c r="A197" i="1"/>
  <c r="B197" i="1"/>
  <c r="C197" i="1"/>
  <c r="D197" i="1"/>
  <c r="E197" i="1"/>
  <c r="F197" i="1"/>
  <c r="G197" i="1"/>
  <c r="H197" i="1"/>
  <c r="I197" i="1"/>
  <c r="J197" i="1"/>
  <c r="K197" i="1"/>
  <c r="L197" i="1"/>
  <c r="M197" i="1"/>
  <c r="N197" i="1"/>
  <c r="O197" i="1"/>
  <c r="P197" i="1"/>
  <c r="Q197" i="1"/>
  <c r="R197" i="1"/>
  <c r="S197" i="1"/>
  <c r="T197" i="1"/>
  <c r="U197" i="1"/>
  <c r="V197" i="1"/>
  <c r="W197" i="1"/>
  <c r="X197" i="1"/>
  <c r="Y197" i="1"/>
  <c r="Z197" i="1"/>
  <c r="AA197" i="1"/>
  <c r="A198" i="1"/>
  <c r="B198" i="1"/>
  <c r="C198" i="1"/>
  <c r="D198" i="1"/>
  <c r="E198" i="1"/>
  <c r="F198" i="1"/>
  <c r="G198" i="1"/>
  <c r="H198" i="1"/>
  <c r="I198" i="1"/>
  <c r="J198" i="1"/>
  <c r="K198" i="1"/>
  <c r="L198" i="1"/>
  <c r="M198" i="1"/>
  <c r="N198" i="1"/>
  <c r="O198" i="1"/>
  <c r="P198" i="1"/>
  <c r="Q198" i="1"/>
  <c r="R198" i="1"/>
  <c r="S198" i="1"/>
  <c r="T198" i="1"/>
  <c r="U198" i="1"/>
  <c r="V198" i="1"/>
  <c r="W198" i="1"/>
  <c r="X198" i="1"/>
  <c r="Y198" i="1"/>
  <c r="Z198" i="1"/>
  <c r="AA198" i="1"/>
  <c r="A199" i="1"/>
  <c r="B199" i="1"/>
  <c r="C199" i="1"/>
  <c r="D199" i="1"/>
  <c r="E199" i="1"/>
  <c r="F199" i="1"/>
  <c r="G199" i="1"/>
  <c r="H199" i="1"/>
  <c r="I199" i="1"/>
  <c r="J199" i="1"/>
  <c r="K199" i="1"/>
  <c r="L199" i="1"/>
  <c r="M199" i="1"/>
  <c r="N199" i="1"/>
  <c r="O199" i="1"/>
  <c r="P199" i="1"/>
  <c r="Q199" i="1"/>
  <c r="R199" i="1"/>
  <c r="S199" i="1"/>
  <c r="T199" i="1"/>
  <c r="U199" i="1"/>
  <c r="V199" i="1"/>
  <c r="W199" i="1"/>
  <c r="X199" i="1"/>
  <c r="Y199" i="1"/>
  <c r="Z199" i="1"/>
  <c r="AA199" i="1"/>
  <c r="A200" i="1"/>
  <c r="B200" i="1"/>
  <c r="C200" i="1"/>
  <c r="D200" i="1"/>
  <c r="E200" i="1"/>
  <c r="F200" i="1"/>
  <c r="G200" i="1"/>
  <c r="H200" i="1"/>
  <c r="I200" i="1"/>
  <c r="J200" i="1"/>
  <c r="K200" i="1"/>
  <c r="L200" i="1"/>
  <c r="M200" i="1"/>
  <c r="N200" i="1"/>
  <c r="O200" i="1"/>
  <c r="P200" i="1"/>
  <c r="Q200" i="1"/>
  <c r="R200" i="1"/>
  <c r="S200" i="1"/>
  <c r="T200" i="1"/>
  <c r="U200" i="1"/>
  <c r="V200" i="1"/>
  <c r="W200" i="1"/>
  <c r="X200" i="1"/>
  <c r="Y200" i="1"/>
  <c r="Z200" i="1"/>
  <c r="AA200" i="1"/>
  <c r="A201" i="1"/>
  <c r="B201" i="1"/>
  <c r="C201" i="1"/>
  <c r="D201" i="1"/>
  <c r="E201" i="1"/>
  <c r="F201" i="1"/>
  <c r="G201" i="1"/>
  <c r="H201" i="1"/>
  <c r="I201" i="1"/>
  <c r="J201" i="1"/>
  <c r="K201" i="1"/>
  <c r="L201" i="1"/>
  <c r="M201" i="1"/>
  <c r="N201" i="1"/>
  <c r="O201" i="1"/>
  <c r="P201" i="1"/>
  <c r="Q201" i="1"/>
  <c r="R201" i="1"/>
  <c r="S201" i="1"/>
  <c r="T201" i="1"/>
  <c r="U201" i="1"/>
  <c r="V201" i="1"/>
  <c r="W201" i="1"/>
  <c r="X201" i="1"/>
  <c r="Y201" i="1"/>
  <c r="Z201" i="1"/>
  <c r="AA201" i="1"/>
  <c r="A202" i="1"/>
  <c r="B202" i="1"/>
  <c r="C202" i="1"/>
  <c r="D202" i="1"/>
  <c r="E202" i="1"/>
  <c r="F202" i="1"/>
  <c r="G202" i="1"/>
  <c r="H202" i="1"/>
  <c r="I202" i="1"/>
  <c r="J202" i="1"/>
  <c r="K202" i="1"/>
  <c r="L202" i="1"/>
  <c r="M202" i="1"/>
  <c r="N202" i="1"/>
  <c r="O202" i="1"/>
  <c r="P202" i="1"/>
  <c r="Q202" i="1"/>
  <c r="R202" i="1"/>
  <c r="S202" i="1"/>
  <c r="T202" i="1"/>
  <c r="U202" i="1"/>
  <c r="V202" i="1"/>
  <c r="W202" i="1"/>
  <c r="X202" i="1"/>
  <c r="Y202" i="1"/>
  <c r="Z202" i="1"/>
  <c r="AA202" i="1"/>
  <c r="A203" i="1"/>
  <c r="B203" i="1"/>
  <c r="C203" i="1"/>
  <c r="D203" i="1"/>
  <c r="E203" i="1"/>
  <c r="F203" i="1"/>
  <c r="G203" i="1"/>
  <c r="H203" i="1"/>
  <c r="I203" i="1"/>
  <c r="J203" i="1"/>
  <c r="K203" i="1"/>
  <c r="L203" i="1"/>
  <c r="M203" i="1"/>
  <c r="N203" i="1"/>
  <c r="O203" i="1"/>
  <c r="P203" i="1"/>
  <c r="Q203" i="1"/>
  <c r="R203" i="1"/>
  <c r="S203" i="1"/>
  <c r="T203" i="1"/>
  <c r="U203" i="1"/>
  <c r="V203" i="1"/>
  <c r="W203" i="1"/>
  <c r="X203" i="1"/>
  <c r="Y203" i="1"/>
  <c r="Z203" i="1"/>
  <c r="AA203" i="1"/>
  <c r="A204" i="1"/>
  <c r="B204" i="1"/>
  <c r="C204" i="1"/>
  <c r="D204" i="1"/>
  <c r="E204" i="1"/>
  <c r="F204" i="1"/>
  <c r="G204" i="1"/>
  <c r="H204" i="1"/>
  <c r="I204" i="1"/>
  <c r="J204" i="1"/>
  <c r="K204" i="1"/>
  <c r="L204" i="1"/>
  <c r="M204" i="1"/>
  <c r="N204" i="1"/>
  <c r="O204" i="1"/>
  <c r="P204" i="1"/>
  <c r="Q204" i="1"/>
  <c r="R204" i="1"/>
  <c r="S204" i="1"/>
  <c r="T204" i="1"/>
  <c r="U204" i="1"/>
  <c r="V204" i="1"/>
  <c r="W204" i="1"/>
  <c r="X204" i="1"/>
  <c r="Y204" i="1"/>
  <c r="Z204" i="1"/>
  <c r="AA204" i="1"/>
  <c r="A205" i="1"/>
  <c r="B205" i="1"/>
  <c r="C205" i="1"/>
  <c r="D205" i="1"/>
  <c r="E205" i="1"/>
  <c r="F205" i="1"/>
  <c r="G205" i="1"/>
  <c r="H205" i="1"/>
  <c r="I205" i="1"/>
  <c r="J205" i="1"/>
  <c r="K205" i="1"/>
  <c r="L205" i="1"/>
  <c r="M205" i="1"/>
  <c r="N205" i="1"/>
  <c r="O205" i="1"/>
  <c r="P205" i="1"/>
  <c r="Q205" i="1"/>
  <c r="R205" i="1"/>
  <c r="S205" i="1"/>
  <c r="T205" i="1"/>
  <c r="U205" i="1"/>
  <c r="V205" i="1"/>
  <c r="W205" i="1"/>
  <c r="X205" i="1"/>
  <c r="Y205" i="1"/>
  <c r="Z205" i="1"/>
  <c r="AA205" i="1"/>
  <c r="A206" i="1"/>
  <c r="B206" i="1"/>
  <c r="C206" i="1"/>
  <c r="D206" i="1"/>
  <c r="E206" i="1"/>
  <c r="F206" i="1"/>
  <c r="G206" i="1"/>
  <c r="H206" i="1"/>
  <c r="I206" i="1"/>
  <c r="J206" i="1"/>
  <c r="K206" i="1"/>
  <c r="L206" i="1"/>
  <c r="M206" i="1"/>
  <c r="N206" i="1"/>
  <c r="O206" i="1"/>
  <c r="P206" i="1"/>
  <c r="Q206" i="1"/>
  <c r="R206" i="1"/>
  <c r="S206" i="1"/>
  <c r="T206" i="1"/>
  <c r="U206" i="1"/>
  <c r="V206" i="1"/>
  <c r="W206" i="1"/>
  <c r="X206" i="1"/>
  <c r="Y206" i="1"/>
  <c r="Z206" i="1"/>
  <c r="AA206" i="1"/>
  <c r="A207" i="1"/>
  <c r="B207" i="1"/>
  <c r="C207" i="1"/>
  <c r="D207" i="1"/>
  <c r="E207" i="1"/>
  <c r="F207" i="1"/>
  <c r="G207" i="1"/>
  <c r="H207" i="1"/>
  <c r="I207" i="1"/>
  <c r="J207" i="1"/>
  <c r="K207" i="1"/>
  <c r="L207" i="1"/>
  <c r="M207" i="1"/>
  <c r="N207" i="1"/>
  <c r="O207" i="1"/>
  <c r="P207" i="1"/>
  <c r="Q207" i="1"/>
  <c r="R207" i="1"/>
  <c r="S207" i="1"/>
  <c r="T207" i="1"/>
  <c r="U207" i="1"/>
  <c r="V207" i="1"/>
  <c r="W207" i="1"/>
  <c r="X207" i="1"/>
  <c r="Y207" i="1"/>
  <c r="Z207" i="1"/>
  <c r="AA207" i="1"/>
  <c r="A208" i="1"/>
  <c r="B208" i="1"/>
  <c r="C208" i="1"/>
  <c r="D208" i="1"/>
  <c r="E208" i="1"/>
  <c r="F208" i="1"/>
  <c r="G208" i="1"/>
  <c r="H208" i="1"/>
  <c r="I208" i="1"/>
  <c r="J208" i="1"/>
  <c r="K208" i="1"/>
  <c r="L208" i="1"/>
  <c r="M208" i="1"/>
  <c r="N208" i="1"/>
  <c r="O208" i="1"/>
  <c r="P208" i="1"/>
  <c r="Q208" i="1"/>
  <c r="R208" i="1"/>
  <c r="S208" i="1"/>
  <c r="T208" i="1"/>
  <c r="U208" i="1"/>
  <c r="V208" i="1"/>
  <c r="W208" i="1"/>
  <c r="X208" i="1"/>
  <c r="Y208" i="1"/>
  <c r="Z208" i="1"/>
  <c r="AA208" i="1"/>
  <c r="A209" i="1"/>
  <c r="B209" i="1"/>
  <c r="C209" i="1"/>
  <c r="D209" i="1"/>
  <c r="E209" i="1"/>
  <c r="F209" i="1"/>
  <c r="G209" i="1"/>
  <c r="H209" i="1"/>
  <c r="I209" i="1"/>
  <c r="J209" i="1"/>
  <c r="K209" i="1"/>
  <c r="L209" i="1"/>
  <c r="M209" i="1"/>
  <c r="N209" i="1"/>
  <c r="O209" i="1"/>
  <c r="P209" i="1"/>
  <c r="Q209" i="1"/>
  <c r="R209" i="1"/>
  <c r="S209" i="1"/>
  <c r="T209" i="1"/>
  <c r="U209" i="1"/>
  <c r="V209" i="1"/>
  <c r="W209" i="1"/>
  <c r="X209" i="1"/>
  <c r="Y209" i="1"/>
  <c r="Z209" i="1"/>
  <c r="AA209" i="1"/>
  <c r="A210" i="1"/>
  <c r="B210" i="1"/>
  <c r="C210" i="1"/>
  <c r="D210" i="1"/>
  <c r="E210" i="1"/>
  <c r="F210" i="1"/>
  <c r="G210" i="1"/>
  <c r="H210" i="1"/>
  <c r="I210" i="1"/>
  <c r="J210" i="1"/>
  <c r="K210" i="1"/>
  <c r="L210" i="1"/>
  <c r="M210" i="1"/>
  <c r="N210" i="1"/>
  <c r="O210" i="1"/>
  <c r="P210" i="1"/>
  <c r="Q210" i="1"/>
  <c r="R210" i="1"/>
  <c r="S210" i="1"/>
  <c r="T210" i="1"/>
  <c r="U210" i="1"/>
  <c r="V210" i="1"/>
  <c r="W210" i="1"/>
  <c r="X210" i="1"/>
  <c r="Y210" i="1"/>
  <c r="Z210" i="1"/>
  <c r="AA210" i="1"/>
  <c r="A211" i="1"/>
  <c r="B211" i="1"/>
  <c r="C211" i="1"/>
  <c r="D211" i="1"/>
  <c r="E211" i="1"/>
  <c r="F211" i="1"/>
  <c r="G211" i="1"/>
  <c r="H211" i="1"/>
  <c r="I211" i="1"/>
  <c r="J211" i="1"/>
  <c r="K211" i="1"/>
  <c r="L211" i="1"/>
  <c r="M211" i="1"/>
  <c r="N211" i="1"/>
  <c r="O211" i="1"/>
  <c r="P211" i="1"/>
  <c r="Q211" i="1"/>
  <c r="R211" i="1"/>
  <c r="S211" i="1"/>
  <c r="T211" i="1"/>
  <c r="U211" i="1"/>
  <c r="V211" i="1"/>
  <c r="W211" i="1"/>
  <c r="X211" i="1"/>
  <c r="Y211" i="1"/>
  <c r="Z211" i="1"/>
  <c r="AA211" i="1"/>
  <c r="A212" i="1"/>
  <c r="B212" i="1"/>
  <c r="C212" i="1"/>
  <c r="D212" i="1"/>
  <c r="E212" i="1"/>
  <c r="F212" i="1"/>
  <c r="G212" i="1"/>
  <c r="H212" i="1"/>
  <c r="I212" i="1"/>
  <c r="J212" i="1"/>
  <c r="K212" i="1"/>
  <c r="L212" i="1"/>
  <c r="M212" i="1"/>
  <c r="N212" i="1"/>
  <c r="O212" i="1"/>
  <c r="P212" i="1"/>
  <c r="Q212" i="1"/>
  <c r="R212" i="1"/>
  <c r="S212" i="1"/>
  <c r="T212" i="1"/>
  <c r="U212" i="1"/>
  <c r="V212" i="1"/>
  <c r="W212" i="1"/>
  <c r="X212" i="1"/>
  <c r="Y212" i="1"/>
  <c r="Z212" i="1"/>
  <c r="AA212" i="1"/>
  <c r="A213" i="1"/>
  <c r="B213" i="1"/>
  <c r="C213" i="1"/>
  <c r="D213" i="1"/>
  <c r="E213" i="1"/>
  <c r="F213" i="1"/>
  <c r="G213" i="1"/>
  <c r="H213" i="1"/>
  <c r="I213" i="1"/>
  <c r="J213" i="1"/>
  <c r="K213" i="1"/>
  <c r="L213" i="1"/>
  <c r="M213" i="1"/>
  <c r="N213" i="1"/>
  <c r="O213" i="1"/>
  <c r="P213" i="1"/>
  <c r="Q213" i="1"/>
  <c r="R213" i="1"/>
  <c r="S213" i="1"/>
  <c r="T213" i="1"/>
  <c r="U213" i="1"/>
  <c r="V213" i="1"/>
  <c r="W213" i="1"/>
  <c r="X213" i="1"/>
  <c r="Y213" i="1"/>
  <c r="Z213" i="1"/>
  <c r="AA213" i="1"/>
  <c r="A214" i="1"/>
  <c r="B214" i="1"/>
  <c r="C214" i="1"/>
  <c r="D214" i="1"/>
  <c r="E214" i="1"/>
  <c r="F214" i="1"/>
  <c r="G214" i="1"/>
  <c r="H214" i="1"/>
  <c r="I214" i="1"/>
  <c r="J214" i="1"/>
  <c r="K214" i="1"/>
  <c r="L214" i="1"/>
  <c r="M214" i="1"/>
  <c r="N214" i="1"/>
  <c r="O214" i="1"/>
  <c r="P214" i="1"/>
  <c r="Q214" i="1"/>
  <c r="R214" i="1"/>
  <c r="S214" i="1"/>
  <c r="T214" i="1"/>
  <c r="U214" i="1"/>
  <c r="V214" i="1"/>
  <c r="W214" i="1"/>
  <c r="X214" i="1"/>
  <c r="Y214" i="1"/>
  <c r="Z214" i="1"/>
  <c r="AA214" i="1"/>
  <c r="A215" i="1"/>
  <c r="B215" i="1"/>
  <c r="C215" i="1"/>
  <c r="D215" i="1"/>
  <c r="E215" i="1"/>
  <c r="F215" i="1"/>
  <c r="G215" i="1"/>
  <c r="H215" i="1"/>
  <c r="I215" i="1"/>
  <c r="J215" i="1"/>
  <c r="K215" i="1"/>
  <c r="L215" i="1"/>
  <c r="M215" i="1"/>
  <c r="N215" i="1"/>
  <c r="O215" i="1"/>
  <c r="P215" i="1"/>
  <c r="Q215" i="1"/>
  <c r="R215" i="1"/>
  <c r="S215" i="1"/>
  <c r="T215" i="1"/>
  <c r="U215" i="1"/>
  <c r="V215" i="1"/>
  <c r="W215" i="1"/>
  <c r="X215" i="1"/>
  <c r="Y215" i="1"/>
  <c r="Z215" i="1"/>
  <c r="AA215" i="1"/>
  <c r="A216" i="1"/>
  <c r="B216" i="1"/>
  <c r="C216" i="1"/>
  <c r="D216" i="1"/>
  <c r="E216" i="1"/>
  <c r="F216" i="1"/>
  <c r="G216" i="1"/>
  <c r="H216" i="1"/>
  <c r="I216" i="1"/>
  <c r="J216" i="1"/>
  <c r="K216" i="1"/>
  <c r="L216" i="1"/>
  <c r="M216" i="1"/>
  <c r="N216" i="1"/>
  <c r="O216" i="1"/>
  <c r="P216" i="1"/>
  <c r="Q216" i="1"/>
  <c r="R216" i="1"/>
  <c r="S216" i="1"/>
  <c r="T216" i="1"/>
  <c r="U216" i="1"/>
  <c r="V216" i="1"/>
  <c r="W216" i="1"/>
  <c r="X216" i="1"/>
  <c r="Y216" i="1"/>
  <c r="Z216" i="1"/>
  <c r="AA216" i="1"/>
  <c r="A217" i="1"/>
  <c r="B217" i="1"/>
  <c r="C217" i="1"/>
  <c r="D217" i="1"/>
  <c r="E217" i="1"/>
  <c r="F217" i="1"/>
  <c r="G217" i="1"/>
  <c r="H217" i="1"/>
  <c r="I217" i="1"/>
  <c r="J217" i="1"/>
  <c r="K217" i="1"/>
  <c r="L217" i="1"/>
  <c r="M217" i="1"/>
  <c r="N217" i="1"/>
  <c r="O217" i="1"/>
  <c r="P217" i="1"/>
  <c r="Q217" i="1"/>
  <c r="R217" i="1"/>
  <c r="S217" i="1"/>
  <c r="T217" i="1"/>
  <c r="U217" i="1"/>
  <c r="V217" i="1"/>
  <c r="W217" i="1"/>
  <c r="X217" i="1"/>
  <c r="Y217" i="1"/>
  <c r="Z217" i="1"/>
  <c r="AA217" i="1"/>
  <c r="A218" i="1"/>
  <c r="B218" i="1"/>
  <c r="C218" i="1"/>
  <c r="D218" i="1"/>
  <c r="E218" i="1"/>
  <c r="F218" i="1"/>
  <c r="G218" i="1"/>
  <c r="H218" i="1"/>
  <c r="I218" i="1"/>
  <c r="J218" i="1"/>
  <c r="K218" i="1"/>
  <c r="L218" i="1"/>
  <c r="M218" i="1"/>
  <c r="N218" i="1"/>
  <c r="O218" i="1"/>
  <c r="P218" i="1"/>
  <c r="Q218" i="1"/>
  <c r="R218" i="1"/>
  <c r="S218" i="1"/>
  <c r="T218" i="1"/>
  <c r="U218" i="1"/>
  <c r="V218" i="1"/>
  <c r="W218" i="1"/>
  <c r="X218" i="1"/>
  <c r="Y218" i="1"/>
  <c r="Z218" i="1"/>
  <c r="AA218" i="1"/>
  <c r="A219" i="1"/>
  <c r="B219" i="1"/>
  <c r="C219" i="1"/>
  <c r="D219" i="1"/>
  <c r="E219" i="1"/>
  <c r="F219" i="1"/>
  <c r="G219" i="1"/>
  <c r="H219" i="1"/>
  <c r="I219" i="1"/>
  <c r="J219" i="1"/>
  <c r="K219" i="1"/>
  <c r="L219" i="1"/>
  <c r="M219" i="1"/>
  <c r="N219" i="1"/>
  <c r="O219" i="1"/>
  <c r="P219" i="1"/>
  <c r="Q219" i="1"/>
  <c r="R219" i="1"/>
  <c r="S219" i="1"/>
  <c r="T219" i="1"/>
  <c r="U219" i="1"/>
  <c r="V219" i="1"/>
  <c r="W219" i="1"/>
  <c r="X219" i="1"/>
  <c r="Y219" i="1"/>
  <c r="Z219" i="1"/>
  <c r="AA219" i="1"/>
  <c r="A220" i="1"/>
  <c r="B220" i="1"/>
  <c r="C220" i="1"/>
  <c r="D220" i="1"/>
  <c r="E220" i="1"/>
  <c r="F220" i="1"/>
  <c r="G220" i="1"/>
  <c r="H220" i="1"/>
  <c r="I220" i="1"/>
  <c r="J220" i="1"/>
  <c r="K220" i="1"/>
  <c r="L220" i="1"/>
  <c r="M220" i="1"/>
  <c r="N220" i="1"/>
  <c r="O220" i="1"/>
  <c r="P220" i="1"/>
  <c r="Q220" i="1"/>
  <c r="R220" i="1"/>
  <c r="S220" i="1"/>
  <c r="T220" i="1"/>
  <c r="U220" i="1"/>
  <c r="V220" i="1"/>
  <c r="W220" i="1"/>
  <c r="X220" i="1"/>
  <c r="Y220" i="1"/>
  <c r="Z220" i="1"/>
  <c r="AA220" i="1"/>
  <c r="A221" i="1"/>
  <c r="B221" i="1"/>
  <c r="C221" i="1"/>
  <c r="D221" i="1"/>
  <c r="E221" i="1"/>
  <c r="F221" i="1"/>
  <c r="G221" i="1"/>
  <c r="H221" i="1"/>
  <c r="I221" i="1"/>
  <c r="J221" i="1"/>
  <c r="K221" i="1"/>
  <c r="L221" i="1"/>
  <c r="M221" i="1"/>
  <c r="N221" i="1"/>
  <c r="O221" i="1"/>
  <c r="P221" i="1"/>
  <c r="Q221" i="1"/>
  <c r="R221" i="1"/>
  <c r="S221" i="1"/>
  <c r="T221" i="1"/>
  <c r="U221" i="1"/>
  <c r="V221" i="1"/>
  <c r="W221" i="1"/>
  <c r="X221" i="1"/>
  <c r="Y221" i="1"/>
  <c r="Z221" i="1"/>
  <c r="AA221" i="1"/>
  <c r="A222" i="1"/>
  <c r="B222" i="1"/>
  <c r="C222" i="1"/>
  <c r="D222" i="1"/>
  <c r="E222" i="1"/>
  <c r="F222" i="1"/>
  <c r="G222" i="1"/>
  <c r="H222" i="1"/>
  <c r="I222" i="1"/>
  <c r="J222" i="1"/>
  <c r="K222" i="1"/>
  <c r="L222" i="1"/>
  <c r="M222" i="1"/>
  <c r="N222" i="1"/>
  <c r="O222" i="1"/>
  <c r="P222" i="1"/>
  <c r="Q222" i="1"/>
  <c r="R222" i="1"/>
  <c r="S222" i="1"/>
  <c r="T222" i="1"/>
  <c r="U222" i="1"/>
  <c r="V222" i="1"/>
  <c r="W222" i="1"/>
  <c r="X222" i="1"/>
  <c r="Y222" i="1"/>
  <c r="Z222" i="1"/>
  <c r="AA222" i="1"/>
  <c r="A223" i="1"/>
  <c r="B223" i="1"/>
  <c r="C223" i="1"/>
  <c r="D223" i="1"/>
  <c r="E223" i="1"/>
  <c r="F223" i="1"/>
  <c r="G223" i="1"/>
  <c r="H223" i="1"/>
  <c r="I223" i="1"/>
  <c r="J223" i="1"/>
  <c r="K223" i="1"/>
  <c r="L223" i="1"/>
  <c r="M223" i="1"/>
  <c r="N223" i="1"/>
  <c r="O223" i="1"/>
  <c r="P223" i="1"/>
  <c r="Q223" i="1"/>
  <c r="R223" i="1"/>
  <c r="S223" i="1"/>
  <c r="T223" i="1"/>
  <c r="U223" i="1"/>
  <c r="V223" i="1"/>
  <c r="W223" i="1"/>
  <c r="X223" i="1"/>
  <c r="Y223" i="1"/>
  <c r="Z223" i="1"/>
  <c r="AA223" i="1"/>
  <c r="A224" i="1"/>
  <c r="B224" i="1"/>
  <c r="C224" i="1"/>
  <c r="D224" i="1"/>
  <c r="E224" i="1"/>
  <c r="F224" i="1"/>
  <c r="G224" i="1"/>
  <c r="H224" i="1"/>
  <c r="I224" i="1"/>
  <c r="J224" i="1"/>
  <c r="K224" i="1"/>
  <c r="L224" i="1"/>
  <c r="M224" i="1"/>
  <c r="N224" i="1"/>
  <c r="O224" i="1"/>
  <c r="P224" i="1"/>
  <c r="Q224" i="1"/>
  <c r="R224" i="1"/>
  <c r="S224" i="1"/>
  <c r="T224" i="1"/>
  <c r="U224" i="1"/>
  <c r="V224" i="1"/>
  <c r="W224" i="1"/>
  <c r="X224" i="1"/>
  <c r="Y224" i="1"/>
  <c r="Z224" i="1"/>
  <c r="AA224" i="1"/>
  <c r="V150" i="1"/>
  <c r="V151" i="1"/>
  <c r="V152" i="1"/>
  <c r="V153" i="1"/>
  <c r="V154" i="1"/>
  <c r="V155" i="1"/>
  <c r="V156" i="1"/>
  <c r="V157" i="1"/>
  <c r="V158" i="1"/>
  <c r="V159" i="1"/>
  <c r="V160" i="1"/>
  <c r="V161" i="1"/>
  <c r="V162" i="1"/>
  <c r="N150" i="1"/>
  <c r="N151" i="1"/>
  <c r="N152" i="1"/>
  <c r="N153" i="1"/>
  <c r="N154" i="1"/>
  <c r="N155" i="1"/>
  <c r="N156" i="1"/>
  <c r="N157" i="1"/>
  <c r="N158" i="1"/>
  <c r="N159" i="1"/>
  <c r="N160" i="1"/>
  <c r="N161" i="1"/>
  <c r="N162" i="1"/>
  <c r="AA150" i="1"/>
  <c r="AA151" i="1"/>
  <c r="AA152" i="1"/>
  <c r="AA153" i="1"/>
  <c r="AA154" i="1"/>
  <c r="AA155" i="1"/>
  <c r="AA156" i="1"/>
  <c r="AA157" i="1"/>
  <c r="AA158" i="1"/>
  <c r="AA159" i="1"/>
  <c r="AA160" i="1"/>
  <c r="AA161" i="1"/>
  <c r="AA162" i="1"/>
  <c r="Y150" i="1"/>
  <c r="Z150" i="1"/>
  <c r="Y151" i="1"/>
  <c r="Z151" i="1"/>
  <c r="Y152" i="1"/>
  <c r="Z152" i="1"/>
  <c r="Y153" i="1"/>
  <c r="Z153" i="1"/>
  <c r="Y154" i="1"/>
  <c r="Z154" i="1"/>
  <c r="Y155" i="1"/>
  <c r="Z155" i="1"/>
  <c r="Y156" i="1"/>
  <c r="Z156" i="1"/>
  <c r="Y157" i="1"/>
  <c r="Z157" i="1"/>
  <c r="Y158" i="1"/>
  <c r="Z158" i="1"/>
  <c r="Y159" i="1"/>
  <c r="Z159" i="1"/>
  <c r="Y160" i="1"/>
  <c r="Z160" i="1"/>
  <c r="Y161" i="1"/>
  <c r="Z161" i="1"/>
  <c r="Y162" i="1"/>
  <c r="Z162" i="1"/>
  <c r="W150" i="1"/>
  <c r="X150" i="1"/>
  <c r="W151" i="1"/>
  <c r="X151" i="1"/>
  <c r="W152" i="1"/>
  <c r="X152" i="1"/>
  <c r="W153" i="1"/>
  <c r="X153" i="1"/>
  <c r="W154" i="1"/>
  <c r="X154" i="1"/>
  <c r="W155" i="1"/>
  <c r="X155" i="1"/>
  <c r="W156" i="1"/>
  <c r="X156" i="1"/>
  <c r="W157" i="1"/>
  <c r="X157" i="1"/>
  <c r="W158" i="1"/>
  <c r="X158" i="1"/>
  <c r="W159" i="1"/>
  <c r="X159" i="1"/>
  <c r="W160" i="1"/>
  <c r="X160" i="1"/>
  <c r="W161" i="1"/>
  <c r="X161" i="1"/>
  <c r="W162" i="1"/>
  <c r="X162" i="1"/>
  <c r="T150" i="1"/>
  <c r="U150" i="1"/>
  <c r="T151" i="1"/>
  <c r="U151" i="1"/>
  <c r="T152" i="1"/>
  <c r="U152" i="1"/>
  <c r="T153" i="1"/>
  <c r="U153" i="1"/>
  <c r="T154" i="1"/>
  <c r="U154" i="1"/>
  <c r="T155" i="1"/>
  <c r="U155" i="1"/>
  <c r="T156" i="1"/>
  <c r="U156" i="1"/>
  <c r="T157" i="1"/>
  <c r="U157" i="1"/>
  <c r="T158" i="1"/>
  <c r="U158" i="1"/>
  <c r="T159" i="1"/>
  <c r="U159" i="1"/>
  <c r="T160" i="1"/>
  <c r="U160" i="1"/>
  <c r="T161" i="1"/>
  <c r="U161" i="1"/>
  <c r="T162" i="1"/>
  <c r="U162" i="1"/>
  <c r="R150" i="1"/>
  <c r="S150" i="1"/>
  <c r="R151" i="1"/>
  <c r="S151" i="1"/>
  <c r="R152" i="1"/>
  <c r="S152" i="1"/>
  <c r="R153" i="1"/>
  <c r="S153" i="1"/>
  <c r="R154" i="1"/>
  <c r="S154" i="1"/>
  <c r="R155" i="1"/>
  <c r="S155" i="1"/>
  <c r="R156" i="1"/>
  <c r="S156" i="1"/>
  <c r="R157" i="1"/>
  <c r="S157" i="1"/>
  <c r="R158" i="1"/>
  <c r="S158" i="1"/>
  <c r="R159" i="1"/>
  <c r="S159" i="1"/>
  <c r="R160" i="1"/>
  <c r="S160" i="1"/>
  <c r="R161" i="1"/>
  <c r="S161" i="1"/>
  <c r="R162" i="1"/>
  <c r="S162" i="1"/>
  <c r="O150" i="1"/>
  <c r="P150" i="1"/>
  <c r="Q150" i="1"/>
  <c r="O151" i="1"/>
  <c r="P151" i="1"/>
  <c r="Q151" i="1"/>
  <c r="O152" i="1"/>
  <c r="P152" i="1"/>
  <c r="Q152" i="1"/>
  <c r="O153" i="1"/>
  <c r="P153" i="1"/>
  <c r="Q153" i="1"/>
  <c r="O154" i="1"/>
  <c r="P154" i="1"/>
  <c r="Q154" i="1"/>
  <c r="O155" i="1"/>
  <c r="P155" i="1"/>
  <c r="Q155" i="1"/>
  <c r="O156" i="1"/>
  <c r="P156" i="1"/>
  <c r="Q156" i="1"/>
  <c r="O157" i="1"/>
  <c r="P157" i="1"/>
  <c r="Q157" i="1"/>
  <c r="O158" i="1"/>
  <c r="P158" i="1"/>
  <c r="Q158" i="1"/>
  <c r="O159" i="1"/>
  <c r="P159" i="1"/>
  <c r="Q159" i="1"/>
  <c r="O160" i="1"/>
  <c r="P160" i="1"/>
  <c r="Q160" i="1"/>
  <c r="O161" i="1"/>
  <c r="P161" i="1"/>
  <c r="Q161" i="1"/>
  <c r="O162" i="1"/>
  <c r="P162" i="1"/>
  <c r="Q162" i="1"/>
  <c r="K150" i="1"/>
  <c r="L150" i="1"/>
  <c r="M150" i="1"/>
  <c r="K151" i="1"/>
  <c r="L151" i="1"/>
  <c r="M151" i="1"/>
  <c r="K152" i="1"/>
  <c r="L152" i="1"/>
  <c r="M152"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H150" i="1"/>
  <c r="I150" i="1"/>
  <c r="J150" i="1"/>
  <c r="H151" i="1"/>
  <c r="I151" i="1"/>
  <c r="J151" i="1"/>
  <c r="H152" i="1"/>
  <c r="I152" i="1"/>
  <c r="J152" i="1"/>
  <c r="H153" i="1"/>
  <c r="I153" i="1"/>
  <c r="J153" i="1"/>
  <c r="H154" i="1"/>
  <c r="I154" i="1"/>
  <c r="J154" i="1"/>
  <c r="H155" i="1"/>
  <c r="I155" i="1"/>
  <c r="J155" i="1"/>
  <c r="H156" i="1"/>
  <c r="I156" i="1"/>
  <c r="J156" i="1"/>
  <c r="H157" i="1"/>
  <c r="I157" i="1"/>
  <c r="J157" i="1"/>
  <c r="H158" i="1"/>
  <c r="I158" i="1"/>
  <c r="J158" i="1"/>
  <c r="H159" i="1"/>
  <c r="I159" i="1"/>
  <c r="J159" i="1"/>
  <c r="H160" i="1"/>
  <c r="I160" i="1"/>
  <c r="J160" i="1"/>
  <c r="H161" i="1"/>
  <c r="I161" i="1"/>
  <c r="J161" i="1"/>
  <c r="H162" i="1"/>
  <c r="I162" i="1"/>
  <c r="J162" i="1"/>
  <c r="B150" i="1"/>
  <c r="C150" i="1"/>
  <c r="D150" i="1"/>
  <c r="E150" i="1"/>
  <c r="F150" i="1"/>
  <c r="G150" i="1"/>
  <c r="B151" i="1"/>
  <c r="C151" i="1"/>
  <c r="D151" i="1"/>
  <c r="E151" i="1"/>
  <c r="F151" i="1"/>
  <c r="G151" i="1"/>
  <c r="B152" i="1"/>
  <c r="C152" i="1"/>
  <c r="D152" i="1"/>
  <c r="E152" i="1"/>
  <c r="F152" i="1"/>
  <c r="G152" i="1"/>
  <c r="B153" i="1"/>
  <c r="C153" i="1"/>
  <c r="D153" i="1"/>
  <c r="E153" i="1"/>
  <c r="F153" i="1"/>
  <c r="G153" i="1"/>
  <c r="B154" i="1"/>
  <c r="C154" i="1"/>
  <c r="D154" i="1"/>
  <c r="E154" i="1"/>
  <c r="F154" i="1"/>
  <c r="G154" i="1"/>
  <c r="B155" i="1"/>
  <c r="C155" i="1"/>
  <c r="D155" i="1"/>
  <c r="E155" i="1"/>
  <c r="F155" i="1"/>
  <c r="G155" i="1"/>
  <c r="B156" i="1"/>
  <c r="C156" i="1"/>
  <c r="D156" i="1"/>
  <c r="E156" i="1"/>
  <c r="F156" i="1"/>
  <c r="G156" i="1"/>
  <c r="B157" i="1"/>
  <c r="C157" i="1"/>
  <c r="D157" i="1"/>
  <c r="E157" i="1"/>
  <c r="F157" i="1"/>
  <c r="G157" i="1"/>
  <c r="B158" i="1"/>
  <c r="C158" i="1"/>
  <c r="D158" i="1"/>
  <c r="E158" i="1"/>
  <c r="F158" i="1"/>
  <c r="G158" i="1"/>
  <c r="B159" i="1"/>
  <c r="C159" i="1"/>
  <c r="D159" i="1"/>
  <c r="E159" i="1"/>
  <c r="F159" i="1"/>
  <c r="G159" i="1"/>
  <c r="B160" i="1"/>
  <c r="C160" i="1"/>
  <c r="D160" i="1"/>
  <c r="E160" i="1"/>
  <c r="F160" i="1"/>
  <c r="G160" i="1"/>
  <c r="B161" i="1"/>
  <c r="C161" i="1"/>
  <c r="D161" i="1"/>
  <c r="E161" i="1"/>
  <c r="F161" i="1"/>
  <c r="G161" i="1"/>
  <c r="B162" i="1"/>
  <c r="C162" i="1"/>
  <c r="D162" i="1"/>
  <c r="E162" i="1"/>
  <c r="F162" i="1"/>
  <c r="G162" i="1"/>
  <c r="A160" i="1"/>
  <c r="A161" i="1"/>
  <c r="A162" i="1"/>
  <c r="A156" i="1"/>
  <c r="A157" i="1"/>
  <c r="A158" i="1"/>
  <c r="A159" i="1"/>
  <c r="A151" i="1"/>
  <c r="A152" i="1"/>
  <c r="A153" i="1"/>
  <c r="A154" i="1"/>
  <c r="A155"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2" i="1"/>
  <c r="A150" i="1"/>
  <c r="Y147" i="1"/>
  <c r="Z147" i="1"/>
  <c r="Y148" i="1"/>
  <c r="Z148" i="1"/>
  <c r="Y149" i="1"/>
  <c r="Z149" i="1"/>
  <c r="W147" i="1"/>
  <c r="X147" i="1"/>
  <c r="W148" i="1"/>
  <c r="X148" i="1"/>
  <c r="W149" i="1"/>
  <c r="X149" i="1"/>
  <c r="U147" i="1"/>
  <c r="V147" i="1"/>
  <c r="U148" i="1"/>
  <c r="V148" i="1"/>
  <c r="U149" i="1"/>
  <c r="V149" i="1"/>
  <c r="S147" i="1"/>
  <c r="T147" i="1"/>
  <c r="S148" i="1"/>
  <c r="T148" i="1"/>
  <c r="S149" i="1"/>
  <c r="T149" i="1"/>
  <c r="R147" i="1"/>
  <c r="R148" i="1"/>
  <c r="R149" i="1"/>
  <c r="P147" i="1"/>
  <c r="Q147" i="1"/>
  <c r="P148" i="1"/>
  <c r="Q148" i="1"/>
  <c r="P149" i="1"/>
  <c r="Q149" i="1"/>
  <c r="O146" i="1"/>
  <c r="O147" i="1"/>
  <c r="O148" i="1"/>
  <c r="O149" i="1"/>
  <c r="M147" i="1"/>
  <c r="N147" i="1"/>
  <c r="M148" i="1"/>
  <c r="N148" i="1"/>
  <c r="M149" i="1"/>
  <c r="N149" i="1"/>
  <c r="K147" i="1"/>
  <c r="L147" i="1"/>
  <c r="K148" i="1"/>
  <c r="L148" i="1"/>
  <c r="K149" i="1"/>
  <c r="L149" i="1"/>
  <c r="J147" i="1"/>
  <c r="J148" i="1"/>
  <c r="J149" i="1"/>
  <c r="H147" i="1"/>
  <c r="I147" i="1"/>
  <c r="H148" i="1"/>
  <c r="I148" i="1"/>
  <c r="H149" i="1"/>
  <c r="I149" i="1"/>
  <c r="B147" i="1"/>
  <c r="C147" i="1"/>
  <c r="D147" i="1"/>
  <c r="E147" i="1"/>
  <c r="F147" i="1"/>
  <c r="G147" i="1"/>
  <c r="B148" i="1"/>
  <c r="C148" i="1"/>
  <c r="D148" i="1"/>
  <c r="E148" i="1"/>
  <c r="F148" i="1"/>
  <c r="G148" i="1"/>
  <c r="B149" i="1"/>
  <c r="C149" i="1"/>
  <c r="D149" i="1"/>
  <c r="E149" i="1"/>
  <c r="F149" i="1"/>
  <c r="G149" i="1"/>
  <c r="A147" i="1"/>
  <c r="A148" i="1"/>
  <c r="A149" i="1"/>
  <c r="Y146" i="1"/>
  <c r="Z146" i="1"/>
  <c r="W146" i="1"/>
  <c r="X146" i="1"/>
  <c r="U146" i="1"/>
  <c r="V146" i="1"/>
  <c r="S146" i="1"/>
  <c r="T146" i="1"/>
  <c r="R146" i="1"/>
  <c r="P146" i="1"/>
  <c r="Q146" i="1"/>
  <c r="L146" i="1"/>
  <c r="M146" i="1"/>
  <c r="N146" i="1"/>
  <c r="J146" i="1"/>
  <c r="K146" i="1"/>
  <c r="H146" i="1"/>
  <c r="I146" i="1"/>
  <c r="G146" i="1"/>
  <c r="E146" i="1"/>
  <c r="F146" i="1"/>
  <c r="B146" i="1"/>
  <c r="C146" i="1"/>
  <c r="D146" i="1"/>
  <c r="Z145" i="1"/>
  <c r="X145" i="1"/>
  <c r="Y145" i="1"/>
  <c r="V145" i="1"/>
  <c r="W145" i="1"/>
  <c r="T145" i="1"/>
  <c r="U145" i="1"/>
  <c r="R145" i="1"/>
  <c r="S145" i="1"/>
  <c r="P145" i="1"/>
  <c r="Q145" i="1"/>
  <c r="M145" i="1"/>
  <c r="N145" i="1"/>
  <c r="O145" i="1"/>
  <c r="K145" i="1"/>
  <c r="L145" i="1"/>
  <c r="J145" i="1"/>
  <c r="H145" i="1"/>
  <c r="I145" i="1"/>
  <c r="F145" i="1"/>
  <c r="G145" i="1"/>
  <c r="E145" i="1"/>
  <c r="D145" i="1"/>
  <c r="B145" i="1"/>
  <c r="C145" i="1"/>
  <c r="A146" i="1"/>
  <c r="A145" i="1"/>
  <c r="K143" i="1"/>
  <c r="G143" i="1"/>
  <c r="G144" i="1"/>
  <c r="Y143" i="1"/>
  <c r="Z143" i="1"/>
  <c r="Y144" i="1"/>
  <c r="Z144" i="1"/>
  <c r="V143" i="1"/>
  <c r="W143" i="1"/>
  <c r="X143" i="1"/>
  <c r="V144" i="1"/>
  <c r="W144" i="1"/>
  <c r="X144" i="1"/>
  <c r="T143" i="1"/>
  <c r="U143" i="1"/>
  <c r="T144" i="1"/>
  <c r="U144" i="1"/>
  <c r="R143" i="1"/>
  <c r="S143" i="1"/>
  <c r="R144" i="1"/>
  <c r="S144" i="1"/>
  <c r="N143" i="1"/>
  <c r="O143" i="1"/>
  <c r="N144" i="1"/>
  <c r="O144" i="1"/>
  <c r="L143" i="1"/>
  <c r="M143" i="1"/>
  <c r="K144" i="1"/>
  <c r="L144" i="1"/>
  <c r="M144" i="1"/>
  <c r="H143" i="1"/>
  <c r="I143" i="1"/>
  <c r="J143" i="1"/>
  <c r="H144" i="1"/>
  <c r="I144" i="1"/>
  <c r="J144" i="1"/>
  <c r="P143" i="1"/>
  <c r="P144" i="1"/>
  <c r="R142" i="1"/>
  <c r="Q143" i="1"/>
  <c r="Q144" i="1"/>
  <c r="B143" i="1"/>
  <c r="C143" i="1"/>
  <c r="D143" i="1"/>
  <c r="E143" i="1"/>
  <c r="F143" i="1"/>
  <c r="B144" i="1"/>
  <c r="C144" i="1"/>
  <c r="D144" i="1"/>
  <c r="E144" i="1"/>
  <c r="F144" i="1"/>
  <c r="A144" i="1"/>
  <c r="Y142" i="1"/>
  <c r="Z142" i="1"/>
  <c r="U142" i="1"/>
  <c r="V142" i="1"/>
  <c r="W142" i="1"/>
  <c r="X142" i="1"/>
  <c r="S142" i="1"/>
  <c r="T142" i="1"/>
  <c r="M142" i="1"/>
  <c r="N142" i="1"/>
  <c r="O142" i="1"/>
  <c r="P142" i="1"/>
  <c r="Q142" i="1"/>
  <c r="J142" i="1"/>
  <c r="K142" i="1"/>
  <c r="L142" i="1"/>
  <c r="G142" i="1"/>
  <c r="H142" i="1"/>
  <c r="I142" i="1"/>
  <c r="B142" i="1"/>
  <c r="C142" i="1"/>
  <c r="D142" i="1"/>
  <c r="E142" i="1"/>
  <c r="F142" i="1"/>
  <c r="Y141" i="1"/>
  <c r="Z141" i="1"/>
  <c r="U141" i="1"/>
  <c r="V141" i="1"/>
  <c r="W141" i="1"/>
  <c r="X141" i="1"/>
  <c r="R141" i="1"/>
  <c r="S141" i="1"/>
  <c r="T141" i="1"/>
  <c r="L141" i="1"/>
  <c r="M141" i="1"/>
  <c r="N141" i="1"/>
  <c r="O141" i="1"/>
  <c r="P141" i="1"/>
  <c r="Q141" i="1"/>
  <c r="J141" i="1"/>
  <c r="K141" i="1"/>
  <c r="G141" i="1"/>
  <c r="H141" i="1"/>
  <c r="I141" i="1"/>
  <c r="B141" i="1"/>
  <c r="C141" i="1"/>
  <c r="D141" i="1"/>
  <c r="E141" i="1"/>
  <c r="F141"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2" i="1"/>
  <c r="K60" i="1"/>
  <c r="K61" i="1"/>
  <c r="K62" i="1"/>
  <c r="K63" i="1"/>
  <c r="K64" i="1"/>
  <c r="K65" i="1"/>
  <c r="K66" i="1"/>
  <c r="X140" i="1"/>
  <c r="Y140" i="1"/>
  <c r="V140" i="1"/>
  <c r="W140" i="1"/>
  <c r="U140" i="1"/>
  <c r="Q140" i="1"/>
  <c r="R140" i="1"/>
  <c r="S140" i="1"/>
  <c r="T140" i="1"/>
  <c r="K140" i="1"/>
  <c r="L140" i="1"/>
  <c r="M140" i="1"/>
  <c r="N140" i="1"/>
  <c r="O140" i="1"/>
  <c r="P140" i="1"/>
  <c r="H140" i="1"/>
  <c r="I140" i="1"/>
  <c r="J140" i="1"/>
  <c r="G140" i="1"/>
  <c r="B140" i="1"/>
  <c r="C140" i="1"/>
  <c r="D140" i="1"/>
  <c r="E140" i="1"/>
  <c r="F140" i="1"/>
  <c r="X139" i="1"/>
  <c r="Y139" i="1"/>
  <c r="W139" i="1"/>
  <c r="V139" i="1"/>
  <c r="U139" i="1"/>
  <c r="T139" i="1"/>
  <c r="P139" i="1"/>
  <c r="Q139" i="1"/>
  <c r="R139" i="1"/>
  <c r="S139" i="1"/>
  <c r="L139" i="1"/>
  <c r="M139" i="1"/>
  <c r="N139" i="1"/>
  <c r="O139" i="1"/>
  <c r="K139" i="1"/>
  <c r="I139" i="1"/>
  <c r="J139" i="1"/>
  <c r="G139" i="1"/>
  <c r="H139" i="1"/>
  <c r="D139" i="1"/>
  <c r="E139" i="1"/>
  <c r="F139" i="1"/>
  <c r="B139" i="1"/>
  <c r="C139" i="1"/>
  <c r="X137" i="1"/>
  <c r="Y137" i="1"/>
  <c r="X138" i="1"/>
  <c r="Y138" i="1"/>
  <c r="W137" i="1"/>
  <c r="W138" i="1"/>
  <c r="V137" i="1"/>
  <c r="V138" i="1"/>
  <c r="U137" i="1"/>
  <c r="U138" i="1"/>
  <c r="T137" i="1"/>
  <c r="T138" i="1"/>
  <c r="R137" i="1"/>
  <c r="S137" i="1"/>
  <c r="R138" i="1"/>
  <c r="S138" i="1"/>
  <c r="M137" i="1"/>
  <c r="N137" i="1"/>
  <c r="O137" i="1"/>
  <c r="P137" i="1"/>
  <c r="Q137" i="1"/>
  <c r="M138" i="1"/>
  <c r="N138" i="1"/>
  <c r="O138" i="1"/>
  <c r="P138" i="1"/>
  <c r="Q138" i="1"/>
  <c r="L137" i="1"/>
  <c r="L138" i="1"/>
  <c r="I137" i="1"/>
  <c r="J137" i="1"/>
  <c r="K137" i="1"/>
  <c r="I138" i="1"/>
  <c r="J138" i="1"/>
  <c r="K138" i="1"/>
  <c r="G137" i="1"/>
  <c r="H137" i="1"/>
  <c r="G138" i="1"/>
  <c r="H138" i="1"/>
  <c r="C137" i="1"/>
  <c r="D137" i="1"/>
  <c r="E137" i="1"/>
  <c r="F137" i="1"/>
  <c r="C138" i="1"/>
  <c r="D138" i="1"/>
  <c r="E138" i="1"/>
  <c r="F138" i="1"/>
  <c r="B137" i="1"/>
  <c r="B138" i="1"/>
  <c r="A139" i="1"/>
  <c r="A140" i="1"/>
  <c r="A141" i="1"/>
  <c r="A142" i="1"/>
  <c r="A143" i="1"/>
  <c r="T136" i="1"/>
  <c r="X136" i="1"/>
  <c r="Y136" i="1"/>
  <c r="W136" i="1"/>
  <c r="V136" i="1"/>
  <c r="U136" i="1"/>
  <c r="R136" i="1"/>
  <c r="S136" i="1"/>
  <c r="N136" i="1"/>
  <c r="O136" i="1"/>
  <c r="P136" i="1"/>
  <c r="Q136" i="1"/>
  <c r="L136" i="1"/>
  <c r="M136" i="1"/>
  <c r="J136" i="1"/>
  <c r="K136" i="1"/>
  <c r="H136" i="1"/>
  <c r="I136" i="1"/>
  <c r="G136" i="1"/>
  <c r="D136" i="1"/>
  <c r="E136" i="1"/>
  <c r="F136" i="1"/>
  <c r="B136" i="1"/>
  <c r="C136" i="1"/>
  <c r="A137" i="1"/>
  <c r="A138" i="1"/>
  <c r="X121" i="1"/>
  <c r="Y121" i="1"/>
  <c r="X122" i="1"/>
  <c r="Y122" i="1"/>
  <c r="X123" i="1"/>
  <c r="Y123" i="1"/>
  <c r="X124" i="1"/>
  <c r="Y124" i="1"/>
  <c r="X125" i="1"/>
  <c r="Y125" i="1"/>
  <c r="X126" i="1"/>
  <c r="Y126" i="1"/>
  <c r="X127" i="1"/>
  <c r="Y127" i="1"/>
  <c r="X128" i="1"/>
  <c r="Y128" i="1"/>
  <c r="X129" i="1"/>
  <c r="Y129" i="1"/>
  <c r="X130" i="1"/>
  <c r="Y130" i="1"/>
  <c r="X131" i="1"/>
  <c r="Y131" i="1"/>
  <c r="X132" i="1"/>
  <c r="Y132" i="1"/>
  <c r="X133" i="1"/>
  <c r="Y133" i="1"/>
  <c r="X134" i="1"/>
  <c r="Y134" i="1"/>
  <c r="X135" i="1"/>
  <c r="Y135" i="1"/>
  <c r="W121" i="1"/>
  <c r="W122" i="1"/>
  <c r="W123" i="1"/>
  <c r="W124" i="1"/>
  <c r="W125" i="1"/>
  <c r="W126" i="1"/>
  <c r="W127" i="1"/>
  <c r="W128" i="1"/>
  <c r="W129" i="1"/>
  <c r="W130" i="1"/>
  <c r="W131" i="1"/>
  <c r="W132" i="1"/>
  <c r="W133" i="1"/>
  <c r="W134" i="1"/>
  <c r="W135" i="1"/>
  <c r="V121" i="1"/>
  <c r="V122" i="1"/>
  <c r="V123" i="1"/>
  <c r="V124" i="1"/>
  <c r="V125" i="1"/>
  <c r="V126" i="1"/>
  <c r="V127" i="1"/>
  <c r="V128" i="1"/>
  <c r="V129" i="1"/>
  <c r="V130" i="1"/>
  <c r="V131" i="1"/>
  <c r="V132" i="1"/>
  <c r="V133" i="1"/>
  <c r="V134" i="1"/>
  <c r="V135" i="1"/>
  <c r="U121" i="1"/>
  <c r="U122" i="1"/>
  <c r="U123" i="1"/>
  <c r="U124" i="1"/>
  <c r="U125" i="1"/>
  <c r="U126" i="1"/>
  <c r="U127" i="1"/>
  <c r="U128" i="1"/>
  <c r="U129" i="1"/>
  <c r="U130" i="1"/>
  <c r="U131" i="1"/>
  <c r="U132" i="1"/>
  <c r="U133" i="1"/>
  <c r="U134" i="1"/>
  <c r="U135" i="1"/>
  <c r="T121" i="1"/>
  <c r="T122" i="1"/>
  <c r="T123" i="1"/>
  <c r="T124" i="1"/>
  <c r="T125" i="1"/>
  <c r="T126" i="1"/>
  <c r="T127" i="1"/>
  <c r="T128" i="1"/>
  <c r="T129" i="1"/>
  <c r="T130" i="1"/>
  <c r="T131" i="1"/>
  <c r="T132" i="1"/>
  <c r="T133" i="1"/>
  <c r="T134" i="1"/>
  <c r="T135" i="1"/>
  <c r="Q121" i="1"/>
  <c r="R121" i="1"/>
  <c r="S121" i="1"/>
  <c r="Q122" i="1"/>
  <c r="R122" i="1"/>
  <c r="S122" i="1"/>
  <c r="Q123" i="1"/>
  <c r="R123" i="1"/>
  <c r="S123" i="1"/>
  <c r="Q124" i="1"/>
  <c r="R124" i="1"/>
  <c r="S124" i="1"/>
  <c r="Q125" i="1"/>
  <c r="R125" i="1"/>
  <c r="S125" i="1"/>
  <c r="Q126" i="1"/>
  <c r="R126" i="1"/>
  <c r="S126" i="1"/>
  <c r="Q127" i="1"/>
  <c r="R127" i="1"/>
  <c r="S127" i="1"/>
  <c r="Q128" i="1"/>
  <c r="R128" i="1"/>
  <c r="S128" i="1"/>
  <c r="Q129" i="1"/>
  <c r="R129" i="1"/>
  <c r="S129" i="1"/>
  <c r="Q130" i="1"/>
  <c r="R130" i="1"/>
  <c r="S130" i="1"/>
  <c r="Q131" i="1"/>
  <c r="R131" i="1"/>
  <c r="S131" i="1"/>
  <c r="Q132" i="1"/>
  <c r="R132" i="1"/>
  <c r="S132" i="1"/>
  <c r="Q133" i="1"/>
  <c r="R133" i="1"/>
  <c r="S133" i="1"/>
  <c r="Q134" i="1"/>
  <c r="R134" i="1"/>
  <c r="S134" i="1"/>
  <c r="Q135" i="1"/>
  <c r="R135" i="1"/>
  <c r="S135" i="1"/>
  <c r="L121" i="1"/>
  <c r="M121" i="1"/>
  <c r="N121" i="1"/>
  <c r="O121" i="1"/>
  <c r="P121" i="1"/>
  <c r="L122" i="1"/>
  <c r="M122" i="1"/>
  <c r="N122" i="1"/>
  <c r="O122" i="1"/>
  <c r="P122" i="1"/>
  <c r="L123" i="1"/>
  <c r="M123" i="1"/>
  <c r="N123" i="1"/>
  <c r="O123" i="1"/>
  <c r="P123" i="1"/>
  <c r="L124" i="1"/>
  <c r="M124" i="1"/>
  <c r="N124" i="1"/>
  <c r="O124" i="1"/>
  <c r="P124" i="1"/>
  <c r="L125" i="1"/>
  <c r="M125" i="1"/>
  <c r="N125" i="1"/>
  <c r="O125" i="1"/>
  <c r="P125" i="1"/>
  <c r="L126" i="1"/>
  <c r="M126" i="1"/>
  <c r="N126" i="1"/>
  <c r="O126" i="1"/>
  <c r="P126" i="1"/>
  <c r="L127" i="1"/>
  <c r="M127" i="1"/>
  <c r="N127" i="1"/>
  <c r="O127" i="1"/>
  <c r="P127" i="1"/>
  <c r="L128" i="1"/>
  <c r="M128" i="1"/>
  <c r="N128" i="1"/>
  <c r="O128" i="1"/>
  <c r="P128" i="1"/>
  <c r="L129" i="1"/>
  <c r="M129" i="1"/>
  <c r="N129" i="1"/>
  <c r="O129" i="1"/>
  <c r="P129" i="1"/>
  <c r="L130" i="1"/>
  <c r="M130" i="1"/>
  <c r="N130" i="1"/>
  <c r="O130" i="1"/>
  <c r="P130" i="1"/>
  <c r="L131" i="1"/>
  <c r="M131" i="1"/>
  <c r="N131" i="1"/>
  <c r="O131" i="1"/>
  <c r="P131" i="1"/>
  <c r="L132" i="1"/>
  <c r="M132" i="1"/>
  <c r="N132" i="1"/>
  <c r="O132" i="1"/>
  <c r="P132" i="1"/>
  <c r="L133" i="1"/>
  <c r="M133" i="1"/>
  <c r="N133" i="1"/>
  <c r="O133" i="1"/>
  <c r="P133" i="1"/>
  <c r="L134" i="1"/>
  <c r="M134" i="1"/>
  <c r="N134" i="1"/>
  <c r="O134" i="1"/>
  <c r="P134" i="1"/>
  <c r="L135" i="1"/>
  <c r="M135" i="1"/>
  <c r="N135" i="1"/>
  <c r="O135" i="1"/>
  <c r="P135"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I121" i="1"/>
  <c r="I122" i="1"/>
  <c r="I123" i="1"/>
  <c r="I124" i="1"/>
  <c r="I125" i="1"/>
  <c r="I126" i="1"/>
  <c r="I127" i="1"/>
  <c r="I128" i="1"/>
  <c r="I129" i="1"/>
  <c r="I130" i="1"/>
  <c r="I131" i="1"/>
  <c r="I132" i="1"/>
  <c r="I133" i="1"/>
  <c r="I134" i="1"/>
  <c r="I135" i="1"/>
  <c r="G121" i="1"/>
  <c r="H121" i="1"/>
  <c r="G122" i="1"/>
  <c r="H122" i="1"/>
  <c r="G123" i="1"/>
  <c r="H123" i="1"/>
  <c r="G124" i="1"/>
  <c r="H124" i="1"/>
  <c r="G125" i="1"/>
  <c r="H125" i="1"/>
  <c r="G126" i="1"/>
  <c r="H126" i="1"/>
  <c r="G127" i="1"/>
  <c r="H127" i="1"/>
  <c r="G128" i="1"/>
  <c r="H128" i="1"/>
  <c r="G129" i="1"/>
  <c r="H129" i="1"/>
  <c r="G130" i="1"/>
  <c r="H130" i="1"/>
  <c r="G131" i="1"/>
  <c r="H131" i="1"/>
  <c r="G132" i="1"/>
  <c r="H132" i="1"/>
  <c r="G133" i="1"/>
  <c r="H133" i="1"/>
  <c r="G134" i="1"/>
  <c r="H134" i="1"/>
  <c r="G135" i="1"/>
  <c r="H135" i="1"/>
  <c r="E121" i="1"/>
  <c r="F121" i="1"/>
  <c r="E122" i="1"/>
  <c r="F122" i="1"/>
  <c r="E123" i="1"/>
  <c r="F123" i="1"/>
  <c r="E124" i="1"/>
  <c r="F124" i="1"/>
  <c r="E125" i="1"/>
  <c r="F125" i="1"/>
  <c r="E126" i="1"/>
  <c r="F126" i="1"/>
  <c r="E127" i="1"/>
  <c r="F127" i="1"/>
  <c r="E128" i="1"/>
  <c r="F128" i="1"/>
  <c r="E129" i="1"/>
  <c r="F129" i="1"/>
  <c r="E130" i="1"/>
  <c r="F130" i="1"/>
  <c r="E131" i="1"/>
  <c r="F131" i="1"/>
  <c r="E132" i="1"/>
  <c r="F132" i="1"/>
  <c r="E133" i="1"/>
  <c r="F133" i="1"/>
  <c r="E134" i="1"/>
  <c r="F134" i="1"/>
  <c r="E135" i="1"/>
  <c r="F135" i="1"/>
  <c r="D121" i="1"/>
  <c r="D122" i="1"/>
  <c r="D123" i="1"/>
  <c r="D124" i="1"/>
  <c r="D125" i="1"/>
  <c r="D126" i="1"/>
  <c r="D127" i="1"/>
  <c r="D128" i="1"/>
  <c r="D129" i="1"/>
  <c r="D130" i="1"/>
  <c r="D131" i="1"/>
  <c r="D132" i="1"/>
  <c r="D133" i="1"/>
  <c r="D134" i="1"/>
  <c r="D135" i="1"/>
  <c r="B122" i="1"/>
  <c r="B123" i="1"/>
  <c r="B124" i="1"/>
  <c r="B125" i="1"/>
  <c r="B126" i="1"/>
  <c r="B127" i="1"/>
  <c r="B128" i="1"/>
  <c r="B129" i="1"/>
  <c r="B130" i="1"/>
  <c r="B131" i="1"/>
  <c r="B132" i="1"/>
  <c r="B133" i="1"/>
  <c r="B134" i="1"/>
  <c r="B135" i="1"/>
  <c r="B121" i="1"/>
  <c r="B120" i="1"/>
  <c r="C121" i="1"/>
  <c r="C122" i="1"/>
  <c r="C123" i="1"/>
  <c r="C124" i="1"/>
  <c r="C125" i="1"/>
  <c r="C126" i="1"/>
  <c r="C127" i="1"/>
  <c r="C128" i="1"/>
  <c r="C129" i="1"/>
  <c r="C130" i="1"/>
  <c r="C131" i="1"/>
  <c r="C132" i="1"/>
  <c r="C133" i="1"/>
  <c r="C134" i="1"/>
  <c r="C135" i="1"/>
  <c r="A135" i="1"/>
  <c r="A136" i="1"/>
  <c r="A134" i="1"/>
  <c r="A133" i="1"/>
  <c r="A132" i="1"/>
  <c r="A129" i="1"/>
  <c r="A130" i="1"/>
  <c r="A131" i="1"/>
  <c r="A127" i="1"/>
  <c r="A128" i="1"/>
  <c r="A125" i="1"/>
  <c r="A126" i="1"/>
  <c r="A123" i="1"/>
  <c r="A124" i="1"/>
  <c r="A122" i="1"/>
  <c r="AJ7" i="31"/>
  <c r="AJ6" i="31"/>
  <c r="AJ8" i="31"/>
  <c r="AJ9" i="31"/>
  <c r="AJ5" i="31"/>
  <c r="X117" i="1"/>
  <c r="Y117" i="1"/>
  <c r="X118" i="1"/>
  <c r="Y118" i="1"/>
  <c r="X119" i="1"/>
  <c r="Y119" i="1"/>
  <c r="X120" i="1"/>
  <c r="Y120" i="1"/>
  <c r="W117" i="1"/>
  <c r="W118" i="1"/>
  <c r="W119" i="1"/>
  <c r="W120" i="1"/>
  <c r="V117" i="1"/>
  <c r="V118" i="1"/>
  <c r="V119" i="1"/>
  <c r="V120" i="1"/>
  <c r="U117" i="1"/>
  <c r="U118" i="1"/>
  <c r="U119" i="1"/>
  <c r="U120" i="1"/>
  <c r="T115" i="1"/>
  <c r="T116" i="1"/>
  <c r="T117" i="1"/>
  <c r="T118" i="1"/>
  <c r="T119" i="1"/>
  <c r="T120" i="1"/>
  <c r="N117" i="1"/>
  <c r="O117" i="1"/>
  <c r="P117" i="1"/>
  <c r="Q117" i="1"/>
  <c r="R117" i="1"/>
  <c r="S117" i="1"/>
  <c r="N118" i="1"/>
  <c r="O118" i="1"/>
  <c r="P118" i="1"/>
  <c r="Q118" i="1"/>
  <c r="R118" i="1"/>
  <c r="S118" i="1"/>
  <c r="N119" i="1"/>
  <c r="O119" i="1"/>
  <c r="P119" i="1"/>
  <c r="Q119" i="1"/>
  <c r="R119" i="1"/>
  <c r="S119" i="1"/>
  <c r="N120" i="1"/>
  <c r="O120" i="1"/>
  <c r="P120" i="1"/>
  <c r="Q120" i="1"/>
  <c r="R120" i="1"/>
  <c r="S120" i="1"/>
  <c r="K117" i="1"/>
  <c r="L117" i="1"/>
  <c r="M117" i="1"/>
  <c r="K118" i="1"/>
  <c r="L118" i="1"/>
  <c r="M118" i="1"/>
  <c r="K119" i="1"/>
  <c r="L119" i="1"/>
  <c r="M119" i="1"/>
  <c r="K120" i="1"/>
  <c r="L120" i="1"/>
  <c r="M120" i="1"/>
  <c r="H117" i="1"/>
  <c r="I117" i="1"/>
  <c r="J117" i="1"/>
  <c r="H118" i="1"/>
  <c r="I118" i="1"/>
  <c r="J118" i="1"/>
  <c r="H119" i="1"/>
  <c r="I119" i="1"/>
  <c r="J119" i="1"/>
  <c r="H120" i="1"/>
  <c r="I120" i="1"/>
  <c r="J120" i="1"/>
  <c r="G117" i="1"/>
  <c r="G118" i="1"/>
  <c r="G119" i="1"/>
  <c r="G120" i="1"/>
  <c r="D117" i="1"/>
  <c r="E117" i="1"/>
  <c r="F117" i="1"/>
  <c r="D118" i="1"/>
  <c r="E118" i="1"/>
  <c r="F118" i="1"/>
  <c r="D119" i="1"/>
  <c r="E119" i="1"/>
  <c r="F119" i="1"/>
  <c r="D120" i="1"/>
  <c r="E120" i="1"/>
  <c r="F120" i="1"/>
  <c r="C117" i="1"/>
  <c r="C118" i="1"/>
  <c r="C119" i="1"/>
  <c r="C120" i="1"/>
  <c r="B117" i="1"/>
  <c r="B118" i="1"/>
  <c r="B119" i="1"/>
  <c r="A120" i="1"/>
  <c r="A121" i="1"/>
  <c r="A119" i="1"/>
  <c r="A118" i="1"/>
  <c r="X115" i="1"/>
  <c r="Y115" i="1"/>
  <c r="X116" i="1"/>
  <c r="Y116" i="1"/>
  <c r="W115" i="1"/>
  <c r="W116" i="1"/>
  <c r="V115" i="1"/>
  <c r="V116" i="1"/>
  <c r="U115" i="1"/>
  <c r="U116" i="1"/>
  <c r="R115" i="1"/>
  <c r="S115" i="1"/>
  <c r="R116" i="1"/>
  <c r="S116" i="1"/>
  <c r="P115" i="1"/>
  <c r="Q115" i="1"/>
  <c r="P116" i="1"/>
  <c r="Q116" i="1"/>
  <c r="L115" i="1"/>
  <c r="M115" i="1"/>
  <c r="N115" i="1"/>
  <c r="O115" i="1"/>
  <c r="L116" i="1"/>
  <c r="M116" i="1"/>
  <c r="N116" i="1"/>
  <c r="O116" i="1"/>
  <c r="H115" i="1"/>
  <c r="I115" i="1"/>
  <c r="J115" i="1"/>
  <c r="K115" i="1"/>
  <c r="H116" i="1"/>
  <c r="I116" i="1"/>
  <c r="J116" i="1"/>
  <c r="K116" i="1"/>
  <c r="G115" i="1"/>
  <c r="G116" i="1"/>
  <c r="D115" i="1"/>
  <c r="E115" i="1"/>
  <c r="F115" i="1"/>
  <c r="D116" i="1"/>
  <c r="E116" i="1"/>
  <c r="F116" i="1"/>
  <c r="C115" i="1"/>
  <c r="C116" i="1"/>
  <c r="B115" i="1"/>
  <c r="B116" i="1"/>
  <c r="A116" i="1"/>
  <c r="A117" i="1"/>
  <c r="S111" i="1"/>
  <c r="S112" i="1"/>
  <c r="S113" i="1"/>
  <c r="S114" i="1"/>
  <c r="Y111" i="1"/>
  <c r="Y112" i="1"/>
  <c r="Y113" i="1"/>
  <c r="Y114" i="1"/>
  <c r="X111" i="1"/>
  <c r="X112" i="1"/>
  <c r="X113" i="1"/>
  <c r="X114" i="1"/>
  <c r="W111" i="1"/>
  <c r="W112" i="1"/>
  <c r="W113" i="1"/>
  <c r="W114" i="1"/>
  <c r="V111" i="1"/>
  <c r="V112" i="1"/>
  <c r="V113" i="1"/>
  <c r="V114" i="1"/>
  <c r="U111" i="1"/>
  <c r="U112" i="1"/>
  <c r="U113" i="1"/>
  <c r="U114" i="1"/>
  <c r="T111" i="1"/>
  <c r="T112" i="1"/>
  <c r="T113" i="1"/>
  <c r="T114" i="1"/>
  <c r="R111" i="1"/>
  <c r="R112" i="1"/>
  <c r="R113" i="1"/>
  <c r="R114" i="1"/>
  <c r="P111" i="1"/>
  <c r="Q111" i="1"/>
  <c r="P112" i="1"/>
  <c r="Q112" i="1"/>
  <c r="P113" i="1"/>
  <c r="Q113" i="1"/>
  <c r="P114" i="1"/>
  <c r="Q114" i="1"/>
  <c r="N111" i="1"/>
  <c r="O111" i="1"/>
  <c r="N112" i="1"/>
  <c r="O112" i="1"/>
  <c r="N113" i="1"/>
  <c r="O113" i="1"/>
  <c r="N114" i="1"/>
  <c r="O114" i="1"/>
  <c r="M111" i="1"/>
  <c r="M112" i="1"/>
  <c r="M113" i="1"/>
  <c r="M114" i="1"/>
  <c r="L111" i="1"/>
  <c r="L112" i="1"/>
  <c r="L113" i="1"/>
  <c r="L114" i="1"/>
  <c r="K111" i="1"/>
  <c r="K112" i="1"/>
  <c r="K113" i="1"/>
  <c r="K114" i="1"/>
  <c r="J111" i="1"/>
  <c r="J112" i="1"/>
  <c r="J113" i="1"/>
  <c r="J114" i="1"/>
  <c r="I111" i="1"/>
  <c r="I112" i="1"/>
  <c r="I113" i="1"/>
  <c r="I114" i="1"/>
  <c r="H111" i="1"/>
  <c r="H112" i="1"/>
  <c r="H113" i="1"/>
  <c r="H114" i="1"/>
  <c r="G111" i="1"/>
  <c r="G112" i="1"/>
  <c r="G113" i="1"/>
  <c r="G114" i="1"/>
  <c r="E111" i="1"/>
  <c r="F111" i="1"/>
  <c r="E112" i="1"/>
  <c r="F112" i="1"/>
  <c r="E113" i="1"/>
  <c r="F113" i="1"/>
  <c r="E114" i="1"/>
  <c r="F114" i="1"/>
  <c r="D111" i="1"/>
  <c r="D112" i="1"/>
  <c r="D113" i="1"/>
  <c r="D114" i="1"/>
  <c r="C112" i="1"/>
  <c r="C113" i="1"/>
  <c r="C114" i="1"/>
  <c r="C111" i="1"/>
  <c r="B111" i="1"/>
  <c r="B112" i="1"/>
  <c r="B113" i="1"/>
  <c r="B114" i="1"/>
  <c r="A115" i="1"/>
  <c r="A114" i="1"/>
  <c r="A113" i="1"/>
  <c r="A112" i="1"/>
  <c r="Y110" i="1"/>
  <c r="W110" i="1"/>
  <c r="X110" i="1"/>
  <c r="V110" i="1"/>
  <c r="T110" i="1"/>
  <c r="U110" i="1"/>
  <c r="R110" i="1"/>
  <c r="S110" i="1"/>
  <c r="L110" i="1"/>
  <c r="M110" i="1"/>
  <c r="N110" i="1"/>
  <c r="O110" i="1"/>
  <c r="P110" i="1"/>
  <c r="Q110" i="1"/>
  <c r="I110" i="1"/>
  <c r="J110" i="1"/>
  <c r="K110" i="1"/>
  <c r="G110" i="1"/>
  <c r="H110" i="1"/>
  <c r="E110" i="1"/>
  <c r="F110" i="1"/>
  <c r="D110" i="1"/>
  <c r="C110" i="1"/>
  <c r="B110" i="1"/>
  <c r="A111" i="1"/>
  <c r="X108" i="1" l="1"/>
  <c r="Y108" i="1"/>
  <c r="X109" i="1"/>
  <c r="Y109" i="1"/>
  <c r="W108" i="1"/>
  <c r="W109" i="1"/>
  <c r="V108" i="1"/>
  <c r="V109" i="1"/>
  <c r="U108" i="1"/>
  <c r="U109" i="1"/>
  <c r="O108" i="1"/>
  <c r="P108" i="1"/>
  <c r="Q108" i="1"/>
  <c r="O109" i="1"/>
  <c r="P109" i="1"/>
  <c r="Q109" i="1"/>
  <c r="H108" i="1"/>
  <c r="I108" i="1"/>
  <c r="H109" i="1"/>
  <c r="I109" i="1"/>
  <c r="N108" i="1"/>
  <c r="N109" i="1"/>
  <c r="L108" i="1"/>
  <c r="M108" i="1"/>
  <c r="L109" i="1"/>
  <c r="M109" i="1"/>
  <c r="J108" i="1"/>
  <c r="K108" i="1"/>
  <c r="J109" i="1"/>
  <c r="K109" i="1"/>
  <c r="G108" i="1"/>
  <c r="G109" i="1"/>
  <c r="E108" i="1"/>
  <c r="F108" i="1"/>
  <c r="E109" i="1"/>
  <c r="F109" i="1"/>
  <c r="T108" i="1"/>
  <c r="T109" i="1"/>
  <c r="S108" i="1"/>
  <c r="S109" i="1"/>
  <c r="R108" i="1"/>
  <c r="R109" i="1"/>
  <c r="D108" i="1"/>
  <c r="D109" i="1"/>
  <c r="B108" i="1"/>
  <c r="C108" i="1"/>
  <c r="B109" i="1"/>
  <c r="C109" i="1"/>
  <c r="A110" i="1"/>
  <c r="A109" i="1"/>
  <c r="Y101" i="1"/>
  <c r="Y102" i="1"/>
  <c r="Y103" i="1"/>
  <c r="Y104" i="1"/>
  <c r="Y105" i="1"/>
  <c r="Y106" i="1"/>
  <c r="Y107" i="1"/>
  <c r="X101" i="1"/>
  <c r="X102" i="1"/>
  <c r="X103" i="1"/>
  <c r="X104" i="1"/>
  <c r="X105" i="1"/>
  <c r="X106" i="1"/>
  <c r="X107" i="1"/>
  <c r="W101" i="1"/>
  <c r="W102" i="1"/>
  <c r="W103" i="1"/>
  <c r="W104" i="1"/>
  <c r="W105" i="1"/>
  <c r="W106" i="1"/>
  <c r="W107" i="1"/>
  <c r="V101" i="1"/>
  <c r="V102" i="1"/>
  <c r="V103" i="1"/>
  <c r="V104" i="1"/>
  <c r="V105" i="1"/>
  <c r="V106" i="1"/>
  <c r="V107" i="1"/>
  <c r="U101" i="1"/>
  <c r="U102" i="1"/>
  <c r="U103" i="1"/>
  <c r="U104" i="1"/>
  <c r="U105" i="1"/>
  <c r="U106" i="1"/>
  <c r="U107" i="1"/>
  <c r="T101" i="1"/>
  <c r="T102" i="1"/>
  <c r="T103" i="1"/>
  <c r="T104" i="1"/>
  <c r="T105" i="1"/>
  <c r="T106" i="1"/>
  <c r="T107" i="1"/>
  <c r="S101" i="1"/>
  <c r="S102" i="1"/>
  <c r="S103" i="1"/>
  <c r="S104" i="1"/>
  <c r="S105" i="1"/>
  <c r="S106" i="1"/>
  <c r="S107" i="1"/>
  <c r="R101" i="1"/>
  <c r="R102" i="1"/>
  <c r="R103" i="1"/>
  <c r="R104" i="1"/>
  <c r="R105" i="1"/>
  <c r="R106" i="1"/>
  <c r="R107" i="1"/>
  <c r="O101" i="1"/>
  <c r="P101" i="1"/>
  <c r="Q101" i="1"/>
  <c r="O102" i="1"/>
  <c r="P102" i="1"/>
  <c r="Q102" i="1"/>
  <c r="O103" i="1"/>
  <c r="P103" i="1"/>
  <c r="Q103" i="1"/>
  <c r="O104" i="1"/>
  <c r="P104" i="1"/>
  <c r="Q104" i="1"/>
  <c r="O105" i="1"/>
  <c r="P105" i="1"/>
  <c r="Q105" i="1"/>
  <c r="O106" i="1"/>
  <c r="P106" i="1"/>
  <c r="Q106" i="1"/>
  <c r="O107" i="1"/>
  <c r="P107" i="1"/>
  <c r="Q107" i="1"/>
  <c r="L101" i="1"/>
  <c r="M101" i="1"/>
  <c r="N101" i="1"/>
  <c r="L102" i="1"/>
  <c r="M102" i="1"/>
  <c r="N102" i="1"/>
  <c r="L103" i="1"/>
  <c r="M103" i="1"/>
  <c r="N103" i="1"/>
  <c r="L104" i="1"/>
  <c r="M104" i="1"/>
  <c r="N104" i="1"/>
  <c r="L105" i="1"/>
  <c r="M105" i="1"/>
  <c r="N105" i="1"/>
  <c r="L106" i="1"/>
  <c r="M106" i="1"/>
  <c r="N106" i="1"/>
  <c r="L107" i="1"/>
  <c r="M107" i="1"/>
  <c r="N107" i="1"/>
  <c r="K101" i="1"/>
  <c r="K102" i="1"/>
  <c r="K103" i="1"/>
  <c r="K104" i="1"/>
  <c r="K105" i="1"/>
  <c r="K106" i="1"/>
  <c r="K107" i="1"/>
  <c r="I101" i="1"/>
  <c r="J101" i="1"/>
  <c r="I102" i="1"/>
  <c r="J102" i="1"/>
  <c r="I103" i="1"/>
  <c r="J103" i="1"/>
  <c r="I104" i="1"/>
  <c r="J104" i="1"/>
  <c r="I105" i="1"/>
  <c r="J105" i="1"/>
  <c r="I106" i="1"/>
  <c r="J106" i="1"/>
  <c r="I107" i="1"/>
  <c r="J107" i="1"/>
  <c r="H101" i="1"/>
  <c r="H102" i="1"/>
  <c r="H103" i="1"/>
  <c r="H104" i="1"/>
  <c r="H105" i="1"/>
  <c r="H106" i="1"/>
  <c r="H107" i="1"/>
  <c r="G101" i="1"/>
  <c r="G102" i="1"/>
  <c r="G103" i="1"/>
  <c r="G104" i="1"/>
  <c r="G105" i="1"/>
  <c r="G106" i="1"/>
  <c r="G107" i="1"/>
  <c r="F103" i="1"/>
  <c r="F104" i="1"/>
  <c r="F105" i="1"/>
  <c r="F106" i="1"/>
  <c r="F107" i="1"/>
  <c r="D103" i="1"/>
  <c r="E103" i="1"/>
  <c r="D104" i="1"/>
  <c r="E104" i="1"/>
  <c r="D105" i="1"/>
  <c r="E105" i="1"/>
  <c r="D106" i="1"/>
  <c r="E106" i="1"/>
  <c r="D107" i="1"/>
  <c r="E107" i="1"/>
  <c r="C103" i="1"/>
  <c r="C104" i="1"/>
  <c r="C105" i="1"/>
  <c r="C106" i="1"/>
  <c r="C107" i="1"/>
  <c r="B104" i="1"/>
  <c r="B105" i="1"/>
  <c r="B106" i="1"/>
  <c r="B107" i="1"/>
  <c r="A108" i="1"/>
  <c r="A106" i="1"/>
  <c r="A107" i="1"/>
  <c r="A105" i="1"/>
  <c r="A104" i="1"/>
  <c r="B103" i="1"/>
  <c r="E101" i="1"/>
  <c r="E102" i="1"/>
  <c r="D101" i="1"/>
  <c r="D102" i="1"/>
  <c r="B101" i="1"/>
  <c r="C101" i="1"/>
  <c r="B102" i="1"/>
  <c r="C102" i="1"/>
  <c r="F101" i="1"/>
  <c r="F102" i="1"/>
  <c r="A103" i="1"/>
  <c r="A102" i="1"/>
  <c r="X99" i="1"/>
  <c r="Y99" i="1"/>
  <c r="X100" i="1"/>
  <c r="Y100" i="1"/>
  <c r="W99" i="1"/>
  <c r="W100" i="1"/>
  <c r="V99" i="1"/>
  <c r="V100" i="1"/>
  <c r="U99" i="1"/>
  <c r="U100" i="1"/>
  <c r="T100" i="1"/>
  <c r="T99" i="1"/>
  <c r="R99" i="1"/>
  <c r="S99" i="1"/>
  <c r="R100" i="1"/>
  <c r="S100" i="1"/>
  <c r="O99" i="1"/>
  <c r="P99" i="1"/>
  <c r="Q99" i="1"/>
  <c r="O100" i="1"/>
  <c r="P100" i="1"/>
  <c r="Q100" i="1"/>
  <c r="N99" i="1"/>
  <c r="N100" i="1"/>
  <c r="M99" i="1"/>
  <c r="M100" i="1"/>
  <c r="K99" i="1"/>
  <c r="L99" i="1"/>
  <c r="K100" i="1"/>
  <c r="L100" i="1"/>
  <c r="J99" i="1"/>
  <c r="J100" i="1"/>
  <c r="H99" i="1"/>
  <c r="I99" i="1"/>
  <c r="H100" i="1"/>
  <c r="I100" i="1"/>
  <c r="G99" i="1"/>
  <c r="G100" i="1"/>
  <c r="E100" i="1"/>
  <c r="F100" i="1"/>
  <c r="E99" i="1"/>
  <c r="F99" i="1"/>
  <c r="D99" i="1"/>
  <c r="D100" i="1"/>
  <c r="C99" i="1"/>
  <c r="C100" i="1"/>
  <c r="A101" i="1"/>
  <c r="B99" i="1"/>
  <c r="B100" i="1"/>
  <c r="AH15" i="34"/>
  <c r="W98" i="1" l="1"/>
  <c r="X98" i="1"/>
  <c r="Y98" i="1"/>
  <c r="U98" i="1"/>
  <c r="V98" i="1"/>
  <c r="R98" i="1"/>
  <c r="S98" i="1"/>
  <c r="T98" i="1"/>
  <c r="L98" i="1"/>
  <c r="M98" i="1"/>
  <c r="N98" i="1"/>
  <c r="O98" i="1"/>
  <c r="P98" i="1"/>
  <c r="Q98" i="1"/>
  <c r="H98" i="1"/>
  <c r="I98" i="1"/>
  <c r="J98" i="1"/>
  <c r="K98" i="1"/>
  <c r="G98" i="1"/>
  <c r="F98" i="1"/>
  <c r="E98" i="1"/>
  <c r="D98" i="1"/>
  <c r="C98" i="1"/>
  <c r="B98" i="1"/>
  <c r="F97" i="1"/>
  <c r="E97" i="1"/>
  <c r="D97" i="1"/>
  <c r="C97" i="1"/>
  <c r="B97" i="1"/>
  <c r="G97" i="1"/>
  <c r="H97" i="1"/>
  <c r="I97" i="1"/>
  <c r="J97" i="1"/>
  <c r="K97" i="1"/>
  <c r="L97" i="1"/>
  <c r="M97" i="1"/>
  <c r="N97" i="1"/>
  <c r="O97" i="1"/>
  <c r="P97" i="1"/>
  <c r="Q97" i="1"/>
  <c r="R97" i="1"/>
  <c r="S97" i="1"/>
  <c r="T97" i="1"/>
  <c r="U97" i="1"/>
  <c r="V97" i="1"/>
  <c r="W97" i="1"/>
  <c r="X97" i="1"/>
  <c r="Y97" i="1"/>
  <c r="B96" i="1"/>
  <c r="C96" i="1"/>
  <c r="D96" i="1"/>
  <c r="E96" i="1"/>
  <c r="F96" i="1"/>
  <c r="G96" i="1"/>
  <c r="H96" i="1"/>
  <c r="I96" i="1"/>
  <c r="J96" i="1"/>
  <c r="K96" i="1"/>
  <c r="L96" i="1"/>
  <c r="M96" i="1"/>
  <c r="N96" i="1"/>
  <c r="O96" i="1"/>
  <c r="P96" i="1"/>
  <c r="Q96" i="1"/>
  <c r="R96" i="1"/>
  <c r="S96" i="1"/>
  <c r="T96" i="1"/>
  <c r="U96" i="1"/>
  <c r="V96" i="1"/>
  <c r="W96" i="1"/>
  <c r="X96" i="1"/>
  <c r="Y96" i="1"/>
  <c r="B95" i="1"/>
  <c r="C95" i="1"/>
  <c r="D95" i="1"/>
  <c r="E95" i="1"/>
  <c r="F95" i="1"/>
  <c r="G95" i="1"/>
  <c r="H95" i="1"/>
  <c r="I95" i="1"/>
  <c r="J95" i="1"/>
  <c r="K95" i="1"/>
  <c r="L95" i="1"/>
  <c r="M95" i="1"/>
  <c r="N95" i="1"/>
  <c r="O95" i="1"/>
  <c r="P95" i="1"/>
  <c r="Q95" i="1"/>
  <c r="R95" i="1"/>
  <c r="S95" i="1"/>
  <c r="T95" i="1"/>
  <c r="U95" i="1"/>
  <c r="V95" i="1"/>
  <c r="W95" i="1"/>
  <c r="X95" i="1"/>
  <c r="Y95" i="1"/>
  <c r="B93" i="1"/>
  <c r="C93" i="1"/>
  <c r="D93" i="1"/>
  <c r="E93" i="1"/>
  <c r="F93" i="1"/>
  <c r="G93" i="1"/>
  <c r="H93" i="1"/>
  <c r="I93" i="1"/>
  <c r="J93" i="1"/>
  <c r="K93" i="1"/>
  <c r="L93" i="1"/>
  <c r="M93" i="1"/>
  <c r="N93" i="1"/>
  <c r="O93" i="1"/>
  <c r="P93" i="1"/>
  <c r="Q93" i="1"/>
  <c r="R93" i="1"/>
  <c r="S93" i="1"/>
  <c r="T93" i="1"/>
  <c r="U93" i="1"/>
  <c r="V93" i="1"/>
  <c r="W93" i="1"/>
  <c r="X93" i="1"/>
  <c r="Y93" i="1"/>
  <c r="B94" i="1"/>
  <c r="C94" i="1"/>
  <c r="D94" i="1"/>
  <c r="E94" i="1"/>
  <c r="F94" i="1"/>
  <c r="G94" i="1"/>
  <c r="H94" i="1"/>
  <c r="I94" i="1"/>
  <c r="J94" i="1"/>
  <c r="K94" i="1"/>
  <c r="L94" i="1"/>
  <c r="M94" i="1"/>
  <c r="N94" i="1"/>
  <c r="O94" i="1"/>
  <c r="P94" i="1"/>
  <c r="Q94" i="1"/>
  <c r="R94" i="1"/>
  <c r="S94" i="1"/>
  <c r="T94" i="1"/>
  <c r="U94" i="1"/>
  <c r="V94" i="1"/>
  <c r="W94" i="1"/>
  <c r="X94" i="1"/>
  <c r="Y94" i="1"/>
  <c r="B92" i="1"/>
  <c r="C92" i="1"/>
  <c r="D92" i="1"/>
  <c r="E92" i="1"/>
  <c r="F92" i="1"/>
  <c r="G92" i="1"/>
  <c r="H92" i="1"/>
  <c r="I92" i="1"/>
  <c r="J92" i="1"/>
  <c r="K92" i="1"/>
  <c r="L92" i="1"/>
  <c r="M92" i="1"/>
  <c r="N92" i="1"/>
  <c r="O92" i="1"/>
  <c r="P92" i="1"/>
  <c r="Q92" i="1"/>
  <c r="R92" i="1"/>
  <c r="S92" i="1"/>
  <c r="T92" i="1"/>
  <c r="U92" i="1"/>
  <c r="V92" i="1"/>
  <c r="W92" i="1"/>
  <c r="X92" i="1"/>
  <c r="Y92" i="1"/>
  <c r="B90" i="1"/>
  <c r="C90" i="1"/>
  <c r="D90" i="1"/>
  <c r="E90" i="1"/>
  <c r="F90" i="1"/>
  <c r="G90" i="1"/>
  <c r="H90" i="1"/>
  <c r="I90" i="1"/>
  <c r="J90" i="1"/>
  <c r="K90" i="1"/>
  <c r="L90" i="1"/>
  <c r="M90" i="1"/>
  <c r="N90" i="1"/>
  <c r="O90" i="1"/>
  <c r="P90" i="1"/>
  <c r="Q90" i="1"/>
  <c r="R90" i="1"/>
  <c r="S90" i="1"/>
  <c r="T90" i="1"/>
  <c r="U90" i="1"/>
  <c r="V90" i="1"/>
  <c r="W90" i="1"/>
  <c r="X90" i="1"/>
  <c r="Y90" i="1"/>
  <c r="B91" i="1"/>
  <c r="C91" i="1"/>
  <c r="D91" i="1"/>
  <c r="E91" i="1"/>
  <c r="F91" i="1"/>
  <c r="G91" i="1"/>
  <c r="H91" i="1"/>
  <c r="I91" i="1"/>
  <c r="J91" i="1"/>
  <c r="K91" i="1"/>
  <c r="L91" i="1"/>
  <c r="M91" i="1"/>
  <c r="N91" i="1"/>
  <c r="O91" i="1"/>
  <c r="P91" i="1"/>
  <c r="Q91" i="1"/>
  <c r="R91" i="1"/>
  <c r="S91" i="1"/>
  <c r="T91" i="1"/>
  <c r="U91" i="1"/>
  <c r="V91" i="1"/>
  <c r="W91" i="1"/>
  <c r="X91" i="1"/>
  <c r="Y91" i="1"/>
  <c r="AV6" i="33"/>
  <c r="B87" i="1"/>
  <c r="C87" i="1"/>
  <c r="D87" i="1"/>
  <c r="E87" i="1"/>
  <c r="F87" i="1"/>
  <c r="G87" i="1"/>
  <c r="H87" i="1"/>
  <c r="I87" i="1"/>
  <c r="J87" i="1"/>
  <c r="K87" i="1"/>
  <c r="L87" i="1"/>
  <c r="M87" i="1"/>
  <c r="N87" i="1"/>
  <c r="O87" i="1"/>
  <c r="P87" i="1"/>
  <c r="Q87" i="1"/>
  <c r="R87" i="1"/>
  <c r="S87" i="1"/>
  <c r="T87" i="1"/>
  <c r="U87" i="1"/>
  <c r="V87" i="1"/>
  <c r="W87" i="1"/>
  <c r="X87" i="1"/>
  <c r="Y87" i="1"/>
  <c r="B88" i="1"/>
  <c r="C88" i="1"/>
  <c r="D88" i="1"/>
  <c r="E88" i="1"/>
  <c r="F88" i="1"/>
  <c r="G88" i="1"/>
  <c r="H88" i="1"/>
  <c r="I88" i="1"/>
  <c r="J88" i="1"/>
  <c r="K88" i="1"/>
  <c r="L88" i="1"/>
  <c r="M88" i="1"/>
  <c r="N88" i="1"/>
  <c r="O88" i="1"/>
  <c r="P88" i="1"/>
  <c r="Q88" i="1"/>
  <c r="R88" i="1"/>
  <c r="S88" i="1"/>
  <c r="T88" i="1"/>
  <c r="U88" i="1"/>
  <c r="V88" i="1"/>
  <c r="W88" i="1"/>
  <c r="X88" i="1"/>
  <c r="Y88" i="1"/>
  <c r="B89" i="1"/>
  <c r="C89" i="1"/>
  <c r="D89" i="1"/>
  <c r="E89" i="1"/>
  <c r="F89" i="1"/>
  <c r="G89" i="1"/>
  <c r="H89" i="1"/>
  <c r="I89" i="1"/>
  <c r="J89" i="1"/>
  <c r="K89" i="1"/>
  <c r="L89" i="1"/>
  <c r="M89" i="1"/>
  <c r="N89" i="1"/>
  <c r="O89" i="1"/>
  <c r="P89" i="1"/>
  <c r="Q89" i="1"/>
  <c r="R89" i="1"/>
  <c r="S89" i="1"/>
  <c r="T89" i="1"/>
  <c r="U89" i="1"/>
  <c r="V89" i="1"/>
  <c r="W89" i="1"/>
  <c r="X89" i="1"/>
  <c r="Y89" i="1"/>
  <c r="C85" i="1"/>
  <c r="D85" i="1"/>
  <c r="E85" i="1"/>
  <c r="F85" i="1"/>
  <c r="G85" i="1"/>
  <c r="H85" i="1"/>
  <c r="I85" i="1"/>
  <c r="J85" i="1"/>
  <c r="K85" i="1"/>
  <c r="L85" i="1"/>
  <c r="M85" i="1"/>
  <c r="N85" i="1"/>
  <c r="O85" i="1"/>
  <c r="P85" i="1"/>
  <c r="Q85" i="1"/>
  <c r="R85" i="1"/>
  <c r="S85" i="1"/>
  <c r="T85" i="1"/>
  <c r="U85" i="1"/>
  <c r="V85" i="1"/>
  <c r="W85" i="1"/>
  <c r="X85" i="1"/>
  <c r="Y85" i="1"/>
  <c r="C86" i="1"/>
  <c r="D86" i="1"/>
  <c r="E86" i="1"/>
  <c r="F86" i="1"/>
  <c r="G86" i="1"/>
  <c r="H86" i="1"/>
  <c r="I86" i="1"/>
  <c r="J86" i="1"/>
  <c r="K86" i="1"/>
  <c r="L86" i="1"/>
  <c r="M86" i="1"/>
  <c r="N86" i="1"/>
  <c r="O86" i="1"/>
  <c r="P86" i="1"/>
  <c r="Q86" i="1"/>
  <c r="R86" i="1"/>
  <c r="S86" i="1"/>
  <c r="T86" i="1"/>
  <c r="U86" i="1"/>
  <c r="V86" i="1"/>
  <c r="W86" i="1"/>
  <c r="X86" i="1"/>
  <c r="Y86" i="1"/>
  <c r="B85" i="1"/>
  <c r="B86" i="1"/>
  <c r="C84" i="1"/>
  <c r="D84" i="1"/>
  <c r="E84" i="1"/>
  <c r="F84" i="1"/>
  <c r="G84" i="1"/>
  <c r="H84" i="1"/>
  <c r="I84" i="1"/>
  <c r="J84" i="1"/>
  <c r="K84" i="1"/>
  <c r="L84" i="1"/>
  <c r="M84" i="1"/>
  <c r="N84" i="1"/>
  <c r="O84" i="1"/>
  <c r="P84" i="1"/>
  <c r="Q84" i="1"/>
  <c r="R84" i="1"/>
  <c r="S84" i="1"/>
  <c r="T84" i="1"/>
  <c r="U84" i="1"/>
  <c r="V84" i="1"/>
  <c r="W84" i="1"/>
  <c r="X84" i="1"/>
  <c r="Y84" i="1"/>
  <c r="B84" i="1"/>
  <c r="A88" i="1"/>
  <c r="A89" i="1"/>
  <c r="A90" i="1"/>
  <c r="A91" i="1"/>
  <c r="A92" i="1"/>
  <c r="A93" i="1"/>
  <c r="A94" i="1"/>
  <c r="A95" i="1"/>
  <c r="A96" i="1"/>
  <c r="A97" i="1"/>
  <c r="A98" i="1"/>
  <c r="A99" i="1"/>
  <c r="A100" i="1"/>
  <c r="A85" i="1"/>
  <c r="A86" i="1"/>
  <c r="A87" i="1"/>
  <c r="A2" i="1"/>
  <c r="B2" i="1"/>
  <c r="C2" i="1"/>
  <c r="D2" i="1"/>
  <c r="E2" i="1"/>
  <c r="F2" i="1"/>
  <c r="G2" i="1"/>
  <c r="H2" i="1"/>
  <c r="I2" i="1"/>
  <c r="J2" i="1"/>
  <c r="K2" i="1"/>
  <c r="L2" i="1"/>
  <c r="M2" i="1"/>
  <c r="N2" i="1"/>
  <c r="O2" i="1"/>
  <c r="P2" i="1"/>
  <c r="Q2" i="1"/>
  <c r="R2" i="1"/>
  <c r="S2" i="1"/>
  <c r="T2" i="1"/>
  <c r="U2" i="1"/>
  <c r="V2" i="1"/>
  <c r="W2" i="1"/>
  <c r="X2" i="1"/>
  <c r="Y2" i="1"/>
  <c r="A3" i="1"/>
  <c r="B3" i="1"/>
  <c r="C3" i="1"/>
  <c r="D3" i="1"/>
  <c r="E3" i="1"/>
  <c r="F3" i="1"/>
  <c r="G3" i="1"/>
  <c r="H3" i="1"/>
  <c r="I3" i="1"/>
  <c r="J3" i="1"/>
  <c r="K3" i="1"/>
  <c r="L3" i="1"/>
  <c r="M3" i="1"/>
  <c r="N3" i="1"/>
  <c r="O3" i="1"/>
  <c r="P3" i="1"/>
  <c r="Q3" i="1"/>
  <c r="R3" i="1"/>
  <c r="S3" i="1"/>
  <c r="T3" i="1"/>
  <c r="U3" i="1"/>
  <c r="V3" i="1"/>
  <c r="W3" i="1"/>
  <c r="X3" i="1"/>
  <c r="Y3" i="1"/>
  <c r="A4" i="1"/>
  <c r="B4" i="1"/>
  <c r="C4" i="1"/>
  <c r="D4" i="1"/>
  <c r="E4" i="1"/>
  <c r="F4" i="1"/>
  <c r="G4" i="1"/>
  <c r="H4" i="1"/>
  <c r="I4" i="1"/>
  <c r="J4" i="1"/>
  <c r="K4" i="1"/>
  <c r="L4" i="1"/>
  <c r="M4" i="1"/>
  <c r="N4" i="1"/>
  <c r="O4" i="1"/>
  <c r="P4" i="1"/>
  <c r="Q4" i="1"/>
  <c r="S4" i="1"/>
  <c r="T4" i="1"/>
  <c r="U4" i="1"/>
  <c r="V4" i="1"/>
  <c r="W4" i="1"/>
  <c r="X4" i="1"/>
  <c r="Y4" i="1"/>
  <c r="A5" i="1"/>
  <c r="B5" i="1"/>
  <c r="C5" i="1"/>
  <c r="D5" i="1"/>
  <c r="E5" i="1"/>
  <c r="F5" i="1"/>
  <c r="G5" i="1"/>
  <c r="H5" i="1"/>
  <c r="I5" i="1"/>
  <c r="J5" i="1"/>
  <c r="K5" i="1"/>
  <c r="L5" i="1"/>
  <c r="M5" i="1"/>
  <c r="N5" i="1"/>
  <c r="O5" i="1"/>
  <c r="P5" i="1"/>
  <c r="Q5" i="1"/>
  <c r="R5" i="1"/>
  <c r="S5" i="1"/>
  <c r="T5" i="1"/>
  <c r="U5" i="1"/>
  <c r="V5" i="1"/>
  <c r="W5" i="1"/>
  <c r="X5" i="1"/>
  <c r="Y5" i="1"/>
  <c r="A6" i="1"/>
  <c r="B6" i="1"/>
  <c r="C6" i="1"/>
  <c r="D6" i="1"/>
  <c r="E6" i="1"/>
  <c r="F6" i="1"/>
  <c r="G6" i="1"/>
  <c r="H6" i="1"/>
  <c r="I6" i="1"/>
  <c r="J6" i="1"/>
  <c r="K6" i="1"/>
  <c r="L6" i="1"/>
  <c r="M6" i="1"/>
  <c r="N6" i="1"/>
  <c r="O6" i="1"/>
  <c r="P6" i="1"/>
  <c r="Q6" i="1"/>
  <c r="R6" i="1"/>
  <c r="S6" i="1"/>
  <c r="T6" i="1"/>
  <c r="U6" i="1"/>
  <c r="V6" i="1"/>
  <c r="W6" i="1"/>
  <c r="X6" i="1"/>
  <c r="Y6" i="1"/>
  <c r="A7" i="1"/>
  <c r="B7" i="1"/>
  <c r="C7" i="1"/>
  <c r="D7" i="1"/>
  <c r="E7" i="1"/>
  <c r="F7" i="1"/>
  <c r="G7" i="1"/>
  <c r="H7" i="1"/>
  <c r="I7" i="1"/>
  <c r="J7" i="1"/>
  <c r="K7" i="1"/>
  <c r="L7" i="1"/>
  <c r="M7" i="1"/>
  <c r="N7" i="1"/>
  <c r="O7" i="1"/>
  <c r="P7" i="1"/>
  <c r="Q7" i="1"/>
  <c r="R7" i="1"/>
  <c r="S7" i="1"/>
  <c r="T7" i="1"/>
  <c r="U7" i="1"/>
  <c r="V7" i="1"/>
  <c r="W7" i="1"/>
  <c r="X7" i="1"/>
  <c r="Y7" i="1"/>
  <c r="A8" i="1"/>
  <c r="B8" i="1"/>
  <c r="C8" i="1"/>
  <c r="D8" i="1"/>
  <c r="E8" i="1"/>
  <c r="F8" i="1"/>
  <c r="G8" i="1"/>
  <c r="H8" i="1"/>
  <c r="I8" i="1"/>
  <c r="J8" i="1"/>
  <c r="K8" i="1"/>
  <c r="L8" i="1"/>
  <c r="M8" i="1"/>
  <c r="N8" i="1"/>
  <c r="O8" i="1"/>
  <c r="P8" i="1"/>
  <c r="Q8" i="1"/>
  <c r="R8" i="1"/>
  <c r="S8" i="1"/>
  <c r="T8" i="1"/>
  <c r="U8" i="1"/>
  <c r="V8" i="1"/>
  <c r="W8" i="1"/>
  <c r="X8" i="1"/>
  <c r="Y8" i="1"/>
  <c r="A9" i="1"/>
  <c r="B9" i="1"/>
  <c r="C9" i="1"/>
  <c r="D9" i="1"/>
  <c r="E9" i="1"/>
  <c r="F9" i="1"/>
  <c r="G9" i="1"/>
  <c r="H9" i="1"/>
  <c r="I9" i="1"/>
  <c r="J9" i="1"/>
  <c r="K9" i="1"/>
  <c r="L9" i="1"/>
  <c r="M9" i="1"/>
  <c r="N9" i="1"/>
  <c r="O9" i="1"/>
  <c r="P9" i="1"/>
  <c r="Q9" i="1"/>
  <c r="R9" i="1"/>
  <c r="S9" i="1"/>
  <c r="T9" i="1"/>
  <c r="U9" i="1"/>
  <c r="V9" i="1"/>
  <c r="W9" i="1"/>
  <c r="X9" i="1"/>
  <c r="Y9" i="1"/>
  <c r="A10" i="1"/>
  <c r="B10" i="1"/>
  <c r="C10" i="1"/>
  <c r="D10" i="1"/>
  <c r="E10" i="1"/>
  <c r="F10" i="1"/>
  <c r="G10" i="1"/>
  <c r="H10" i="1"/>
  <c r="I10" i="1"/>
  <c r="J10" i="1"/>
  <c r="K10" i="1"/>
  <c r="L10" i="1"/>
  <c r="M10" i="1"/>
  <c r="N10" i="1"/>
  <c r="O10" i="1"/>
  <c r="P10" i="1"/>
  <c r="Q10" i="1"/>
  <c r="R10" i="1"/>
  <c r="S10" i="1"/>
  <c r="T10" i="1"/>
  <c r="U10" i="1"/>
  <c r="V10" i="1"/>
  <c r="W10" i="1"/>
  <c r="X10" i="1"/>
  <c r="Y10" i="1"/>
  <c r="A11" i="1"/>
  <c r="B11" i="1"/>
  <c r="C11" i="1"/>
  <c r="D11" i="1"/>
  <c r="E11" i="1"/>
  <c r="F11" i="1"/>
  <c r="G11" i="1"/>
  <c r="H11" i="1"/>
  <c r="I11" i="1"/>
  <c r="J11" i="1"/>
  <c r="K11" i="1"/>
  <c r="L11" i="1"/>
  <c r="M11" i="1"/>
  <c r="N11" i="1"/>
  <c r="O11" i="1"/>
  <c r="P11" i="1"/>
  <c r="Q11" i="1"/>
  <c r="R11" i="1"/>
  <c r="S11" i="1"/>
  <c r="T11" i="1"/>
  <c r="U11" i="1"/>
  <c r="V11" i="1"/>
  <c r="W11" i="1"/>
  <c r="X11" i="1"/>
  <c r="Y11" i="1"/>
  <c r="A12" i="1"/>
  <c r="B12" i="1"/>
  <c r="C12" i="1"/>
  <c r="D12" i="1"/>
  <c r="E12" i="1"/>
  <c r="F12" i="1"/>
  <c r="G12" i="1"/>
  <c r="H12" i="1"/>
  <c r="I12" i="1"/>
  <c r="J12" i="1"/>
  <c r="K12" i="1"/>
  <c r="L12" i="1"/>
  <c r="M12" i="1"/>
  <c r="N12" i="1"/>
  <c r="O12" i="1"/>
  <c r="P12" i="1"/>
  <c r="Q12" i="1"/>
  <c r="R12" i="1"/>
  <c r="S12" i="1"/>
  <c r="T12" i="1"/>
  <c r="U12" i="1"/>
  <c r="V12" i="1"/>
  <c r="W12" i="1"/>
  <c r="X12" i="1"/>
  <c r="Y12" i="1"/>
  <c r="A13" i="1"/>
  <c r="B13" i="1"/>
  <c r="C13" i="1"/>
  <c r="D13" i="1"/>
  <c r="E13" i="1"/>
  <c r="F13" i="1"/>
  <c r="G13" i="1"/>
  <c r="H13" i="1"/>
  <c r="I13" i="1"/>
  <c r="J13" i="1"/>
  <c r="K13" i="1"/>
  <c r="L13" i="1"/>
  <c r="M13" i="1"/>
  <c r="N13" i="1"/>
  <c r="O13" i="1"/>
  <c r="P13" i="1"/>
  <c r="Q13" i="1"/>
  <c r="R13" i="1"/>
  <c r="S13" i="1"/>
  <c r="T13" i="1"/>
  <c r="U13" i="1"/>
  <c r="V13" i="1"/>
  <c r="W13" i="1"/>
  <c r="X13" i="1"/>
  <c r="Y13" i="1"/>
  <c r="A14" i="1"/>
  <c r="B14" i="1"/>
  <c r="C14" i="1"/>
  <c r="D14" i="1"/>
  <c r="E14" i="1"/>
  <c r="F14" i="1"/>
  <c r="G14" i="1"/>
  <c r="H14" i="1"/>
  <c r="I14" i="1"/>
  <c r="J14" i="1"/>
  <c r="K14" i="1"/>
  <c r="L14" i="1"/>
  <c r="M14" i="1"/>
  <c r="N14" i="1"/>
  <c r="O14" i="1"/>
  <c r="P14" i="1"/>
  <c r="Q14" i="1"/>
  <c r="R14" i="1"/>
  <c r="S14" i="1"/>
  <c r="T14" i="1"/>
  <c r="U14" i="1"/>
  <c r="V14" i="1"/>
  <c r="W14" i="1"/>
  <c r="X14" i="1"/>
  <c r="Y14" i="1"/>
  <c r="A15" i="1"/>
  <c r="B15" i="1"/>
  <c r="C15" i="1"/>
  <c r="D15" i="1"/>
  <c r="E15" i="1"/>
  <c r="F15" i="1"/>
  <c r="G15" i="1"/>
  <c r="H15" i="1"/>
  <c r="I15" i="1"/>
  <c r="J15" i="1"/>
  <c r="K15" i="1"/>
  <c r="L15" i="1"/>
  <c r="M15" i="1"/>
  <c r="N15" i="1"/>
  <c r="O15" i="1"/>
  <c r="P15" i="1"/>
  <c r="Q15" i="1"/>
  <c r="R15" i="1"/>
  <c r="S15" i="1"/>
  <c r="T15" i="1"/>
  <c r="U15" i="1"/>
  <c r="V15" i="1"/>
  <c r="W15" i="1"/>
  <c r="X15" i="1"/>
  <c r="Y15" i="1"/>
  <c r="A16" i="1"/>
  <c r="B16" i="1"/>
  <c r="C16" i="1"/>
  <c r="D16" i="1"/>
  <c r="E16" i="1"/>
  <c r="F16" i="1"/>
  <c r="G16" i="1"/>
  <c r="H16" i="1"/>
  <c r="I16" i="1"/>
  <c r="J16" i="1"/>
  <c r="K16" i="1"/>
  <c r="L16" i="1"/>
  <c r="M16" i="1"/>
  <c r="N16" i="1"/>
  <c r="O16" i="1"/>
  <c r="P16" i="1"/>
  <c r="Q16" i="1"/>
  <c r="R16" i="1"/>
  <c r="S16" i="1"/>
  <c r="T16" i="1"/>
  <c r="U16" i="1"/>
  <c r="V16" i="1"/>
  <c r="W16" i="1"/>
  <c r="X16" i="1"/>
  <c r="Y16" i="1"/>
  <c r="A17" i="1"/>
  <c r="B17" i="1"/>
  <c r="C17" i="1"/>
  <c r="D17" i="1"/>
  <c r="E17" i="1"/>
  <c r="F17" i="1"/>
  <c r="G17" i="1"/>
  <c r="H17" i="1"/>
  <c r="I17" i="1"/>
  <c r="J17" i="1"/>
  <c r="K17" i="1"/>
  <c r="L17" i="1"/>
  <c r="M17" i="1"/>
  <c r="N17" i="1"/>
  <c r="O17" i="1"/>
  <c r="P17" i="1"/>
  <c r="Q17" i="1"/>
  <c r="R17" i="1"/>
  <c r="S17" i="1"/>
  <c r="T17" i="1"/>
  <c r="U17" i="1"/>
  <c r="V17" i="1"/>
  <c r="W17" i="1"/>
  <c r="X17" i="1"/>
  <c r="Y17" i="1"/>
  <c r="A18" i="1"/>
  <c r="B18" i="1"/>
  <c r="C18" i="1"/>
  <c r="D18" i="1"/>
  <c r="E18" i="1"/>
  <c r="F18" i="1"/>
  <c r="G18" i="1"/>
  <c r="H18" i="1"/>
  <c r="I18" i="1"/>
  <c r="J18" i="1"/>
  <c r="K18" i="1"/>
  <c r="L18" i="1"/>
  <c r="M18" i="1"/>
  <c r="N18" i="1"/>
  <c r="O18" i="1"/>
  <c r="P18" i="1"/>
  <c r="Q18" i="1"/>
  <c r="R18" i="1"/>
  <c r="S18" i="1"/>
  <c r="T18" i="1"/>
  <c r="U18" i="1"/>
  <c r="V18" i="1"/>
  <c r="W18" i="1"/>
  <c r="X18" i="1"/>
  <c r="Y18" i="1"/>
  <c r="A19" i="1"/>
  <c r="B19" i="1"/>
  <c r="C19" i="1"/>
  <c r="D19" i="1"/>
  <c r="E19" i="1"/>
  <c r="F19" i="1"/>
  <c r="G19" i="1"/>
  <c r="H19" i="1"/>
  <c r="I19" i="1"/>
  <c r="J19" i="1"/>
  <c r="K19" i="1"/>
  <c r="L19" i="1"/>
  <c r="M19" i="1"/>
  <c r="N19" i="1"/>
  <c r="O19" i="1"/>
  <c r="P19" i="1"/>
  <c r="Q19" i="1"/>
  <c r="R19" i="1"/>
  <c r="S19" i="1"/>
  <c r="T19" i="1"/>
  <c r="U19" i="1"/>
  <c r="V19" i="1"/>
  <c r="W19" i="1"/>
  <c r="X19" i="1"/>
  <c r="Y19" i="1"/>
  <c r="A20" i="1"/>
  <c r="B20" i="1"/>
  <c r="C20" i="1"/>
  <c r="D20" i="1"/>
  <c r="E20" i="1"/>
  <c r="F20" i="1"/>
  <c r="G20" i="1"/>
  <c r="H20" i="1"/>
  <c r="I20" i="1"/>
  <c r="J20" i="1"/>
  <c r="K20" i="1"/>
  <c r="L20" i="1"/>
  <c r="M20" i="1"/>
  <c r="N20" i="1"/>
  <c r="O20" i="1"/>
  <c r="P20" i="1"/>
  <c r="Q20" i="1"/>
  <c r="R20" i="1"/>
  <c r="S20" i="1"/>
  <c r="T20" i="1"/>
  <c r="U20" i="1"/>
  <c r="V20" i="1"/>
  <c r="W20" i="1"/>
  <c r="X20" i="1"/>
  <c r="Y20" i="1"/>
  <c r="A21" i="1"/>
  <c r="B21" i="1"/>
  <c r="C21" i="1"/>
  <c r="D21" i="1"/>
  <c r="E21" i="1"/>
  <c r="F21" i="1"/>
  <c r="G21" i="1"/>
  <c r="H21" i="1"/>
  <c r="I21" i="1"/>
  <c r="J21" i="1"/>
  <c r="K21" i="1"/>
  <c r="L21" i="1"/>
  <c r="M21" i="1"/>
  <c r="N21" i="1"/>
  <c r="O21" i="1"/>
  <c r="P21" i="1"/>
  <c r="Q21" i="1"/>
  <c r="R21" i="1"/>
  <c r="S21" i="1"/>
  <c r="T21" i="1"/>
  <c r="U21" i="1"/>
  <c r="V21" i="1"/>
  <c r="W21" i="1"/>
  <c r="X21" i="1"/>
  <c r="Y21" i="1"/>
  <c r="A22" i="1"/>
  <c r="B22" i="1"/>
  <c r="C22" i="1"/>
  <c r="D22" i="1"/>
  <c r="E22" i="1"/>
  <c r="F22" i="1"/>
  <c r="G22" i="1"/>
  <c r="H22" i="1"/>
  <c r="I22" i="1"/>
  <c r="J22" i="1"/>
  <c r="K22" i="1"/>
  <c r="L22" i="1"/>
  <c r="M22" i="1"/>
  <c r="N22" i="1"/>
  <c r="O22" i="1"/>
  <c r="P22" i="1"/>
  <c r="Q22" i="1"/>
  <c r="R22" i="1"/>
  <c r="S22" i="1"/>
  <c r="T22" i="1"/>
  <c r="U22" i="1"/>
  <c r="V22" i="1"/>
  <c r="W22" i="1"/>
  <c r="X22" i="1"/>
  <c r="Y22" i="1"/>
  <c r="A23" i="1"/>
  <c r="B23" i="1"/>
  <c r="C23" i="1"/>
  <c r="D23" i="1"/>
  <c r="E23" i="1"/>
  <c r="F23" i="1"/>
  <c r="G23" i="1"/>
  <c r="H23" i="1"/>
  <c r="I23" i="1"/>
  <c r="J23" i="1"/>
  <c r="K23" i="1"/>
  <c r="L23" i="1"/>
  <c r="M23" i="1"/>
  <c r="N23" i="1"/>
  <c r="O23" i="1"/>
  <c r="P23" i="1"/>
  <c r="Q23" i="1"/>
  <c r="R23" i="1"/>
  <c r="S23" i="1"/>
  <c r="T23" i="1"/>
  <c r="U23" i="1"/>
  <c r="V23" i="1"/>
  <c r="W23" i="1"/>
  <c r="X23" i="1"/>
  <c r="Y23" i="1"/>
  <c r="A24" i="1"/>
  <c r="B24" i="1"/>
  <c r="C24" i="1"/>
  <c r="D24" i="1"/>
  <c r="E24" i="1"/>
  <c r="F24" i="1"/>
  <c r="G24" i="1"/>
  <c r="H24" i="1"/>
  <c r="I24" i="1"/>
  <c r="J24" i="1"/>
  <c r="K24" i="1"/>
  <c r="L24" i="1"/>
  <c r="M24" i="1"/>
  <c r="N24" i="1"/>
  <c r="O24" i="1"/>
  <c r="P24" i="1"/>
  <c r="Q24" i="1"/>
  <c r="R24" i="1"/>
  <c r="S24" i="1"/>
  <c r="T24" i="1"/>
  <c r="U24" i="1"/>
  <c r="V24" i="1"/>
  <c r="W24" i="1"/>
  <c r="X24" i="1"/>
  <c r="Y24" i="1"/>
  <c r="A25" i="1"/>
  <c r="B25" i="1"/>
  <c r="C25" i="1"/>
  <c r="D25" i="1"/>
  <c r="E25" i="1"/>
  <c r="F25" i="1"/>
  <c r="G25" i="1"/>
  <c r="H25" i="1"/>
  <c r="I25" i="1"/>
  <c r="J25" i="1"/>
  <c r="K25" i="1"/>
  <c r="L25" i="1"/>
  <c r="M25" i="1"/>
  <c r="N25" i="1"/>
  <c r="O25" i="1"/>
  <c r="P25" i="1"/>
  <c r="Q25" i="1"/>
  <c r="R25" i="1"/>
  <c r="S25" i="1"/>
  <c r="T25" i="1"/>
  <c r="U25" i="1"/>
  <c r="V25" i="1"/>
  <c r="W25" i="1"/>
  <c r="X25" i="1"/>
  <c r="Y25" i="1"/>
  <c r="A26" i="1"/>
  <c r="B26" i="1"/>
  <c r="C26" i="1"/>
  <c r="D26" i="1"/>
  <c r="E26" i="1"/>
  <c r="F26" i="1"/>
  <c r="G26" i="1"/>
  <c r="H26" i="1"/>
  <c r="I26" i="1"/>
  <c r="J26" i="1"/>
  <c r="K26" i="1"/>
  <c r="L26" i="1"/>
  <c r="M26" i="1"/>
  <c r="N26" i="1"/>
  <c r="O26" i="1"/>
  <c r="P26" i="1"/>
  <c r="Q26" i="1"/>
  <c r="R26" i="1"/>
  <c r="S26" i="1"/>
  <c r="T26" i="1"/>
  <c r="U26" i="1"/>
  <c r="V26" i="1"/>
  <c r="W26" i="1"/>
  <c r="X26" i="1"/>
  <c r="Y26" i="1"/>
  <c r="A27" i="1"/>
  <c r="B27" i="1"/>
  <c r="C27" i="1"/>
  <c r="D27" i="1"/>
  <c r="E27" i="1"/>
  <c r="F27" i="1"/>
  <c r="G27" i="1"/>
  <c r="H27" i="1"/>
  <c r="I27" i="1"/>
  <c r="J27" i="1"/>
  <c r="K27" i="1"/>
  <c r="L27" i="1"/>
  <c r="M27" i="1"/>
  <c r="N27" i="1"/>
  <c r="O27" i="1"/>
  <c r="P27" i="1"/>
  <c r="Q27" i="1"/>
  <c r="R27" i="1"/>
  <c r="S27" i="1"/>
  <c r="T27" i="1"/>
  <c r="U27" i="1"/>
  <c r="V27" i="1"/>
  <c r="W27" i="1"/>
  <c r="X27" i="1"/>
  <c r="Y27" i="1"/>
  <c r="A28" i="1"/>
  <c r="B28" i="1"/>
  <c r="C28" i="1"/>
  <c r="D28" i="1"/>
  <c r="E28" i="1"/>
  <c r="F28" i="1"/>
  <c r="G28" i="1"/>
  <c r="H28" i="1"/>
  <c r="I28" i="1"/>
  <c r="J28" i="1"/>
  <c r="K28" i="1"/>
  <c r="L28" i="1"/>
  <c r="M28" i="1"/>
  <c r="N28" i="1"/>
  <c r="O28" i="1"/>
  <c r="P28" i="1"/>
  <c r="Q28" i="1"/>
  <c r="R28" i="1"/>
  <c r="S28" i="1"/>
  <c r="T28" i="1"/>
  <c r="U28" i="1"/>
  <c r="V28" i="1"/>
  <c r="W28" i="1"/>
  <c r="X28" i="1"/>
  <c r="Y28" i="1"/>
  <c r="A29" i="1"/>
  <c r="B29" i="1"/>
  <c r="C29" i="1"/>
  <c r="D29" i="1"/>
  <c r="E29" i="1"/>
  <c r="F29" i="1"/>
  <c r="G29" i="1"/>
  <c r="H29" i="1"/>
  <c r="I29" i="1"/>
  <c r="J29" i="1"/>
  <c r="K29" i="1"/>
  <c r="L29" i="1"/>
  <c r="M29" i="1"/>
  <c r="N29" i="1"/>
  <c r="O29" i="1"/>
  <c r="P29" i="1"/>
  <c r="Q29" i="1"/>
  <c r="R29" i="1"/>
  <c r="S29" i="1"/>
  <c r="T29" i="1"/>
  <c r="U29" i="1"/>
  <c r="V29" i="1"/>
  <c r="W29" i="1"/>
  <c r="X29" i="1"/>
  <c r="Y29" i="1"/>
  <c r="A30" i="1"/>
  <c r="B30" i="1"/>
  <c r="C30" i="1"/>
  <c r="D30" i="1"/>
  <c r="E30" i="1"/>
  <c r="F30" i="1"/>
  <c r="G30" i="1"/>
  <c r="H30" i="1"/>
  <c r="I30" i="1"/>
  <c r="J30" i="1"/>
  <c r="K30" i="1"/>
  <c r="L30" i="1"/>
  <c r="M30" i="1"/>
  <c r="N30" i="1"/>
  <c r="O30" i="1"/>
  <c r="P30" i="1"/>
  <c r="Q30" i="1"/>
  <c r="R30" i="1"/>
  <c r="S30" i="1"/>
  <c r="T30" i="1"/>
  <c r="U30" i="1"/>
  <c r="V30" i="1"/>
  <c r="W30" i="1"/>
  <c r="X30" i="1"/>
  <c r="Y30" i="1"/>
  <c r="A31" i="1"/>
  <c r="B31" i="1"/>
  <c r="C31" i="1"/>
  <c r="D31" i="1"/>
  <c r="E31" i="1"/>
  <c r="F31" i="1"/>
  <c r="G31" i="1"/>
  <c r="H31" i="1"/>
  <c r="I31" i="1"/>
  <c r="J31" i="1"/>
  <c r="K31" i="1"/>
  <c r="L31" i="1"/>
  <c r="M31" i="1"/>
  <c r="N31" i="1"/>
  <c r="O31" i="1"/>
  <c r="P31" i="1"/>
  <c r="Q31" i="1"/>
  <c r="R31" i="1"/>
  <c r="S31" i="1"/>
  <c r="T31" i="1"/>
  <c r="U31" i="1"/>
  <c r="V31" i="1"/>
  <c r="W31" i="1"/>
  <c r="X31" i="1"/>
  <c r="Y31" i="1"/>
  <c r="A32" i="1"/>
  <c r="B32" i="1"/>
  <c r="C32" i="1"/>
  <c r="D32" i="1"/>
  <c r="E32" i="1"/>
  <c r="F32" i="1"/>
  <c r="G32" i="1"/>
  <c r="H32" i="1"/>
  <c r="I32" i="1"/>
  <c r="J32" i="1"/>
  <c r="K32" i="1"/>
  <c r="L32" i="1"/>
  <c r="M32" i="1"/>
  <c r="N32" i="1"/>
  <c r="O32" i="1"/>
  <c r="P32" i="1"/>
  <c r="Q32" i="1"/>
  <c r="R32" i="1"/>
  <c r="S32" i="1"/>
  <c r="T32" i="1"/>
  <c r="U32" i="1"/>
  <c r="V32" i="1"/>
  <c r="W32" i="1"/>
  <c r="X32" i="1"/>
  <c r="Y32" i="1"/>
  <c r="A33" i="1"/>
  <c r="B33" i="1"/>
  <c r="C33" i="1"/>
  <c r="D33" i="1"/>
  <c r="E33" i="1"/>
  <c r="F33" i="1"/>
  <c r="G33" i="1"/>
  <c r="H33" i="1"/>
  <c r="I33" i="1"/>
  <c r="J33" i="1"/>
  <c r="K33" i="1"/>
  <c r="L33" i="1"/>
  <c r="M33" i="1"/>
  <c r="N33" i="1"/>
  <c r="O33" i="1"/>
  <c r="P33" i="1"/>
  <c r="Q33" i="1"/>
  <c r="R33" i="1"/>
  <c r="S33" i="1"/>
  <c r="T33" i="1"/>
  <c r="U33" i="1"/>
  <c r="V33" i="1"/>
  <c r="W33" i="1"/>
  <c r="X33" i="1"/>
  <c r="Y33" i="1"/>
  <c r="A34" i="1"/>
  <c r="B34" i="1"/>
  <c r="C34" i="1"/>
  <c r="D34" i="1"/>
  <c r="E34" i="1"/>
  <c r="F34" i="1"/>
  <c r="G34" i="1"/>
  <c r="H34" i="1"/>
  <c r="I34" i="1"/>
  <c r="J34" i="1"/>
  <c r="K34" i="1"/>
  <c r="L34" i="1"/>
  <c r="M34" i="1"/>
  <c r="N34" i="1"/>
  <c r="O34" i="1"/>
  <c r="P34" i="1"/>
  <c r="Q34" i="1"/>
  <c r="R34" i="1"/>
  <c r="S34" i="1"/>
  <c r="T34" i="1"/>
  <c r="U34" i="1"/>
  <c r="V34" i="1"/>
  <c r="W34" i="1"/>
  <c r="X34" i="1"/>
  <c r="Y34" i="1"/>
  <c r="A35" i="1"/>
  <c r="B35" i="1"/>
  <c r="C35" i="1"/>
  <c r="D35" i="1"/>
  <c r="E35" i="1"/>
  <c r="F35" i="1"/>
  <c r="G35" i="1"/>
  <c r="H35" i="1"/>
  <c r="I35" i="1"/>
  <c r="J35" i="1"/>
  <c r="K35" i="1"/>
  <c r="L35" i="1"/>
  <c r="M35" i="1"/>
  <c r="N35" i="1"/>
  <c r="O35" i="1"/>
  <c r="P35" i="1"/>
  <c r="Q35" i="1"/>
  <c r="R35" i="1"/>
  <c r="S35" i="1"/>
  <c r="T35" i="1"/>
  <c r="U35" i="1"/>
  <c r="V35" i="1"/>
  <c r="W35" i="1"/>
  <c r="X35" i="1"/>
  <c r="Y35" i="1"/>
  <c r="A36" i="1"/>
  <c r="B36" i="1"/>
  <c r="C36" i="1"/>
  <c r="D36" i="1"/>
  <c r="E36" i="1"/>
  <c r="F36" i="1"/>
  <c r="G36" i="1"/>
  <c r="H36" i="1"/>
  <c r="I36" i="1"/>
  <c r="J36" i="1"/>
  <c r="K36" i="1"/>
  <c r="L36" i="1"/>
  <c r="M36" i="1"/>
  <c r="N36" i="1"/>
  <c r="O36" i="1"/>
  <c r="P36" i="1"/>
  <c r="Q36" i="1"/>
  <c r="R36" i="1"/>
  <c r="S36" i="1"/>
  <c r="T36" i="1"/>
  <c r="U36" i="1"/>
  <c r="V36" i="1"/>
  <c r="W36" i="1"/>
  <c r="X36" i="1"/>
  <c r="Y36" i="1"/>
  <c r="A37" i="1"/>
  <c r="B37" i="1"/>
  <c r="C37" i="1"/>
  <c r="D37" i="1"/>
  <c r="E37" i="1"/>
  <c r="F37" i="1"/>
  <c r="G37" i="1"/>
  <c r="H37" i="1"/>
  <c r="I37" i="1"/>
  <c r="J37" i="1"/>
  <c r="K37" i="1"/>
  <c r="L37" i="1"/>
  <c r="M37" i="1"/>
  <c r="N37" i="1"/>
  <c r="O37" i="1"/>
  <c r="P37" i="1"/>
  <c r="Q37" i="1"/>
  <c r="R37" i="1"/>
  <c r="S37" i="1"/>
  <c r="T37" i="1"/>
  <c r="U37" i="1"/>
  <c r="V37" i="1"/>
  <c r="W37" i="1"/>
  <c r="X37" i="1"/>
  <c r="Y37" i="1"/>
  <c r="R38" i="1"/>
  <c r="R39" i="1"/>
  <c r="R40" i="1"/>
  <c r="R41" i="1"/>
  <c r="R42" i="1"/>
  <c r="R43" i="1"/>
  <c r="R44" i="1"/>
  <c r="R45" i="1"/>
  <c r="R46" i="1"/>
  <c r="A38" i="1"/>
  <c r="B38" i="1"/>
  <c r="C38" i="1"/>
  <c r="D38" i="1"/>
  <c r="E38" i="1"/>
  <c r="F38" i="1"/>
  <c r="G38" i="1"/>
  <c r="H38" i="1"/>
  <c r="I38" i="1"/>
  <c r="J38" i="1"/>
  <c r="K38" i="1"/>
  <c r="L38" i="1"/>
  <c r="M38" i="1"/>
  <c r="N38" i="1"/>
  <c r="O38" i="1"/>
  <c r="P38" i="1"/>
  <c r="Q38" i="1"/>
  <c r="S38" i="1"/>
  <c r="T38" i="1"/>
  <c r="U38" i="1"/>
  <c r="V38" i="1"/>
  <c r="W38" i="1"/>
  <c r="X38" i="1"/>
  <c r="Y38" i="1"/>
  <c r="A39" i="1"/>
  <c r="B39" i="1"/>
  <c r="C39" i="1"/>
  <c r="D39" i="1"/>
  <c r="E39" i="1"/>
  <c r="F39" i="1"/>
  <c r="G39" i="1"/>
  <c r="H39" i="1"/>
  <c r="I39" i="1"/>
  <c r="J39" i="1"/>
  <c r="K39" i="1"/>
  <c r="L39" i="1"/>
  <c r="M39" i="1"/>
  <c r="N39" i="1"/>
  <c r="O39" i="1"/>
  <c r="P39" i="1"/>
  <c r="Q39" i="1"/>
  <c r="S39" i="1"/>
  <c r="T39" i="1"/>
  <c r="U39" i="1"/>
  <c r="V39" i="1"/>
  <c r="W39" i="1"/>
  <c r="X39" i="1"/>
  <c r="Y39" i="1"/>
  <c r="A40" i="1"/>
  <c r="B40" i="1"/>
  <c r="C40" i="1"/>
  <c r="D40" i="1"/>
  <c r="E40" i="1"/>
  <c r="F40" i="1"/>
  <c r="G40" i="1"/>
  <c r="H40" i="1"/>
  <c r="I40" i="1"/>
  <c r="J40" i="1"/>
  <c r="K40" i="1"/>
  <c r="L40" i="1"/>
  <c r="M40" i="1"/>
  <c r="N40" i="1"/>
  <c r="O40" i="1"/>
  <c r="P40" i="1"/>
  <c r="Q40" i="1"/>
  <c r="S40" i="1"/>
  <c r="T40" i="1"/>
  <c r="U40" i="1"/>
  <c r="V40" i="1"/>
  <c r="W40" i="1"/>
  <c r="X40" i="1"/>
  <c r="Y40" i="1"/>
  <c r="A41" i="1"/>
  <c r="B41" i="1"/>
  <c r="C41" i="1"/>
  <c r="D41" i="1"/>
  <c r="E41" i="1"/>
  <c r="F41" i="1"/>
  <c r="G41" i="1"/>
  <c r="H41" i="1"/>
  <c r="I41" i="1"/>
  <c r="J41" i="1"/>
  <c r="K41" i="1"/>
  <c r="L41" i="1"/>
  <c r="M41" i="1"/>
  <c r="N41" i="1"/>
  <c r="O41" i="1"/>
  <c r="P41" i="1"/>
  <c r="Q41" i="1"/>
  <c r="S41" i="1"/>
  <c r="T41" i="1"/>
  <c r="U41" i="1"/>
  <c r="V41" i="1"/>
  <c r="W41" i="1"/>
  <c r="X41" i="1"/>
  <c r="Y41" i="1"/>
  <c r="A42" i="1"/>
  <c r="B42" i="1"/>
  <c r="C42" i="1"/>
  <c r="D42" i="1"/>
  <c r="E42" i="1"/>
  <c r="F42" i="1"/>
  <c r="G42" i="1"/>
  <c r="H42" i="1"/>
  <c r="I42" i="1"/>
  <c r="J42" i="1"/>
  <c r="K42" i="1"/>
  <c r="L42" i="1"/>
  <c r="M42" i="1"/>
  <c r="N42" i="1"/>
  <c r="O42" i="1"/>
  <c r="P42" i="1"/>
  <c r="Q42" i="1"/>
  <c r="S42" i="1"/>
  <c r="T42" i="1"/>
  <c r="U42" i="1"/>
  <c r="V42" i="1"/>
  <c r="W42" i="1"/>
  <c r="X42" i="1"/>
  <c r="Y42" i="1"/>
  <c r="A43" i="1"/>
  <c r="B43" i="1"/>
  <c r="C43" i="1"/>
  <c r="D43" i="1"/>
  <c r="E43" i="1"/>
  <c r="F43" i="1"/>
  <c r="G43" i="1"/>
  <c r="H43" i="1"/>
  <c r="I43" i="1"/>
  <c r="J43" i="1"/>
  <c r="K43" i="1"/>
  <c r="L43" i="1"/>
  <c r="M43" i="1"/>
  <c r="N43" i="1"/>
  <c r="O43" i="1"/>
  <c r="P43" i="1"/>
  <c r="Q43" i="1"/>
  <c r="S43" i="1"/>
  <c r="T43" i="1"/>
  <c r="U43" i="1"/>
  <c r="V43" i="1"/>
  <c r="W43" i="1"/>
  <c r="X43" i="1"/>
  <c r="Y43" i="1"/>
  <c r="A44" i="1"/>
  <c r="B44" i="1"/>
  <c r="C44" i="1"/>
  <c r="D44" i="1"/>
  <c r="E44" i="1"/>
  <c r="F44" i="1"/>
  <c r="G44" i="1"/>
  <c r="H44" i="1"/>
  <c r="I44" i="1"/>
  <c r="J44" i="1"/>
  <c r="K44" i="1"/>
  <c r="L44" i="1"/>
  <c r="M44" i="1"/>
  <c r="N44" i="1"/>
  <c r="O44" i="1"/>
  <c r="P44" i="1"/>
  <c r="Q44" i="1"/>
  <c r="S44" i="1"/>
  <c r="T44" i="1"/>
  <c r="U44" i="1"/>
  <c r="V44" i="1"/>
  <c r="W44" i="1"/>
  <c r="X44" i="1"/>
  <c r="Y44" i="1"/>
  <c r="A45" i="1"/>
  <c r="B45" i="1"/>
  <c r="C45" i="1"/>
  <c r="D45" i="1"/>
  <c r="E45" i="1"/>
  <c r="F45" i="1"/>
  <c r="G45" i="1"/>
  <c r="H45" i="1"/>
  <c r="I45" i="1"/>
  <c r="J45" i="1"/>
  <c r="K45" i="1"/>
  <c r="L45" i="1"/>
  <c r="M45" i="1"/>
  <c r="N45" i="1"/>
  <c r="O45" i="1"/>
  <c r="P45" i="1"/>
  <c r="Q45" i="1"/>
  <c r="S45" i="1"/>
  <c r="T45" i="1"/>
  <c r="U45" i="1"/>
  <c r="V45" i="1"/>
  <c r="W45" i="1"/>
  <c r="X45" i="1"/>
  <c r="Y45" i="1"/>
  <c r="A46" i="1"/>
  <c r="B46" i="1"/>
  <c r="C46" i="1"/>
  <c r="D46" i="1"/>
  <c r="E46" i="1"/>
  <c r="F46" i="1"/>
  <c r="G46" i="1"/>
  <c r="H46" i="1"/>
  <c r="I46" i="1"/>
  <c r="J46" i="1"/>
  <c r="K46" i="1"/>
  <c r="L46" i="1"/>
  <c r="M46" i="1"/>
  <c r="N46" i="1"/>
  <c r="O46" i="1"/>
  <c r="P46" i="1"/>
  <c r="Q46" i="1"/>
  <c r="S46" i="1"/>
  <c r="T46" i="1"/>
  <c r="U46" i="1"/>
  <c r="V46" i="1"/>
  <c r="W46" i="1"/>
  <c r="X46" i="1"/>
  <c r="Y46" i="1"/>
  <c r="A47" i="1"/>
  <c r="B47" i="1"/>
  <c r="C47" i="1"/>
  <c r="D47" i="1"/>
  <c r="E47" i="1"/>
  <c r="F47" i="1"/>
  <c r="G47" i="1"/>
  <c r="H47" i="1"/>
  <c r="I47" i="1"/>
  <c r="J47" i="1"/>
  <c r="K47" i="1"/>
  <c r="L47" i="1"/>
  <c r="M47" i="1"/>
  <c r="N47" i="1"/>
  <c r="O47" i="1"/>
  <c r="P47" i="1"/>
  <c r="Q47" i="1"/>
  <c r="R47" i="1"/>
  <c r="S47" i="1"/>
  <c r="T47" i="1"/>
  <c r="U47" i="1"/>
  <c r="V47" i="1"/>
  <c r="W47" i="1"/>
  <c r="X47" i="1"/>
  <c r="Y47" i="1"/>
  <c r="A48" i="1"/>
  <c r="B48" i="1"/>
  <c r="C48" i="1"/>
  <c r="D48" i="1"/>
  <c r="E48" i="1"/>
  <c r="F48" i="1"/>
  <c r="G48" i="1"/>
  <c r="H48" i="1"/>
  <c r="I48" i="1"/>
  <c r="J48" i="1"/>
  <c r="K48" i="1"/>
  <c r="L48" i="1"/>
  <c r="M48" i="1"/>
  <c r="N48" i="1"/>
  <c r="O48" i="1"/>
  <c r="P48" i="1"/>
  <c r="Q48" i="1"/>
  <c r="R48" i="1"/>
  <c r="S48" i="1"/>
  <c r="T48" i="1"/>
  <c r="U48" i="1"/>
  <c r="V48" i="1"/>
  <c r="W48" i="1"/>
  <c r="X48" i="1"/>
  <c r="Y48" i="1"/>
  <c r="A49" i="1"/>
  <c r="B49" i="1"/>
  <c r="C49" i="1"/>
  <c r="D49" i="1"/>
  <c r="E49" i="1"/>
  <c r="F49" i="1"/>
  <c r="G49" i="1"/>
  <c r="H49" i="1"/>
  <c r="I49" i="1"/>
  <c r="J49" i="1"/>
  <c r="K49" i="1"/>
  <c r="L49" i="1"/>
  <c r="M49" i="1"/>
  <c r="N49" i="1"/>
  <c r="O49" i="1"/>
  <c r="P49" i="1"/>
  <c r="Q49" i="1"/>
  <c r="R49" i="1"/>
  <c r="S49" i="1"/>
  <c r="T49" i="1"/>
  <c r="U49" i="1"/>
  <c r="V49" i="1"/>
  <c r="W49" i="1"/>
  <c r="X49" i="1"/>
  <c r="Y49" i="1"/>
  <c r="A50" i="1"/>
  <c r="B50" i="1"/>
  <c r="C50" i="1"/>
  <c r="D50" i="1"/>
  <c r="E50" i="1"/>
  <c r="F50" i="1"/>
  <c r="G50" i="1"/>
  <c r="H50" i="1"/>
  <c r="I50" i="1"/>
  <c r="J50" i="1"/>
  <c r="K50" i="1"/>
  <c r="L50" i="1"/>
  <c r="M50" i="1"/>
  <c r="N50" i="1"/>
  <c r="O50" i="1"/>
  <c r="P50" i="1"/>
  <c r="Q50" i="1"/>
  <c r="R50" i="1"/>
  <c r="S50" i="1"/>
  <c r="T50" i="1"/>
  <c r="U50" i="1"/>
  <c r="V50" i="1"/>
  <c r="W50" i="1"/>
  <c r="X50" i="1"/>
  <c r="Y50" i="1"/>
  <c r="A51" i="1"/>
  <c r="B51" i="1"/>
  <c r="C51" i="1"/>
  <c r="D51" i="1"/>
  <c r="E51" i="1"/>
  <c r="F51" i="1"/>
  <c r="G51" i="1"/>
  <c r="H51" i="1"/>
  <c r="I51" i="1"/>
  <c r="J51" i="1"/>
  <c r="K51" i="1"/>
  <c r="L51" i="1"/>
  <c r="M51" i="1"/>
  <c r="N51" i="1"/>
  <c r="O51" i="1"/>
  <c r="P51" i="1"/>
  <c r="Q51" i="1"/>
  <c r="R51" i="1"/>
  <c r="S51" i="1"/>
  <c r="T51" i="1"/>
  <c r="U51" i="1"/>
  <c r="V51" i="1"/>
  <c r="W51" i="1"/>
  <c r="X51" i="1"/>
  <c r="Y51" i="1"/>
  <c r="A52" i="1"/>
  <c r="B52" i="1"/>
  <c r="C52" i="1"/>
  <c r="D52" i="1"/>
  <c r="E52" i="1"/>
  <c r="F52" i="1"/>
  <c r="G52" i="1"/>
  <c r="H52" i="1"/>
  <c r="I52" i="1"/>
  <c r="J52" i="1"/>
  <c r="K52" i="1"/>
  <c r="L52" i="1"/>
  <c r="M52" i="1"/>
  <c r="N52" i="1"/>
  <c r="O52" i="1"/>
  <c r="P52" i="1"/>
  <c r="Q52" i="1"/>
  <c r="R52" i="1"/>
  <c r="S52" i="1"/>
  <c r="T52" i="1"/>
  <c r="U52" i="1"/>
  <c r="V52" i="1"/>
  <c r="W52" i="1"/>
  <c r="X52" i="1"/>
  <c r="Y52" i="1"/>
  <c r="A53" i="1"/>
  <c r="B53" i="1"/>
  <c r="C53" i="1"/>
  <c r="D53" i="1"/>
  <c r="E53" i="1"/>
  <c r="F53" i="1"/>
  <c r="G53" i="1"/>
  <c r="H53" i="1"/>
  <c r="I53" i="1"/>
  <c r="J53" i="1"/>
  <c r="K53" i="1"/>
  <c r="L53" i="1"/>
  <c r="M53" i="1"/>
  <c r="N53" i="1"/>
  <c r="O53" i="1"/>
  <c r="P53" i="1"/>
  <c r="Q53" i="1"/>
  <c r="R53" i="1"/>
  <c r="S53" i="1"/>
  <c r="T53" i="1"/>
  <c r="U53" i="1"/>
  <c r="V53" i="1"/>
  <c r="W53" i="1"/>
  <c r="X53" i="1"/>
  <c r="Y53" i="1"/>
  <c r="A54" i="1"/>
  <c r="B54" i="1"/>
  <c r="C54" i="1"/>
  <c r="D54" i="1"/>
  <c r="E54" i="1"/>
  <c r="F54" i="1"/>
  <c r="G54" i="1"/>
  <c r="H54" i="1"/>
  <c r="I54" i="1"/>
  <c r="J54" i="1"/>
  <c r="K54" i="1"/>
  <c r="L54" i="1"/>
  <c r="M54" i="1"/>
  <c r="N54" i="1"/>
  <c r="O54" i="1"/>
  <c r="P54" i="1"/>
  <c r="Q54" i="1"/>
  <c r="R54" i="1"/>
  <c r="S54" i="1"/>
  <c r="T54" i="1"/>
  <c r="U54" i="1"/>
  <c r="V54" i="1"/>
  <c r="W54" i="1"/>
  <c r="X54" i="1"/>
  <c r="Y54" i="1"/>
  <c r="A55" i="1"/>
  <c r="B55" i="1"/>
  <c r="C55" i="1"/>
  <c r="D55" i="1"/>
  <c r="E55" i="1"/>
  <c r="F55" i="1"/>
  <c r="G55" i="1"/>
  <c r="H55" i="1"/>
  <c r="I55" i="1"/>
  <c r="J55" i="1"/>
  <c r="K55" i="1"/>
  <c r="L55" i="1"/>
  <c r="M55" i="1"/>
  <c r="N55" i="1"/>
  <c r="O55" i="1"/>
  <c r="P55" i="1"/>
  <c r="Q55" i="1"/>
  <c r="R55" i="1"/>
  <c r="S55" i="1"/>
  <c r="T55" i="1"/>
  <c r="U55" i="1"/>
  <c r="V55" i="1"/>
  <c r="W55" i="1"/>
  <c r="X55" i="1"/>
  <c r="Y55" i="1"/>
  <c r="A56" i="1"/>
  <c r="B56" i="1"/>
  <c r="C56" i="1"/>
  <c r="D56" i="1"/>
  <c r="E56" i="1"/>
  <c r="F56" i="1"/>
  <c r="G56" i="1"/>
  <c r="H56" i="1"/>
  <c r="I56" i="1"/>
  <c r="J56" i="1"/>
  <c r="K56" i="1"/>
  <c r="L56" i="1"/>
  <c r="M56" i="1"/>
  <c r="N56" i="1"/>
  <c r="O56" i="1"/>
  <c r="P56" i="1"/>
  <c r="Q56" i="1"/>
  <c r="R56" i="1"/>
  <c r="S56" i="1"/>
  <c r="T56" i="1"/>
  <c r="U56" i="1"/>
  <c r="V56" i="1"/>
  <c r="W56" i="1"/>
  <c r="X56" i="1"/>
  <c r="Y56" i="1"/>
  <c r="A57" i="1"/>
  <c r="B57" i="1"/>
  <c r="C57" i="1"/>
  <c r="D57" i="1"/>
  <c r="E57" i="1"/>
  <c r="F57" i="1"/>
  <c r="G57" i="1"/>
  <c r="H57" i="1"/>
  <c r="I57" i="1"/>
  <c r="J57" i="1"/>
  <c r="K57" i="1"/>
  <c r="L57" i="1"/>
  <c r="M57" i="1"/>
  <c r="N57" i="1"/>
  <c r="O57" i="1"/>
  <c r="P57" i="1"/>
  <c r="Q57" i="1"/>
  <c r="R57" i="1"/>
  <c r="S57" i="1"/>
  <c r="T57" i="1"/>
  <c r="U57" i="1"/>
  <c r="V57" i="1"/>
  <c r="W57" i="1"/>
  <c r="X57" i="1"/>
  <c r="Y57" i="1"/>
  <c r="A58" i="1"/>
  <c r="B58" i="1"/>
  <c r="C58" i="1"/>
  <c r="D58" i="1"/>
  <c r="E58" i="1"/>
  <c r="F58" i="1"/>
  <c r="G58" i="1"/>
  <c r="H58" i="1"/>
  <c r="I58" i="1"/>
  <c r="J58" i="1"/>
  <c r="K58" i="1"/>
  <c r="L58" i="1"/>
  <c r="M58" i="1"/>
  <c r="N58" i="1"/>
  <c r="O58" i="1"/>
  <c r="P58" i="1"/>
  <c r="Q58" i="1"/>
  <c r="R58" i="1"/>
  <c r="S58" i="1"/>
  <c r="T58" i="1"/>
  <c r="U58" i="1"/>
  <c r="V58" i="1"/>
  <c r="W58" i="1"/>
  <c r="X58" i="1"/>
  <c r="Y58" i="1"/>
  <c r="A59" i="1"/>
  <c r="B59" i="1"/>
  <c r="C59" i="1"/>
  <c r="D59" i="1"/>
  <c r="E59" i="1"/>
  <c r="F59" i="1"/>
  <c r="G59" i="1"/>
  <c r="H59" i="1"/>
  <c r="I59" i="1"/>
  <c r="J59" i="1"/>
  <c r="K59" i="1"/>
  <c r="L59" i="1"/>
  <c r="M59" i="1"/>
  <c r="N59" i="1"/>
  <c r="O59" i="1"/>
  <c r="P59" i="1"/>
  <c r="Q59" i="1"/>
  <c r="R59" i="1"/>
  <c r="S59" i="1"/>
  <c r="T59" i="1"/>
  <c r="U59" i="1"/>
  <c r="V59" i="1"/>
  <c r="W59" i="1"/>
  <c r="X59" i="1"/>
  <c r="Y59" i="1"/>
  <c r="A60" i="1"/>
  <c r="B60" i="1"/>
  <c r="C60" i="1"/>
  <c r="D60" i="1"/>
  <c r="E60" i="1"/>
  <c r="F60" i="1"/>
  <c r="G60" i="1"/>
  <c r="H60" i="1"/>
  <c r="I60" i="1"/>
  <c r="J60" i="1"/>
  <c r="L60" i="1"/>
  <c r="M60" i="1"/>
  <c r="N60" i="1"/>
  <c r="O60" i="1"/>
  <c r="P60" i="1"/>
  <c r="Q60" i="1"/>
  <c r="R60" i="1"/>
  <c r="S60" i="1"/>
  <c r="T60" i="1"/>
  <c r="U60" i="1"/>
  <c r="V60" i="1"/>
  <c r="W60" i="1"/>
  <c r="X60" i="1"/>
  <c r="Y60" i="1"/>
  <c r="A61" i="1"/>
  <c r="B61" i="1"/>
  <c r="C61" i="1"/>
  <c r="D61" i="1"/>
  <c r="E61" i="1"/>
  <c r="F61" i="1"/>
  <c r="G61" i="1"/>
  <c r="H61" i="1"/>
  <c r="I61" i="1"/>
  <c r="J61" i="1"/>
  <c r="L61" i="1"/>
  <c r="M61" i="1"/>
  <c r="N61" i="1"/>
  <c r="O61" i="1"/>
  <c r="P61" i="1"/>
  <c r="Q61" i="1"/>
  <c r="R61" i="1"/>
  <c r="S61" i="1"/>
  <c r="T61" i="1"/>
  <c r="U61" i="1"/>
  <c r="V61" i="1"/>
  <c r="W61" i="1"/>
  <c r="X61" i="1"/>
  <c r="Y61" i="1"/>
  <c r="A62" i="1"/>
  <c r="B62" i="1"/>
  <c r="C62" i="1"/>
  <c r="D62" i="1"/>
  <c r="E62" i="1"/>
  <c r="F62" i="1"/>
  <c r="G62" i="1"/>
  <c r="H62" i="1"/>
  <c r="I62" i="1"/>
  <c r="J62" i="1"/>
  <c r="L62" i="1"/>
  <c r="M62" i="1"/>
  <c r="N62" i="1"/>
  <c r="O62" i="1"/>
  <c r="P62" i="1"/>
  <c r="Q62" i="1"/>
  <c r="R62" i="1"/>
  <c r="S62" i="1"/>
  <c r="T62" i="1"/>
  <c r="U62" i="1"/>
  <c r="V62" i="1"/>
  <c r="W62" i="1"/>
  <c r="X62" i="1"/>
  <c r="Y62" i="1"/>
  <c r="A63" i="1"/>
  <c r="B63" i="1"/>
  <c r="C63" i="1"/>
  <c r="D63" i="1"/>
  <c r="E63" i="1"/>
  <c r="F63" i="1"/>
  <c r="G63" i="1"/>
  <c r="H63" i="1"/>
  <c r="I63" i="1"/>
  <c r="J63" i="1"/>
  <c r="L63" i="1"/>
  <c r="M63" i="1"/>
  <c r="N63" i="1"/>
  <c r="O63" i="1"/>
  <c r="P63" i="1"/>
  <c r="Q63" i="1"/>
  <c r="R63" i="1"/>
  <c r="S63" i="1"/>
  <c r="T63" i="1"/>
  <c r="U63" i="1"/>
  <c r="V63" i="1"/>
  <c r="W63" i="1"/>
  <c r="X63" i="1"/>
  <c r="Y63" i="1"/>
  <c r="A64" i="1"/>
  <c r="B64" i="1"/>
  <c r="C64" i="1"/>
  <c r="D64" i="1"/>
  <c r="E64" i="1"/>
  <c r="F64" i="1"/>
  <c r="G64" i="1"/>
  <c r="H64" i="1"/>
  <c r="I64" i="1"/>
  <c r="J64" i="1"/>
  <c r="L64" i="1"/>
  <c r="M64" i="1"/>
  <c r="N64" i="1"/>
  <c r="O64" i="1"/>
  <c r="P64" i="1"/>
  <c r="Q64" i="1"/>
  <c r="R64" i="1"/>
  <c r="S64" i="1"/>
  <c r="T64" i="1"/>
  <c r="U64" i="1"/>
  <c r="V64" i="1"/>
  <c r="W64" i="1"/>
  <c r="X64" i="1"/>
  <c r="Y64" i="1"/>
  <c r="A65" i="1"/>
  <c r="B65" i="1"/>
  <c r="C65" i="1"/>
  <c r="D65" i="1"/>
  <c r="E65" i="1"/>
  <c r="F65" i="1"/>
  <c r="G65" i="1"/>
  <c r="H65" i="1"/>
  <c r="I65" i="1"/>
  <c r="J65" i="1"/>
  <c r="L65" i="1"/>
  <c r="M65" i="1"/>
  <c r="N65" i="1"/>
  <c r="O65" i="1"/>
  <c r="P65" i="1"/>
  <c r="Q65" i="1"/>
  <c r="R65" i="1"/>
  <c r="S65" i="1"/>
  <c r="T65" i="1"/>
  <c r="U65" i="1"/>
  <c r="V65" i="1"/>
  <c r="W65" i="1"/>
  <c r="X65" i="1"/>
  <c r="Y65" i="1"/>
  <c r="A66" i="1"/>
  <c r="B66" i="1"/>
  <c r="C66" i="1"/>
  <c r="D66" i="1"/>
  <c r="E66" i="1"/>
  <c r="F66" i="1"/>
  <c r="G66" i="1"/>
  <c r="H66" i="1"/>
  <c r="I66" i="1"/>
  <c r="J66" i="1"/>
  <c r="L66" i="1"/>
  <c r="M66" i="1"/>
  <c r="N66" i="1"/>
  <c r="O66" i="1"/>
  <c r="P66" i="1"/>
  <c r="Q66" i="1"/>
  <c r="R66" i="1"/>
  <c r="S66" i="1"/>
  <c r="T66" i="1"/>
  <c r="U66" i="1"/>
  <c r="V66" i="1"/>
  <c r="W66" i="1"/>
  <c r="X66" i="1"/>
  <c r="Y66" i="1"/>
  <c r="A67" i="1"/>
  <c r="B67" i="1"/>
  <c r="C67" i="1"/>
  <c r="D67" i="1"/>
  <c r="E67" i="1"/>
  <c r="F67" i="1"/>
  <c r="G67" i="1"/>
  <c r="H67" i="1"/>
  <c r="I67" i="1"/>
  <c r="J67" i="1"/>
  <c r="K67" i="1"/>
  <c r="L67" i="1"/>
  <c r="M67" i="1"/>
  <c r="N67" i="1"/>
  <c r="O67" i="1"/>
  <c r="P67" i="1"/>
  <c r="Q67" i="1"/>
  <c r="R67" i="1"/>
  <c r="S67" i="1"/>
  <c r="T67" i="1"/>
  <c r="U67" i="1"/>
  <c r="V67" i="1"/>
  <c r="W67" i="1"/>
  <c r="X67" i="1"/>
  <c r="Y67" i="1"/>
  <c r="A68" i="1"/>
  <c r="B68" i="1"/>
  <c r="C68" i="1"/>
  <c r="D68" i="1"/>
  <c r="E68" i="1"/>
  <c r="F68" i="1"/>
  <c r="G68" i="1"/>
  <c r="H68" i="1"/>
  <c r="I68" i="1"/>
  <c r="J68" i="1"/>
  <c r="K68" i="1"/>
  <c r="L68" i="1"/>
  <c r="M68" i="1"/>
  <c r="N68" i="1"/>
  <c r="O68" i="1"/>
  <c r="P68" i="1"/>
  <c r="Q68" i="1"/>
  <c r="R68" i="1"/>
  <c r="S68" i="1"/>
  <c r="T68" i="1"/>
  <c r="U68" i="1"/>
  <c r="V68" i="1"/>
  <c r="W68" i="1"/>
  <c r="X68" i="1"/>
  <c r="Y68" i="1"/>
  <c r="A69" i="1"/>
  <c r="B69" i="1"/>
  <c r="C69" i="1"/>
  <c r="D69" i="1"/>
  <c r="E69" i="1"/>
  <c r="F69" i="1"/>
  <c r="G69" i="1"/>
  <c r="H69" i="1"/>
  <c r="I69" i="1"/>
  <c r="J69" i="1"/>
  <c r="K69" i="1"/>
  <c r="L69" i="1"/>
  <c r="M69" i="1"/>
  <c r="N69" i="1"/>
  <c r="O69" i="1"/>
  <c r="P69" i="1"/>
  <c r="Q69" i="1"/>
  <c r="R69" i="1"/>
  <c r="S69" i="1"/>
  <c r="T69" i="1"/>
  <c r="U69" i="1"/>
  <c r="V69" i="1"/>
  <c r="W69" i="1"/>
  <c r="X69" i="1"/>
  <c r="Y69" i="1"/>
  <c r="A70" i="1"/>
  <c r="B70" i="1"/>
  <c r="C70" i="1"/>
  <c r="D70" i="1"/>
  <c r="E70" i="1"/>
  <c r="F70" i="1"/>
  <c r="G70" i="1"/>
  <c r="H70" i="1"/>
  <c r="I70" i="1"/>
  <c r="J70" i="1"/>
  <c r="K70" i="1"/>
  <c r="L70" i="1"/>
  <c r="M70" i="1"/>
  <c r="N70" i="1"/>
  <c r="O70" i="1"/>
  <c r="P70" i="1"/>
  <c r="Q70" i="1"/>
  <c r="R70" i="1"/>
  <c r="S70" i="1"/>
  <c r="T70" i="1"/>
  <c r="U70" i="1"/>
  <c r="V70" i="1"/>
  <c r="W70" i="1"/>
  <c r="X70" i="1"/>
  <c r="Y70" i="1"/>
  <c r="A71" i="1"/>
  <c r="B71" i="1"/>
  <c r="C71" i="1"/>
  <c r="D71" i="1"/>
  <c r="E71" i="1"/>
  <c r="F71" i="1"/>
  <c r="G71" i="1"/>
  <c r="H71" i="1"/>
  <c r="I71" i="1"/>
  <c r="J71" i="1"/>
  <c r="K71" i="1"/>
  <c r="L71" i="1"/>
  <c r="M71" i="1"/>
  <c r="N71" i="1"/>
  <c r="O71" i="1"/>
  <c r="P71" i="1"/>
  <c r="Q71" i="1"/>
  <c r="R71" i="1"/>
  <c r="S71" i="1"/>
  <c r="T71" i="1"/>
  <c r="U71" i="1"/>
  <c r="V71" i="1"/>
  <c r="W71" i="1"/>
  <c r="X71" i="1"/>
  <c r="Y71" i="1"/>
  <c r="A72" i="1"/>
  <c r="B72" i="1"/>
  <c r="C72" i="1"/>
  <c r="D72" i="1"/>
  <c r="E72" i="1"/>
  <c r="F72" i="1"/>
  <c r="G72" i="1"/>
  <c r="H72" i="1"/>
  <c r="I72" i="1"/>
  <c r="J72" i="1"/>
  <c r="K72" i="1"/>
  <c r="L72" i="1"/>
  <c r="M72" i="1"/>
  <c r="N72" i="1"/>
  <c r="O72" i="1"/>
  <c r="P72" i="1"/>
  <c r="Q72" i="1"/>
  <c r="R72" i="1"/>
  <c r="S72" i="1"/>
  <c r="T72" i="1"/>
  <c r="U72" i="1"/>
  <c r="V72" i="1"/>
  <c r="W72" i="1"/>
  <c r="X72" i="1"/>
  <c r="Y72" i="1"/>
  <c r="A73" i="1"/>
  <c r="B73" i="1"/>
  <c r="C73" i="1"/>
  <c r="D73" i="1"/>
  <c r="E73" i="1"/>
  <c r="F73" i="1"/>
  <c r="G73" i="1"/>
  <c r="H73" i="1"/>
  <c r="I73" i="1"/>
  <c r="J73" i="1"/>
  <c r="K73" i="1"/>
  <c r="L73" i="1"/>
  <c r="M73" i="1"/>
  <c r="N73" i="1"/>
  <c r="O73" i="1"/>
  <c r="P73" i="1"/>
  <c r="Q73" i="1"/>
  <c r="R73" i="1"/>
  <c r="S73" i="1"/>
  <c r="T73" i="1"/>
  <c r="U73" i="1"/>
  <c r="V73" i="1"/>
  <c r="W73" i="1"/>
  <c r="X73" i="1"/>
  <c r="Y73" i="1"/>
  <c r="A74" i="1"/>
  <c r="B74" i="1"/>
  <c r="C74" i="1"/>
  <c r="D74" i="1"/>
  <c r="E74" i="1"/>
  <c r="F74" i="1"/>
  <c r="G74" i="1"/>
  <c r="H74" i="1"/>
  <c r="I74" i="1"/>
  <c r="J74" i="1"/>
  <c r="K74" i="1"/>
  <c r="L74" i="1"/>
  <c r="M74" i="1"/>
  <c r="N74" i="1"/>
  <c r="O74" i="1"/>
  <c r="P74" i="1"/>
  <c r="Q74" i="1"/>
  <c r="R74" i="1"/>
  <c r="S74" i="1"/>
  <c r="T74" i="1"/>
  <c r="U74" i="1"/>
  <c r="V74" i="1"/>
  <c r="W74" i="1"/>
  <c r="X74" i="1"/>
  <c r="Y74" i="1"/>
  <c r="A75" i="1"/>
  <c r="B75" i="1"/>
  <c r="C75" i="1"/>
  <c r="D75" i="1"/>
  <c r="E75" i="1"/>
  <c r="F75" i="1"/>
  <c r="G75" i="1"/>
  <c r="H75" i="1"/>
  <c r="I75" i="1"/>
  <c r="J75" i="1"/>
  <c r="K75" i="1"/>
  <c r="L75" i="1"/>
  <c r="M75" i="1"/>
  <c r="N75" i="1"/>
  <c r="O75" i="1"/>
  <c r="P75" i="1"/>
  <c r="Q75" i="1"/>
  <c r="R75" i="1"/>
  <c r="S75" i="1"/>
  <c r="T75" i="1"/>
  <c r="U75" i="1"/>
  <c r="V75" i="1"/>
  <c r="W75" i="1"/>
  <c r="X75" i="1"/>
  <c r="Y75" i="1"/>
  <c r="A76" i="1"/>
  <c r="B76" i="1"/>
  <c r="C76" i="1"/>
  <c r="D76" i="1"/>
  <c r="E76" i="1"/>
  <c r="F76" i="1"/>
  <c r="G76" i="1"/>
  <c r="H76" i="1"/>
  <c r="I76" i="1"/>
  <c r="J76" i="1"/>
  <c r="K76" i="1"/>
  <c r="L76" i="1"/>
  <c r="M76" i="1"/>
  <c r="N76" i="1"/>
  <c r="O76" i="1"/>
  <c r="P76" i="1"/>
  <c r="Q76" i="1"/>
  <c r="R76" i="1"/>
  <c r="S76" i="1"/>
  <c r="T76" i="1"/>
  <c r="U76" i="1"/>
  <c r="V76" i="1"/>
  <c r="W76" i="1"/>
  <c r="X76" i="1"/>
  <c r="Y76" i="1"/>
  <c r="A77" i="1"/>
  <c r="B77" i="1"/>
  <c r="C77" i="1"/>
  <c r="D77" i="1"/>
  <c r="E77" i="1"/>
  <c r="F77" i="1"/>
  <c r="G77" i="1"/>
  <c r="H77" i="1"/>
  <c r="I77" i="1"/>
  <c r="J77" i="1"/>
  <c r="K77" i="1"/>
  <c r="L77" i="1"/>
  <c r="M77" i="1"/>
  <c r="N77" i="1"/>
  <c r="O77" i="1"/>
  <c r="P77" i="1"/>
  <c r="Q77" i="1"/>
  <c r="R77" i="1"/>
  <c r="S77" i="1"/>
  <c r="T77" i="1"/>
  <c r="U77" i="1"/>
  <c r="V77" i="1"/>
  <c r="W77" i="1"/>
  <c r="X77" i="1"/>
  <c r="Y77" i="1"/>
  <c r="A78" i="1"/>
  <c r="B78" i="1"/>
  <c r="C78" i="1"/>
  <c r="D78" i="1"/>
  <c r="E78" i="1"/>
  <c r="F78" i="1"/>
  <c r="G78" i="1"/>
  <c r="H78" i="1"/>
  <c r="I78" i="1"/>
  <c r="J78" i="1"/>
  <c r="K78" i="1"/>
  <c r="L78" i="1"/>
  <c r="M78" i="1"/>
  <c r="N78" i="1"/>
  <c r="O78" i="1"/>
  <c r="P78" i="1"/>
  <c r="Q78" i="1"/>
  <c r="R78" i="1"/>
  <c r="S78" i="1"/>
  <c r="T78" i="1"/>
  <c r="U78" i="1"/>
  <c r="V78" i="1"/>
  <c r="W78" i="1"/>
  <c r="X78" i="1"/>
  <c r="Y78" i="1"/>
  <c r="A79" i="1"/>
  <c r="B79" i="1"/>
  <c r="C79" i="1"/>
  <c r="D79" i="1"/>
  <c r="E79" i="1"/>
  <c r="F79" i="1"/>
  <c r="G79" i="1"/>
  <c r="H79" i="1"/>
  <c r="I79" i="1"/>
  <c r="J79" i="1"/>
  <c r="K79" i="1"/>
  <c r="L79" i="1"/>
  <c r="M79" i="1"/>
  <c r="N79" i="1"/>
  <c r="O79" i="1"/>
  <c r="P79" i="1"/>
  <c r="Q79" i="1"/>
  <c r="R79" i="1"/>
  <c r="S79" i="1"/>
  <c r="T79" i="1"/>
  <c r="U79" i="1"/>
  <c r="V79" i="1"/>
  <c r="W79" i="1"/>
  <c r="X79" i="1"/>
  <c r="Y79" i="1"/>
  <c r="A80" i="1"/>
  <c r="B80" i="1"/>
  <c r="C80" i="1"/>
  <c r="D80" i="1"/>
  <c r="E80" i="1"/>
  <c r="F80" i="1"/>
  <c r="G80" i="1"/>
  <c r="H80" i="1"/>
  <c r="I80" i="1"/>
  <c r="J80" i="1"/>
  <c r="K80" i="1"/>
  <c r="L80" i="1"/>
  <c r="M80" i="1"/>
  <c r="N80" i="1"/>
  <c r="O80" i="1"/>
  <c r="P80" i="1"/>
  <c r="Q80" i="1"/>
  <c r="R80" i="1"/>
  <c r="S80" i="1"/>
  <c r="T80" i="1"/>
  <c r="U80" i="1"/>
  <c r="V80" i="1"/>
  <c r="W80" i="1"/>
  <c r="X80" i="1"/>
  <c r="Y80" i="1"/>
  <c r="A81" i="1"/>
  <c r="B81" i="1"/>
  <c r="C81" i="1"/>
  <c r="D81" i="1"/>
  <c r="E81" i="1"/>
  <c r="F81" i="1"/>
  <c r="G81" i="1"/>
  <c r="H81" i="1"/>
  <c r="I81" i="1"/>
  <c r="J81" i="1"/>
  <c r="K81" i="1"/>
  <c r="L81" i="1"/>
  <c r="M81" i="1"/>
  <c r="N81" i="1"/>
  <c r="O81" i="1"/>
  <c r="P81" i="1"/>
  <c r="Q81" i="1"/>
  <c r="R81" i="1"/>
  <c r="S81" i="1"/>
  <c r="T81" i="1"/>
  <c r="U81" i="1"/>
  <c r="V81" i="1"/>
  <c r="W81" i="1"/>
  <c r="X81" i="1"/>
  <c r="Y81" i="1"/>
  <c r="A82" i="1"/>
  <c r="B82" i="1"/>
  <c r="C82" i="1"/>
  <c r="D82" i="1"/>
  <c r="E82" i="1"/>
  <c r="F82" i="1"/>
  <c r="G82" i="1"/>
  <c r="H82" i="1"/>
  <c r="I82" i="1"/>
  <c r="J82" i="1"/>
  <c r="K82" i="1"/>
  <c r="L82" i="1"/>
  <c r="M82" i="1"/>
  <c r="N82" i="1"/>
  <c r="O82" i="1"/>
  <c r="P82" i="1"/>
  <c r="Q82" i="1"/>
  <c r="R82" i="1"/>
  <c r="S82" i="1"/>
  <c r="T82" i="1"/>
  <c r="U82" i="1"/>
  <c r="V82" i="1"/>
  <c r="W82" i="1"/>
  <c r="X82" i="1"/>
  <c r="Y82" i="1"/>
  <c r="A83" i="1"/>
  <c r="B83" i="1"/>
  <c r="C83" i="1"/>
  <c r="D83" i="1"/>
  <c r="E83" i="1"/>
  <c r="F83" i="1"/>
  <c r="G83" i="1"/>
  <c r="H83" i="1"/>
  <c r="I83" i="1"/>
  <c r="J83" i="1"/>
  <c r="K83" i="1"/>
  <c r="L83" i="1"/>
  <c r="M83" i="1"/>
  <c r="N83" i="1"/>
  <c r="O83" i="1"/>
  <c r="P83" i="1"/>
  <c r="Q83" i="1"/>
  <c r="R83" i="1"/>
  <c r="S83" i="1"/>
  <c r="T83" i="1"/>
  <c r="U83" i="1"/>
  <c r="V83" i="1"/>
  <c r="W83" i="1"/>
  <c r="X83" i="1"/>
  <c r="Y83" i="1"/>
  <c r="A84" i="1"/>
  <c r="AJ6" i="33"/>
  <c r="AJ8" i="33"/>
  <c r="AJ2" i="31"/>
  <c r="AJ9" i="22" l="1"/>
  <c r="AJ14" i="22"/>
  <c r="A16" i="22"/>
  <c r="B16" i="22"/>
  <c r="C16" i="22"/>
  <c r="D16" i="22"/>
  <c r="E16" i="22"/>
  <c r="F16" i="22"/>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A17" i="22"/>
  <c r="B17" i="22"/>
  <c r="C17" i="22"/>
  <c r="D17" i="22"/>
  <c r="E17" i="22"/>
  <c r="F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AG17" i="22"/>
  <c r="A18" i="22"/>
  <c r="B18" i="22"/>
  <c r="C18"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A19" i="22"/>
  <c r="B19" i="22"/>
  <c r="C19"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AG19" i="22"/>
  <c r="A20" i="22"/>
  <c r="B20" i="22"/>
  <c r="C20"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AG20" i="22"/>
  <c r="A21" i="22"/>
  <c r="B21" i="22"/>
  <c r="C21"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A22" i="22"/>
  <c r="B22" i="22"/>
  <c r="C22"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A23" i="22"/>
  <c r="B23" i="22"/>
  <c r="C23"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AG23" i="22"/>
  <c r="A24" i="22"/>
  <c r="B24" i="22"/>
  <c r="C24"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A25" i="22"/>
  <c r="B25" i="22"/>
  <c r="C25"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A26" i="22"/>
  <c r="B26" i="22"/>
  <c r="C26" i="22"/>
  <c r="D26" i="22"/>
  <c r="E26" i="22"/>
  <c r="F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AG26" i="22"/>
  <c r="A27" i="22"/>
  <c r="B27" i="22"/>
  <c r="C27"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A28" i="22"/>
  <c r="B28" i="22"/>
  <c r="C28"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AG28" i="22"/>
  <c r="A29" i="22"/>
  <c r="B29" i="22"/>
  <c r="C29"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A30" i="22"/>
  <c r="B30" i="22"/>
  <c r="C30"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AG30" i="22"/>
  <c r="K21" i="2" l="1"/>
  <c r="L21" i="2"/>
  <c r="J21" i="2"/>
  <c r="I21" i="2"/>
  <c r="H21" i="2"/>
  <c r="F21" i="2"/>
  <c r="D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Q1" authorId="0" shapeId="0" xr:uid="{EA168E3F-A395-44B6-A196-B08778A10ECE}">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sharedStrings.xml><?xml version="1.0" encoding="utf-8"?>
<sst xmlns="http://schemas.openxmlformats.org/spreadsheetml/2006/main" count="7308" uniqueCount="2499">
  <si>
    <t>Estimación por complejidad</t>
  </si>
  <si>
    <t>días calendario</t>
  </si>
  <si>
    <t>Alta</t>
  </si>
  <si>
    <t>Media</t>
  </si>
  <si>
    <t>Baja</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</si>
  <si>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</si>
  <si>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</si>
  <si>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</si>
  <si>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</si>
  <si>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</si>
  <si>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</si>
  <si>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</si>
  <si>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</si>
  <si>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</si>
  <si>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</si>
  <si>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</si>
  <si>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IT BP</t>
  </si>
  <si>
    <t>Fecha de entrega requerida</t>
  </si>
  <si>
    <t>Proyecto SPO</t>
  </si>
  <si>
    <t>Workstream del proyecto SPO</t>
  </si>
  <si>
    <t>ID SPO</t>
  </si>
  <si>
    <t>Tipo de iniciativa</t>
  </si>
  <si>
    <t>Descripción del problema o desafío</t>
  </si>
  <si>
    <t>Situación deseada</t>
  </si>
  <si>
    <t>Procesos y áreas impactadas</t>
  </si>
  <si>
    <t>Usuarios beneficiados1</t>
  </si>
  <si>
    <t>Pilar estratégico</t>
  </si>
  <si>
    <t>Forma parte de la estabilización de procesos  SIS</t>
  </si>
  <si>
    <t>Beneficio cuantitativo (anual)</t>
  </si>
  <si>
    <t>Beneficios cualitativos</t>
  </si>
  <si>
    <t>Adjuntar ppt de la iniciativa</t>
  </si>
  <si>
    <t>Puntaje sugerido</t>
  </si>
  <si>
    <t>Puntaje Sugerido</t>
  </si>
  <si>
    <t>Líder de Dominio</t>
  </si>
  <si>
    <t>Asignado por</t>
  </si>
  <si>
    <t>Fecha de asignación del LD</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</si>
  <si>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</si>
  <si>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</si>
  <si>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</si>
  <si>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</si>
  <si>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</si>
  <si>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</si>
  <si>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</si>
  <si>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</si>
  <si>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</si>
  <si>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</si>
  <si>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</si>
  <si>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</si>
  <si>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carla.arias@laureate.pe</t>
  </si>
  <si>
    <t>Carla Arias Schreiber Ulloa</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</si>
  <si>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</si>
  <si>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</si>
  <si>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UPN</t>
  </si>
  <si>
    <t>Martín Santana - Rectorado UPN</t>
  </si>
  <si>
    <t>Luz Marina Flores</t>
  </si>
  <si>
    <t>https://educorpperu-my.sharepoint.com/personal/diana_zapata_laureate_pe1/Documents/Aplicaciones/Microsoft%20Forms/REGISTRO%20DE%20INICIATIVAS%20-%20GESTI%C3%93N%20DE%20LA%20DEMANDA%20(2%201/Pregunta/Director%20S.A._Carla%20Arias%20Schreibe.png</t>
  </si>
  <si>
    <t>Carla Arias-Schreiber</t>
  </si>
  <si>
    <t>No</t>
  </si>
  <si>
    <t>Otro</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</si>
  <si>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</si>
  <si>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</si>
  <si>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</si>
  <si>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Alumnos</t>
  </si>
  <si>
    <t>Excelencia operativa</t>
  </si>
  <si>
    <t>NO</t>
  </si>
  <si>
    <t>No cuantificado o S/0</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</si>
  <si>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</si>
  <si>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</si>
  <si>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Nicolas Morales</t>
  </si>
  <si>
    <t>AM</t>
  </si>
  <si>
    <t>Incompleto</t>
  </si>
  <si>
    <t>- La informacióm no está completa, falta hacer algunas definiciones con los usuarios.</t>
  </si>
  <si>
    <t>ronald.benites@laureate.pe</t>
  </si>
  <si>
    <t>Ronald Benites Vilchez</t>
  </si>
  <si>
    <t>Implementación Horacius Fase II</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</si>
  <si>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</si>
  <si>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LAUREATE</t>
  </si>
  <si>
    <t>Humberto Marota - Tecnologías y transformación digital</t>
  </si>
  <si>
    <t>Henry Longa</t>
  </si>
  <si>
    <t>Ninguno</t>
  </si>
  <si>
    <t> </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</si>
  <si>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</si>
  <si>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</si>
  <si>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</si>
  <si>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Todos</t>
  </si>
  <si>
    <t>Excelencia Operativa;Transformación Digital;Innovación y Crecimiento</t>
  </si>
  <si>
    <t>No cuantificado o S/0</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</si>
  <si>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</si>
  <si>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</si>
  <si>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Johnny Rodriguez</t>
  </si>
  <si>
    <t>Wendy A. es la responsable de reunirse con los LD involucrados. 
Solicitarle el avance</t>
  </si>
  <si>
    <t>carlos.sanchez@laureate.pe</t>
  </si>
  <si>
    <t>Carlos Sanchez Rubio</t>
  </si>
  <si>
    <t>Microsegmentación / Nanosegmentación de Aplicaciones Críticas</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</si>
  <si>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</si>
  <si>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CORPORATIVO</t>
  </si>
  <si>
    <t>Martin Fienkeng - CISO/CIO Corp</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</si>
  <si>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</si>
  <si>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203.pdf</t>
  </si>
  <si>
    <t>Seguridad de la informaciónSeguridad de la información</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</si>
  <si>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</si>
  <si>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Las aplicaciones críticas deben operar con reglas de comunicación mínimas necesarias, controladas a nivel granular, permitiendo únicamente el tráfico explícitamente autorizado entre componentes.</t>
  </si>
  <si>
    <t xml:space="preserve">Aplicaciones y Sistemas - Soluciones LMS y Otros Servicios Académicos
Aplicaciones en alcance:
- Smile UPN
- Smile UPC
</t>
  </si>
  <si>
    <t>Mayor a S/500,000.00</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</si>
  <si>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</si>
  <si>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</si>
  <si>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Carlos Quenema</t>
  </si>
  <si>
    <t>04/06: Se tuvo reunión con Seguridad y se acordó que nos compartirán el plan de trabajo. Sin esto no se puede estimar. No tenemos fecha de compromiso de entrega. Consultaremos.Aún en fechas</t>
  </si>
  <si>
    <t>davies.galdos@laureate.pe</t>
  </si>
  <si>
    <t>Davies Galdos Yactayo</t>
  </si>
  <si>
    <t xml:space="preserve">[202] Formulario online de reclamos y/o denuncias Defensoria Universitaria </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</si>
  <si>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</si>
  <si>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UPC</t>
  </si>
  <si>
    <t>Milagros Morgan - Rectorado UPC</t>
  </si>
  <si>
    <t>Diego Vega Casto - Sayan</t>
  </si>
  <si>
    <t>https://educorpperu-my.sharepoint.com/personal/diana_zapata_laureate_pe1/Documents/Aplicaciones/Microsoft%20Forms/REGISTRO%20DE%20INICIATIVAS%20-%20GESTI%C3%93N%20DE%20LA%20DEMANDA%20(2%201/Pregunta/Aprobaci%C3%B3n%20Miguel_Requerimientos%20SisAcaUPC_Davies%20Galdos%20Yactay%201.pdf</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</si>
  <si>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</si>
  <si>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</si>
  <si>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Si</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</si>
  <si>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</si>
  <si>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</si>
  <si>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04/06: Con la información compartida no es posible hacer una estimación.</t>
  </si>
  <si>
    <t>renzo.saenz@laureate.pe</t>
  </si>
  <si>
    <t>Renzo Sáenz Dávila</t>
  </si>
  <si>
    <t>[47] Finanzas: Proceso de reversas</t>
  </si>
  <si>
    <t>Alex Pendavis - VP Finanzas</t>
  </si>
  <si>
    <t>Rafael Andrade</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</si>
  <si>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</si>
  <si>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</si>
  <si>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</si>
  <si>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</si>
  <si>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Elmer Zapata</t>
  </si>
  <si>
    <t>04/06: Para poder estimar se necesita mayor detalle</t>
  </si>
  <si>
    <t>[281] Pago por crédito / curso (PxC)</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</si>
  <si>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</si>
  <si>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</si>
  <si>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</si>
  <si>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</si>
  <si>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</si>
  <si>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</si>
  <si>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</si>
  <si>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</si>
  <si>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</si>
  <si>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</si>
  <si>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</si>
  <si>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</si>
  <si>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</si>
  <si>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</si>
  <si>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</si>
  <si>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</si>
  <si>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</si>
  <si>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</si>
  <si>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Manuel Cortéz Fontcuberta</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</si>
  <si>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</si>
  <si>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</si>
  <si>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</si>
  <si>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Ana María Rojas</t>
  </si>
  <si>
    <t>04/06: Intervienen en la estimación: Digital Tech, Dominio Gestión Docente y Gestión Académica.
Se necesita mayor detalle de lo que se quiere mostrar en la página.</t>
  </si>
  <si>
    <t>[247] Registro de Horarios personalizado masivo (matricula)</t>
  </si>
  <si>
    <t>Miguel Chang</t>
  </si>
  <si>
    <t>https://educorpperu-my.sharepoint.com/personal/diana_zapata_laureate_pe1/Documents/Aplicaciones/Microsoft%20Forms/REGISTRO%20DE%20INICIATIVAS%20-%20GESTI%C3%93N%20DE%20LA%20DEMANDA%20(2%201/Pregunta/Aprobaci%C3%B3n%20Miguel_Requerimientos%20SisAcaUPC_Carla%20Arias%20Schreibe%206.pdf</t>
  </si>
  <si>
    <t>Ver archivo adjunto con información del requerimiento. Link: https://educorpperu.sharepoint.com/:x:/s/Repositorio_EquipoCentral/dit/portafoliosyp/IQBPjj-nPuoDQbtwySJjx2sbAR4Cx0FwHcOnpoZf6N5wGdw?e=Qxpak16</t>
  </si>
  <si>
    <t>Administrativos</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</si>
  <si>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</si>
  <si>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</si>
  <si>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Ana Vega</t>
  </si>
  <si>
    <t>04/06: Se ha tenido reunión con el usuario y no tienen claro el requerimiento. Es necesario se tenga mayor detalle del mismo para podr estimar.</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</si>
  <si>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</si>
  <si>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</si>
  <si>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</si>
  <si>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04/06: Lizette se ha reunido con Erick C. El proceso se está reorganizando entre más áreas y no tienen el alcance de qué cambios se neesitan en el reporte</t>
  </si>
  <si>
    <t>Evidencia de la aprobación del VP o Director</t>
  </si>
  <si>
    <t xml:space="preserve"> Workstream del proyecto SPO</t>
  </si>
  <si>
    <t>Usuarios beneficiados</t>
  </si>
  <si>
    <t>Estabilización de procesos  SIS</t>
  </si>
  <si>
    <t>Adjuntos</t>
  </si>
  <si>
    <t>Costo total dolares</t>
  </si>
  <si>
    <t>Costo total Soles</t>
  </si>
  <si>
    <t>Funcionalidad nueva (SI/NO)</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</si>
  <si>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</si>
  <si>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</si>
  <si>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Donoban Meza - Director Corp IT Security</t>
  </si>
  <si>
    <t>Carlos Sanchez</t>
  </si>
  <si>
    <t>Seguridad de la información</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</si>
  <si>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</si>
  <si>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</si>
  <si>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No Aplica</t>
  </si>
  <si>
    <t>Excelencia Operativa</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</si>
  <si>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</si>
  <si>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</si>
  <si>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Johnnel Ayala</t>
  </si>
  <si>
    <t>OZ</t>
  </si>
  <si>
    <t>Pendiente</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</si>
  <si>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</si>
  <si>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</si>
  <si>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</si>
  <si>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</si>
  <si>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</si>
  <si>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</si>
  <si>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</si>
  <si>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jose.herbozo@laureate.pe</t>
  </si>
  <si>
    <t>José Paredes Herbozo</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</si>
  <si>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</si>
  <si>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</si>
  <si>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Ivan Olivares - VP Marketing y Comercial</t>
  </si>
  <si>
    <t>Hugo Vega</t>
  </si>
  <si>
    <t>Jose Paredes</t>
  </si>
  <si>
    <t>Digital &amp; IA</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</si>
  <si>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</si>
  <si>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</si>
  <si>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</si>
  <si>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Crecimiento escalable</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</si>
  <si>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</si>
  <si>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</si>
  <si>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César Soplín</t>
  </si>
  <si>
    <t>Estamos en proceso de estimación</t>
  </si>
  <si>
    <t>Internos</t>
  </si>
  <si>
    <t>Proyecto</t>
  </si>
  <si>
    <t>En proceso</t>
  </si>
  <si>
    <r>
      <rPr>
        <sz val="11"/>
        <color rgb="FF000000"/>
        <rFont val="Calibri"/>
        <family val="2"/>
        <scheme val="minor"/>
      </rPr>
      <t xml:space="preserve">Lo solicitado es </t>
    </r>
    <r>
      <rPr>
        <b/>
        <sz val="11"/>
        <color rgb="FF000000"/>
        <rFont val="Calibri"/>
        <family val="2"/>
        <scheme val="minor"/>
      </rPr>
      <t>estimación precisa</t>
    </r>
    <r>
      <rPr>
        <sz val="11"/>
        <color rgb="FF000000"/>
        <rFont val="Calibri"/>
        <family val="2"/>
        <scheme val="minor"/>
      </rPr>
      <t xml:space="preserve"> de las integraciones necesarias para el ECOMMERCE. Esto requiere reuniones con los lideres de dominio de las aplicaciones relacionadas y con proveedor.</t>
    </r>
  </si>
  <si>
    <t>angela.lucano@laureate.pe</t>
  </si>
  <si>
    <t>Angela Lucano Carranza</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</si>
  <si>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</si>
  <si>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</si>
  <si>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Mónica García - VP Operaciones Digitales y Online</t>
  </si>
  <si>
    <t>Carlos Olivera</t>
  </si>
  <si>
    <t>Ángela Lucano</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</si>
  <si>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</si>
  <si>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</si>
  <si>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</si>
  <si>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Menor a S/100,000.00</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</si>
  <si>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</si>
  <si>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</si>
  <si>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johnny.rodriguez@laureate.pe</t>
  </si>
  <si>
    <t>Johnny Rodríguez Godos</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</si>
  <si>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</si>
  <si>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</si>
  <si>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Franco Vera</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</si>
  <si>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</si>
  <si>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</si>
  <si>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</si>
  <si>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Alto</t>
  </si>
  <si>
    <t>Carlos Quenema/Luis Calderón</t>
  </si>
  <si>
    <t>JR</t>
  </si>
  <si>
    <t xml:space="preserve">- La estimción debe contemplar el To Be de las integraciones de UPN.
- Se debe priorizar los componentes relacionados a pagos. </t>
  </si>
  <si>
    <t>Ambos</t>
  </si>
  <si>
    <t>04/06: El lunes 08/06 Arquitectura nos pasará la arquitectura final propuesta. Con esto, recién podremos concluir con la estimación. Fecha estimada de fin: 10/06.
28/05: Se han sostenido reuniones con Arquitectura. Ya se tiene identificado 8 componentes que se deben mejorar. Arquitectura está validando esa lista.</t>
  </si>
  <si>
    <t>jorge.santacruz@laureate.pe</t>
  </si>
  <si>
    <t>Jorge Santa Cruz Espinoza</t>
  </si>
  <si>
    <t>Fase 2 Mis Procesos Goldenbelt</t>
  </si>
  <si>
    <t>Como parte de los acuerdos de continuidad para el proyecto de Mis Procesos Goldenbelt, en esta Fase 2 se requiere incorporar toda la documentación de procesos de Laureate Perú.</t>
  </si>
  <si>
    <t>Rossina Caballero - VP Legal</t>
  </si>
  <si>
    <t>Jorge Luis Santa Cruz Espinoza</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</si>
  <si>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</si>
  <si>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</si>
  <si>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</si>
  <si>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</si>
  <si>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</si>
  <si>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</si>
  <si>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Externos</t>
  </si>
  <si>
    <t>SI</t>
  </si>
  <si>
    <t>04/06: 3 requerimientos:
1. Integración HCM. En proceso.
2. Activación de aplicación móvil. En ejecución.
3. Enmascaramiento de URL. Se revisó y no es posible enmascarar de manera natural con la aplicación. 
Nueva fecha fin: 11/06.
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</si>
  <si>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franco.vera@laureate.pe</t>
  </si>
  <si>
    <t>Franco Manuel Vera Sanchez</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</si>
  <si>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</si>
  <si>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</si>
  <si>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Christian Quiroz</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</si>
  <si>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</si>
  <si>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</si>
  <si>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</si>
  <si>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</si>
  <si>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</si>
  <si>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</si>
  <si>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</si>
  <si>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</si>
  <si>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Alejandro Tello</t>
  </si>
  <si>
    <t>https://educorpperu-my.sharepoint.com/personal/diana_zapata_laureate_pe1/Documents/Aplicaciones/Microsoft%20Forms/REGISTRO%20DE%20INICIATIVAS%20-%20GESTI%C3%93N%20DE%20LA%20DEMANDA%20(2%201/Pregunta/olk_GiZq5TaWKA_Jos%C3%A9%20Paredes%20Herbozo.png</t>
  </si>
  <si>
    <t>Actualmente la operación manual dilata la venta.</t>
  </si>
  <si>
    <t>Se entregan todos los servicios solicitados y estos cumplen con la funcionalidad esperada</t>
  </si>
  <si>
    <t>Admisión, Marketing</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</si>
  <si>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</si>
  <si>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</si>
  <si>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</si>
  <si>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</si>
  <si>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</si>
  <si>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</si>
  <si>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</si>
  <si>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</si>
  <si>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</si>
  <si>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</si>
  <si>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</si>
  <si>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04/06: Se tiene reunión con el usuario para terminar definiciones. Se terminará el 05/06</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</si>
  <si>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</si>
  <si>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</si>
  <si>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Daniel Ticona</t>
  </si>
  <si>
    <t>https://educorpperu-my.sharepoint.com/personal/diana_zapata_laureate_pe1/Documents/Aplicaciones/Microsoft%20Forms/REGISTRO%20DE%20INICIATIVAS%20-%20GESTI%C3%93N%20DE%20LA%20DEMANDA%20(2%201/Pregunta/RE_%20Requerimiento%20-%20Soporte%20para%20despliegue%20d_Angela%20Lucano%20Carran.pdf</t>
  </si>
  <si>
    <t>Gerson Vereau</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</si>
  <si>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</si>
  <si>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</si>
  <si>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</si>
  <si>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</si>
  <si>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</si>
  <si>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Lucia Vega</t>
  </si>
  <si>
    <t xml:space="preserve">
04/06: La estimación consiste en:
1. Validar si la nueva aplicación tiene SSO activo.
2. Desplegar aplicación en ambientes de UPC.
3. Involucrar a los dominios de Servicios Académicos (Nohelí) y Gestión Docente (Ana María) para agregar links en MiUPC y la Intranet Docente Administrativa respectivamente.
CQ:14/05/2026: La iniciativa al parecer implica desplegar una aplicación nueva, es necesario tener la validación de Johnny para identificar en que dominio caeria esta aplicación nueva, queda en estado pendiente</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</si>
  <si>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</si>
  <si>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</si>
  <si>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https://educorpperu-my.sharepoint.com/personal/diana_zapata_laureate_pe1/Documents/Aplicaciones/Microsoft%20Forms/REGISTRO%20DE%20INICIATIVAS%20-%20GESTI%C3%93N%20DE%20LA%20DEMANDA%20(2%201/Pregunta/RE_%20Requerimiento%20-%20Web%20SICA%202.0_Angela%20Lucano%20Carran.pdf</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</si>
  <si>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</si>
  <si>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</si>
  <si>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</si>
  <si>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</si>
  <si>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</si>
  <si>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</si>
  <si>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</si>
  <si>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Robinson Amaya</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</si>
  <si>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</si>
  <si>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</si>
  <si>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</si>
  <si>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</si>
  <si>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Docentes</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</si>
  <si>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</si>
  <si>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</si>
  <si>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Nohelí Cabrera</t>
  </si>
  <si>
    <t xml:space="preserve">04/06: Se completará estimación el 09/06.
14/05 NC: Se tiene dependencia del especialista Miguel Leython, actualmente asignado a Proyecto Portal </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</si>
  <si>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</si>
  <si>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</si>
  <si>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</si>
  <si>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</si>
  <si>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</si>
  <si>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</si>
  <si>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</si>
  <si>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</si>
  <si>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04/06: En validación con el BP, ya que al parecer este pedido ya fue atendido. En base a esto, Nohelí revisará nueva fecha de estimación ya que Miguel sigue en Portal Docente y saldrá de vacaciones del 08/06 una semana.
14/05 NC: Se tiene dependencia del especialista Miguel Leython, actualmente asignado a Proyecto Portal 
04/06 : Se solicito confirmación al BRM sobre continuidad del pedido con el negocio, ya que hace unas semanas se había atendido un requerimiento similar con un ticket de incidencias</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</si>
  <si>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</si>
  <si>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</si>
  <si>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Álvaro Valdez - VP Operaciones</t>
  </si>
  <si>
    <t xml:space="preserve">Sharon Chou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</si>
  <si>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</si>
  <si>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</si>
  <si>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</si>
  <si>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</si>
  <si>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</si>
  <si>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</si>
  <si>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Ruddy Pereda</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</si>
  <si>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</si>
  <si>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</si>
  <si>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</si>
  <si>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</si>
  <si>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</si>
  <si>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pdf</t>
  </si>
  <si>
    <t>Revenue Growth</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</si>
  <si>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</si>
  <si>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</si>
  <si>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</si>
  <si>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</si>
  <si>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</si>
  <si>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</si>
  <si>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 xml:space="preserve">04/06: Se viene avanzando con la estimación. Se ha tenido reuniones con Neoris y Digital Tech. Se viene estimando los servicios por parte de Gilberth y los Stored Procedure por parte de Neoris. </t>
  </si>
  <si>
    <t>Activación Copilot en CRM</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</si>
  <si>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</si>
  <si>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Lizbeth Bautista - Gerente de Canales Inbound</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</si>
  <si>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</si>
  <si>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</si>
  <si>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</si>
  <si>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</si>
  <si>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Experiencia</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</si>
  <si>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</si>
  <si>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</si>
  <si>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Integración de Microsoft Teams con el CRM Institucional</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</si>
  <si>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</si>
  <si>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Lizbeth Bautista - Gerente Canales Inbound</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</si>
  <si>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</si>
  <si>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</si>
  <si>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</si>
  <si>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</si>
  <si>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</si>
  <si>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</si>
  <si>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</si>
  <si>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https://educorpperu-my.sharepoint.com/personal/diana_zapata_laureate_pe1/Documents/Aplicaciones/Microsoft%20Forms/REGISTRO%20DE%20INICIATIVAS%20-%20GESTI%C3%93N%20DE%20LA%20DEMANDA%20(2%201/Pregunta/Luis%20Roncal%20-%20VB%20Requerimientos%20priorizados%20L_Angela%20Lucano%20Carran%202.pdf</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</si>
  <si>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</si>
  <si>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</si>
  <si>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</si>
  <si>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</si>
  <si>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</si>
  <si>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</si>
  <si>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</si>
  <si>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</si>
  <si>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</si>
  <si>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</si>
  <si>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</si>
  <si>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</si>
  <si>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</si>
  <si>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</si>
  <si>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https://educorpperu-my.sharepoint.com/personal/diana_zapata_laureate_pe1/Documents/Aplicaciones/Microsoft%20Forms/REGISTRO%20DE%20INICIATIVAS%20-%20GESTI%C3%93N%20DE%20LA%20DEMANDA%20(2%201/Pregunta/Implementaci%C3%B3n%20Microsegmentaci%C3%B3n%20Illumio_Carlos%20Sanchez%20Rubio.pdf</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</si>
  <si>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</si>
  <si>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 xml:space="preserve">Aplicaciones y Sistemas - Soluciones de Finanzas y BackOffice
Aplicaciones en alcance:
- ASBANC UPC
- ASBANC CIB
- ASBANC UPN
- Spring UPC
- Spring CIB
- Peoplesoft HCM
- Peoplesoft 9.2
- Facturación Electrónica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</si>
  <si>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</si>
  <si>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</si>
  <si>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</si>
  <si>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</si>
  <si>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</si>
  <si>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04/06: Esta estimación no es menor, necesita a varias personas del equipo y de otras áreas. Se tiene en paralelo estimación de Gema Fas 2 que tienen prioridad. Iniciaremos está estimación conforme nos liberemos de Gema Fase 2. 
Se necesita que Seguridad nos comparta sus lineamientos.
28/08: Se adjunta la propuesta del proveedor, pero no se indica qué se necesita de nuestro lado. Por ser un requeriminto de Seguridad, nos reuniremos con Carlos S. para afinar el alcance.</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</si>
  <si>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</si>
  <si>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</si>
  <si>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</si>
  <si>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https://educorpperu-my.sharepoint.com/personal/diana_zapata_laureate_pe1/Documents/Aplicaciones/Microsoft%20Forms/REGISTRO%20DE%20INICIATIVAS%20-%20GESTI%C3%93N%20DE%20LA%20DEMANDA%20(2%201/Pregunta/Implementaci%C3%B3n%20Microsegmentaci%C3%B3n%20Illumio_Carlos%20Sanchez%20Rubio%204.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</si>
  <si>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</si>
  <si>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Infraestructura
Aplicaciones en alcance:
- Active Directories</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</si>
  <si>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</si>
  <si>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</si>
  <si>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</si>
  <si>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</si>
  <si>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Luis Calderon</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</si>
  <si>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</si>
  <si>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</si>
  <si>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</si>
  <si>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</si>
  <si>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</si>
  <si>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</si>
  <si>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</si>
  <si>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</si>
  <si>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</si>
  <si>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</si>
  <si>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</si>
  <si>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</si>
  <si>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</si>
  <si>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nancy.fernandez@laureate.pe</t>
  </si>
  <si>
    <t>Nancy Fernandez Ventosilla</t>
  </si>
  <si>
    <t>Conectar Sócrates con el nuevo Spring CIB</t>
  </si>
  <si>
    <t>Conectar Sócrates con el nuevo Spring CIB para que funcione como el modelo UPC</t>
  </si>
  <si>
    <t>CIB</t>
  </si>
  <si>
    <t>Danilo Nogueira Tauil</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</si>
  <si>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</si>
  <si>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</si>
  <si>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</si>
  <si>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</si>
  <si>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</si>
  <si>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</si>
  <si>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04/06: Es complejidad alta, pero conocemos la criticidad del caso por lo que trataremos de tener la estimación lo antes posible.</t>
  </si>
  <si>
    <t>Implementar FOCO y demás modalidades en Banner CIB</t>
  </si>
  <si>
    <t>Implementar FOCO y demás modalidades en Banner CIB para no depender de Socrates y puedan funcionar con Lego</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</si>
  <si>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</si>
  <si>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</si>
  <si>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</si>
  <si>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</si>
  <si>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</si>
  <si>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</si>
  <si>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</si>
  <si>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Ver archivo adjunto con información del requerimiento. Link: https://educorpperu.sharepoint.com/:x:/s/Repositorio_EquipoCentral/dit/portafoliosyp/IQBPjj-nPuoDQbtwySJjx2sbAR4Cx0FwHcOnpoZf6N5wGdw?e=Qxpak11</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</si>
  <si>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</si>
  <si>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04/06: Se tendrá reunión con los usuarios para declarar formalmente que la Planificación estará abierta a todos los alumnos sin turnos.</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</si>
  <si>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</si>
  <si>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</si>
  <si>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</si>
  <si>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</si>
  <si>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</si>
  <si>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</si>
  <si>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</si>
  <si>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</si>
  <si>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</si>
  <si>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</si>
  <si>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</si>
  <si>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</si>
  <si>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[248] Registro de NRC a Bloque Horario</t>
  </si>
  <si>
    <t>https://educorpperu-my.sharepoint.com/personal/diana_zapata_laureate_pe1/Documents/Aplicaciones/Microsoft%20Forms/REGISTRO%20DE%20INICIATIVAS%20-%20GESTI%C3%93N%20DE%20LA%20DEMANDA%20(2%201/Pregunta/Aprobaci%C3%B3n%20Miguel_Requerimientos%20SisAcaUPC_Carla%20Arias%20Schreibe%205.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</si>
  <si>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</si>
  <si>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04/06: Carga de reglas de bloque para pre asignación. Anthony ya relevó el requerimiento y ha sido enviado a Roxana Pairazamán para aprobación.</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</si>
  <si>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</si>
  <si>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</si>
  <si>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</si>
  <si>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[65] Clonación manual de cursos master</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</si>
  <si>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</si>
  <si>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</si>
  <si>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Ver archivo adjunto con información del requerimiento. Link: https://educorpperu.sharepoint.com/:x:/s/Repositorio_EquipoCentral/dit/portafoliosyp/IQBPjj-nPuoDQbtwySJjx2sbAR4Cx0FwHcOnpoZf6N5wGdw?e=Qxpak15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</si>
  <si>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</si>
  <si>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[23] Información para el seguimiento de ingreso de evaluaciones</t>
  </si>
  <si>
    <t>https://educorpperu-my.sharepoint.com/personal/diana_zapata_laureate_pe1/Documents/Aplicaciones/Microsoft%20Forms/REGISTRO%20DE%20INICIATIVAS%20-%20GESTI%C3%93N%20DE%20LA%20DEMANDA%20(2%201/Pregunta/Aprobaci%C3%B3n%20Miguel_Requerimientos%20SisAcaUPC_Davies%20Galdos%20Yactay.pdf</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</si>
  <si>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</si>
  <si>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</si>
  <si>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04/06: La estimación no considerará a uClass ya que se deprecará en Agosto 2026. La estimación considerará al nuevo Portal Docente.
Se involucrará a Manuel Valle y a Karoll R. del equipo de Nohelí para la estimación</t>
  </si>
  <si>
    <t>UPC - Modernización y continuidad operativa del Repositorio Académico</t>
  </si>
  <si>
    <t>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t>
  </si>
  <si>
    <t>Cecilia Justino - Director de Gestión del Conocimiento</t>
  </si>
  <si>
    <t>https://educorpperu-my.sharepoint.com/personal/diana_zapata_laureate_pe1/Documents/Aplicaciones/Microsoft%20Forms/REGISTRO%20DE%20INICIATIVAS%20-%20GESTI%C3%93N%20DE%20LA%20DEMANDA%20(2%201/Pregunta/Maria%20Cifuentes%20-%20VB%20Req.%20Repositorio%20Academi_Angela%20Lucano%20Carran.pdf</t>
  </si>
  <si>
    <t>El repositorio opera sobre una versión antigua de DSpace sin soporte oficial ni actualizaciones, lo que genera riesgos operativos altos y observaciones de seguridad, además de ofrecer una interfaz rígida y estadísticas limitadas.</t>
  </si>
  <si>
    <t>Migrar a una infraestructura robusta de última generación (DSpace 7+) con soporte experto 24/7, que resuelva de inmediato las brechas de seguridad, ofrezca una experiencia de usuario intuitiva y moderna, e implemente un módulo de analítica avanzada.</t>
  </si>
  <si>
    <t>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t>
  </si>
  <si>
    <t>-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t>
  </si>
  <si>
    <t>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t>
  </si>
  <si>
    <t>Pendiente de LD</t>
  </si>
  <si>
    <t>javier.santiago@laureate.pe</t>
  </si>
  <si>
    <t>Javier Santiago Modesto</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</si>
  <si>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</si>
  <si>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</si>
  <si>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 xml:space="preserve">Janny Nicasio </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</si>
  <si>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</si>
  <si>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</si>
  <si>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</si>
  <si>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</si>
  <si>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</si>
  <si>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Modificación de query de RPA de Horarios Convalidantes [urgente]</t>
  </si>
  <si>
    <t>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t>
  </si>
  <si>
    <t>Adolfo Correa</t>
  </si>
  <si>
    <t>https://educorpperu-my.sharepoint.com/personal/diana_zapata_laureate_pe1/Documents/Aplicaciones/Microsoft%20Forms/REGISTRO%20DE%20INICIATIVAS%20-%20GESTI%C3%93N%20DE%20LA%20DEMANDA%20(2%201/Pregunta/VB%20Direcci%C3%B3n%20de%20Operaciones%20Acad%C3%A9micas_Carla%20Arias%20Schreibe.png</t>
  </si>
  <si>
    <t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t>
  </si>
  <si>
    <t>Que la query incluya criterios de ordenamiento de clases, validados con las áreas académicas, a fin de asegurar una mayor efectividad y registro de matrículas.</t>
  </si>
  <si>
    <t>Admisión y matrícula de estudiantes nuevos</t>
  </si>
  <si>
    <t>Entre S/100,000.00 y S/500,000.00</t>
  </si>
  <si>
    <t>Impacto aproximado en 1000 NE sin horarios.
Sin horarios, hay gran posibilidad de deserción y no pago de la CM (promedio S/. 750 por estudiante)</t>
  </si>
  <si>
    <t>https://educorpperu-my.sharepoint.com/personal/diana_zapata_laureate_pe1/_layouts/15/Doc.aspx?sourcedoc=%7B45E01FAF-19EF-4B31-AA5C-E27A0AF53719%7D&amp;file=Reglas%20RPA%20Convalidaci%C3%B3n_Carla%20Arias%20Schreibe.xlsx&amp;action=default&amp;mobileredirect=true</t>
  </si>
  <si>
    <t>04/06: Se necesita las reglas definidas claramente. William S. está documentando las reglas y se las alcanzará a Gilberth para ralizar la estimación correspondiente.</t>
  </si>
  <si>
    <t>Implementación de una Api Banner para consultar los asesores de alumnos cachimbo - Onboarding Portal del Estudiante UPN</t>
  </si>
  <si>
    <t>Necesitamos mostrar a los alumnos cachimbos sus asesores designados, para garantizar la experiencia en Onboarding, logrando que el 100% de alumnos cachimbos esten informados correctamente acerca de sus clases en el primer periodo académico.</t>
  </si>
  <si>
    <t>El proceso de solicitud de constancia de matricula se consultan cuatro distintas APIs para validar la información del estudiante solicitante, afectando la performance de la respuesta y generando errores de consistencia de datos.
Los alumnos cachimbos ingresan al portal del estudiante y se les presenta la bienvenida a Onboarding. En Onboarding los alumnos deben tener visibilidad a asesores que tiene la función de guiarlos durante el transcurso del primer periodo académico.  No existe alguna Api que exponga los asesores para cachimbos, por lo que se tiene que cargar de forma manual con un archivo manual al portal del estudiante.</t>
  </si>
  <si>
    <t xml:space="preserve">Tener una Api Banner (servicios web) para obtener los asesores de cachimbos mediante el codigo del estudiante.
</t>
  </si>
  <si>
    <t>Onboarding del Portal del Estudiante</t>
  </si>
  <si>
    <t>Mejora de experiencia del alumno en Onboarding</t>
  </si>
  <si>
    <t xml:space="preserve">
</t>
  </si>
  <si>
    <t>No Bau</t>
  </si>
  <si>
    <t>[Urgente] Subsanar impacto en Retiro de Cursos</t>
  </si>
  <si>
    <t>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t>
  </si>
  <si>
    <t>https://educorpperu-my.sharepoint.com/personal/diana_zapata_laureate_pe1/Documents/Aplicaciones/Microsoft%20Forms/REGISTRO%20DE%20INICIATIVAS%20-%20GESTI%C3%93N%20DE%20LA%20DEMANDA%20(2%201/Pregunta/VB%20Direcci%C3%B3n%20de%20Operaciones%20Acad%C3%A9micas_Carla%20Arias%20Schreibe%201.png</t>
  </si>
  <si>
    <t>Normativa</t>
  </si>
  <si>
    <t xml:space="preserve">Los estudiantes pueden retirarse de en cursos están finalizados, incumpliendo nuestro reglamento de estudios.
</t>
  </si>
  <si>
    <t>Asegurar que las solicitudes de retiro de cursos solo permitan seleccionar los cursos habilitados, es decir, que a la fecha de la solicitud el curso no haya culminado.</t>
  </si>
  <si>
    <t>Retiro de Curso</t>
  </si>
  <si>
    <t>Excelencia académica</t>
  </si>
  <si>
    <t>Cumplimiento de reglamento de estudios</t>
  </si>
  <si>
    <t>https://educorpperu-my.sharepoint.com/personal/diana_zapata_laureate_pe1/_layouts/15/Doc.aspx?sourcedoc=%7BCA651870-84CC-4F3D-A1CB-2E965DDE729A%7D&amp;file=PPT%20Modificaci%C3%B3n%20de%20retiro%20de%20curso-solo%20para_Carla%20Arias%20Schreibe.pptx&amp;action=edit&amp;mobileredirect=true</t>
  </si>
  <si>
    <t>nicolas.morales@laureate.pe</t>
  </si>
  <si>
    <t>Nicolas Morales Chumpitaz</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</si>
  <si>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</si>
  <si>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</si>
  <si>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Tairi Ruillier- VP Personas y Cultura</t>
  </si>
  <si>
    <t>Alfredo Ávalos</t>
  </si>
  <si>
    <t>https://educorpperu-my.sharepoint.com/personal/diana_zapata_laureate_pe1/Documents/Aplicaciones/Microsoft%20Forms/REGISTRO%20DE%20INICIATIVAS%20-%20GESTI%C3%93N%20DE%20LA%20DEMANDA%20(2%201/Pregunta/RE%20%5BSPO%5D%20Iniciativa%20Productividad%20GTH%20cLEAN+I_Nicolas%20Morales%20Chum.png</t>
  </si>
  <si>
    <t>G&amp;A</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</si>
  <si>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</si>
  <si>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</si>
  <si>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</si>
  <si>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</si>
  <si>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</si>
  <si>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2.4</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</si>
  <si>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</si>
  <si>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</si>
  <si>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</si>
  <si>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</si>
  <si>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</si>
  <si>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</si>
  <si>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</si>
  <si>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</si>
  <si>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</si>
  <si>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</si>
  <si>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SARA MARIE MILLER</t>
  </si>
  <si>
    <t>https://educorpperu-my.sharepoint.com/personal/diana_zapata_laureate_pe1/Documents/Aplicaciones/Microsoft%20Forms/REGISTRO%20DE%20INICIATIVAS%20-%20GESTI%C3%93N%20DE%20LA%20DEMANDA%20(2%201/Pregunta/RE%20SPO%20Iniciativa%20Productividad%20WeTalk%20cLEAN_Nicolas%20Morales%20Chum.png</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</si>
  <si>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</si>
  <si>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</si>
  <si>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</si>
  <si>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</si>
  <si>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</si>
  <si>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</si>
  <si>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</si>
  <si>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</si>
  <si>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</si>
  <si>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</si>
  <si>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</si>
  <si>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</si>
  <si>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</si>
  <si>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2.85</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</si>
  <si>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</si>
  <si>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</si>
  <si>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</si>
  <si>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</si>
  <si>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</si>
  <si>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</si>
  <si>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</si>
  <si>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</si>
  <si>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2.25</t>
  </si>
  <si>
    <t>pamela.espinoza@laureate.pe</t>
  </si>
  <si>
    <t>Pamela Carolina Espinoza Tavera</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</si>
  <si>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</si>
  <si>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</si>
  <si>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</si>
  <si>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</si>
  <si>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</si>
  <si>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</si>
  <si>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</si>
  <si>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</si>
  <si>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</si>
  <si>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</si>
  <si>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Usuario - Gerencia, Área solicitante</t>
  </si>
  <si>
    <t>Beneficio cuantitativo</t>
  </si>
  <si>
    <t>Proyecto o Req. No catalogado</t>
  </si>
  <si>
    <t>Aprobar Estimación (SI/NO)</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</si>
  <si>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</si>
  <si>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</si>
  <si>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</si>
  <si>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</si>
  <si>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</si>
  <si>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</si>
  <si>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Student Success y Empleabilidad</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</si>
  <si>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</si>
  <si>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</si>
  <si>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</si>
  <si>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</si>
  <si>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Finalizada</t>
  </si>
  <si>
    <t>gerson.vereau@laureate.pe</t>
  </si>
  <si>
    <t>Gerson Vereau Rosas</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</si>
  <si>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</si>
  <si>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</si>
  <si>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Franco Chiappe</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</si>
  <si>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</si>
  <si>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</si>
  <si>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</si>
  <si>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</si>
  <si>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</si>
  <si>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Interno / Externo</t>
  </si>
  <si>
    <t>Req. No catalogado</t>
  </si>
  <si>
    <t>Requerimiento reporte CB008 en BI - Compra de carpetas de becas socioeconómicas</t>
  </si>
  <si>
    <t>Este se requiere para identificar a estudiantes que han adquirido su carpeta para postular a esta beca e iniciar su postulación para el 2026-2.</t>
  </si>
  <si>
    <t>Loussiana Pacheco</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</si>
  <si>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</si>
  <si>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</si>
  <si>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</si>
  <si>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</si>
  <si>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</si>
  <si>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Ivan Rengifo</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</si>
  <si>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</si>
  <si>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Externo</t>
  </si>
  <si>
    <t>Se requiere exploración previa, dado que no se cuenta con lógica de carga del reporte que se solicita migrar</t>
  </si>
  <si>
    <t>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</si>
  <si>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</si>
  <si>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UPC;LAUREATE PERÚ;CIB;UPN</t>
  </si>
  <si>
    <t>Ronald Benites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</si>
  <si>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</si>
  <si>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</si>
  <si>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</si>
  <si>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Excelencia Operativa;Innovación y Crecimiento;Transformación Digital</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</si>
  <si>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</si>
  <si>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</si>
  <si>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</si>
  <si>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Internos y Externos</t>
  </si>
  <si>
    <t>15/05 NC: Se envió por correo estimación al usuario solicitante</t>
  </si>
  <si>
    <t>Migración de Notas desde Blackboard a Gestión Docente</t>
  </si>
  <si>
    <t>Lograr eficiencia en la gestión docente, ahora la asignación es manual es ambos sistemas.
Nota: Esta es la mejora top 2 del workshop Better Together con Cibertec.</t>
  </si>
  <si>
    <t>Danilo Tauil - GM TecVoc</t>
  </si>
  <si>
    <t>sfafag</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</si>
  <si>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</si>
  <si>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</si>
  <si>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</si>
  <si>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</si>
  <si>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</si>
  <si>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</si>
  <si>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Se solicitó reestimación</t>
  </si>
  <si>
    <t>ricky.pareja@laureate.pe</t>
  </si>
  <si>
    <t>Ricky Pareja Medina</t>
  </si>
  <si>
    <t>Ecommerce CIB - Automatizar Matricula Venta - CRM, Socrates, Spring, etc</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</si>
  <si>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</si>
  <si>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Alejandra Begazo</t>
  </si>
  <si>
    <t>El proceso de matrícula venta se ejecuta de manera manual consumiendo tiempo de los equipos involucraos (ventas, facturación, etc).</t>
  </si>
  <si>
    <t>Cuando el usuario pague por un producto en el Ecommerce se debe realizar en automatico el registro del alumno en el curso y seccion en socrates, se debe iniciar el proceso para generar un comprobante de pago y  potencalmente registrar en LMS.</t>
  </si>
  <si>
    <t>- Proceso de matrícula
- Proceso de facturación
- Proceso de conciliación
- Proceso de cobranza
- Proceso de generación de accesos y credenciales
Otros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</si>
  <si>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</si>
  <si>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</si>
  <si>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</si>
  <si>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</si>
  <si>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[211] Cambio de modalidad: MDDU para registro de cambio de modalidad de estudios</t>
  </si>
  <si>
    <t>Manuel Cortez Fontcuberta</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</si>
  <si>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</si>
  <si>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Ver archivo adjunto con información del requerimiento. Link: https://educorpperu.sharepoint.com/:x:/s/Repositorio_EquipoCentral/dit/portafoliosyp/IQBPjj-nPuoDQbtwySJjx2sbAR4Cx0FwHcOnpoZf6N5wGdw?e=Qxpak20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</si>
  <si>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</si>
  <si>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Interno</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</si>
  <si>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</si>
  <si>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</si>
  <si>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</si>
  <si>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</si>
  <si>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</si>
  <si>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</si>
  <si>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Calidad Académica;Excelencia Operativa</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</si>
  <si>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</si>
  <si>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</si>
  <si>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Interno y Externo</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</si>
  <si>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</si>
  <si>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</si>
  <si>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</si>
  <si>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</si>
  <si>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</si>
  <si>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</si>
  <si>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</si>
  <si>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</si>
  <si>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</si>
  <si>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</si>
  <si>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04/06: Agregar link de estimación</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</si>
  <si>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</si>
  <si>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</si>
  <si>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</si>
  <si>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</si>
  <si>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</si>
  <si>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</si>
  <si>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Elaborar un Funnel para el equipo de We Talk</t>
  </si>
  <si>
    <t>Tener visibilidad de la información de ventas de We Talk que se ofrece para las 3 instituciones.</t>
  </si>
  <si>
    <t>Gianfranco Espinoza</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</si>
  <si>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</si>
  <si>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</si>
  <si>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</si>
  <si>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</si>
  <si>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Aaron Melgar</t>
  </si>
  <si>
    <t/>
  </si>
  <si>
    <t>4.1</t>
  </si>
  <si>
    <t>Datalake: $32,445
Aplicación Genesys: $7,646.40
Total: $40,091.4</t>
  </si>
  <si>
    <t>Datalake: S/. 115,179.75
Aplicación Genesys: S/.27,144.72
Total: S/. 142,324.47</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</si>
  <si>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</si>
  <si>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Terminado</t>
  </si>
  <si>
    <t>Gerente de BRM</t>
  </si>
  <si>
    <t>BRM UPC</t>
  </si>
  <si>
    <t>BRM CIB</t>
  </si>
  <si>
    <t>BRM UPN</t>
  </si>
  <si>
    <t>Para cuando se necesita?</t>
  </si>
  <si>
    <t>Presupuesto </t>
  </si>
  <si>
    <t>Seleccionar el workstream del proyecto SPO</t>
  </si>
  <si>
    <t>Iniciativa de seguridad de la información</t>
  </si>
  <si>
    <t>Procesos impactados</t>
  </si>
  <si>
    <t xml:space="preserve">Situación actual </t>
  </si>
  <si>
    <t>Origen - Causa Raiz</t>
  </si>
  <si>
    <t>Usuarios afectados</t>
  </si>
  <si>
    <t>Otros usuarios que deben ser considerados</t>
  </si>
  <si>
    <t>Impacto en el negocio</t>
  </si>
  <si>
    <t>Impacto SOX</t>
  </si>
  <si>
    <t>Adjuntar sustentos que ayuden al entendimiento de la necesidad ( Correos de aprobación VP, Lineamientos Corporativos, Nuevas regulaciones , Cartas de aplicación de multas, informes SOX, etc)</t>
  </si>
  <si>
    <t>Moneda</t>
  </si>
  <si>
    <t>Costo estimado</t>
  </si>
  <si>
    <t>Complejidad</t>
  </si>
  <si>
    <t xml:space="preserve"> Acción (Atender, desestimar o backlog)</t>
  </si>
  <si>
    <t>Priorización de atención (A, B, C)</t>
  </si>
  <si>
    <t>Comentarios BRM</t>
  </si>
  <si>
    <t>makarena.ramos@laureate.pe</t>
  </si>
  <si>
    <t>Makarena Ramos Aleman</t>
  </si>
  <si>
    <t>[SPO]Actualización de Reportes PF012 y AC006 -Penalidad por 4to curso repetido</t>
  </si>
  <si>
    <t>[SPO]Necesitamos la actualización de los reportes para que pueda incluir la Validación de carga de  las penalidades(PF012), Cierre de Campaña - AC006. Logrando que incluya la casuistica de las penalidades por 4ta en los controles SOX.</t>
  </si>
  <si>
    <t>Tairi Ruillier - VP Transformación</t>
  </si>
  <si>
    <t>Janeth Albujar Rodriguez -Dirección de Operaciones Academicas</t>
  </si>
  <si>
    <t>Kelly Wong</t>
  </si>
  <si>
    <t>Por Confirmar</t>
  </si>
  <si>
    <t>Actualmente los reportes no incluyen las penalidades por 4ta</t>
  </si>
  <si>
    <t>Creacion de campaña 
Cierre de Matricula</t>
  </si>
  <si>
    <t>Los reportes incluyan las penalidades y los cierres de campaña</t>
  </si>
  <si>
    <t>Reportes SOX (PF012), Cierre de Campaña - AC006</t>
  </si>
  <si>
    <t>Secretaria Academica 
Planeamiento Comercial</t>
  </si>
  <si>
    <t>TI</t>
  </si>
  <si>
    <t>Observaciones SOX</t>
  </si>
  <si>
    <t>Innovación y Crecimiento</t>
  </si>
  <si>
    <t>Por confirmar</t>
  </si>
  <si>
    <t>https://educorpperu-my.sharepoint.com/personal/diana_zapata_laureate_pe1/_layouts/15/Doc.aspx?sourcedoc=%7BA5A84171-075B-4674-B91E-F72A86A61703%7D&amp;file=Solicitud_Reportes%20incluyen%20reglas%20de%20c%20-%204ta_Makarena%20Ramos%20Alema.pptx&amp;action=edit&amp;mobileredirect=true</t>
  </si>
  <si>
    <t>- El reporte PF012 no necesita cambios.
El reporte AC006 sí necesita cambios.Se considera agregar entre 9 a 12 columnas.
- Aún está en estimación por el lado de BI. Faltan definiciones del negocio.</t>
  </si>
  <si>
    <t>Cinthya Perea</t>
  </si>
  <si>
    <t>Atender</t>
  </si>
  <si>
    <t>A</t>
  </si>
  <si>
    <t>jose.herbozo@upn.edu.pe</t>
  </si>
  <si>
    <t>Jose Paredes Herbozo</t>
  </si>
  <si>
    <t>Incorporar sección de "variable étnica" a la Ficha de Postulación y CRM</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</si>
  <si>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</si>
  <si>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Sandra Elena Chirinos Villavicencio</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</si>
  <si>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</si>
  <si>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</si>
  <si>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</si>
  <si>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 xml:space="preserve">Estos campos son nuevos. </t>
  </si>
  <si>
    <t>Que estos campos se puedan completar por los prospectos desde la ficha de postulación.</t>
  </si>
  <si>
    <t>Normativa SUNEDU</t>
  </si>
  <si>
    <t>Alumnos, UPN como institución.</t>
  </si>
  <si>
    <t>Legal, Secretaría Académica.</t>
  </si>
  <si>
    <t>No estar cumpliendo con la nueva predisposición de la normativa.</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</si>
  <si>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</si>
  <si>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</si>
  <si>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</si>
  <si>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</si>
  <si>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S/.</t>
  </si>
  <si>
    <t>El esfuerzo estimado considera a Desarrollo de TI (Nohelí Cabrera) y SDRELACIONAMIENTO (Cesar Soplin).
Se asume que CRM publica API de lectura y escritura para que GDO lea y escriba la información del campo VARIABLE ETNICA.</t>
  </si>
  <si>
    <t>Interno / Interno</t>
  </si>
  <si>
    <t>Nohelí Cabrera / César Soplín</t>
  </si>
  <si>
    <t>daniella.poppe@laureate.pe</t>
  </si>
  <si>
    <t>Daniella Poppe Medina</t>
  </si>
  <si>
    <t>Integración de modelo Lead Scoring a CRM</t>
  </si>
  <si>
    <t>Necesitamos integrar el Lead Scoring al CRM para que el equipo comercial pueda priorizar de manera más efectiva los leads que recibe para la venta logrando un ratio de conversión mayor.</t>
  </si>
  <si>
    <t>Daniella Poppe- Aceleradora Digital</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</si>
  <si>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</si>
  <si>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</si>
  <si>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</si>
  <si>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Hoy en día los ejecutivos de venta llaman a todos los leads sin priorizar, lo que pueda generar que pierdan venta</t>
  </si>
  <si>
    <t>El negocio necesita integrar el Lead Scoring al CRM para que el equipo comercial pueda:
Ver 5 campos de scoring en la ficha del prospecto (percentiles, fechas y comparación).
Tener esos mismos campos en el Excel/archivo plano descargable.</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</si>
  <si>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</si>
  <si>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</si>
  <si>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</si>
  <si>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</si>
  <si>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</si>
  <si>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</si>
  <si>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1.5</t>
  </si>
  <si>
    <t>$</t>
  </si>
  <si>
    <t>10564.39</t>
  </si>
  <si>
    <t>$6625 es desarrollor de la integración (1to1), $3939 es costo de servidor/año. Total: $10564. Estimación ya esta entregado a solicitante.</t>
  </si>
  <si>
    <t>eduardo.paul@cibertec.pe</t>
  </si>
  <si>
    <t>Eduardo Paul Aguilar</t>
  </si>
  <si>
    <t>Extraccion de Datos Para retención.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</si>
  <si>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</si>
  <si>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Francis Siancas</t>
  </si>
  <si>
    <t>Eduardo Paul</t>
  </si>
  <si>
    <t>Frank Palomino</t>
  </si>
  <si>
    <t>0</t>
  </si>
  <si>
    <t xml:space="preserve">No se tiene identificado aquellos alumnos que podrian desertar y retirarse del curso. actualmente esto se identifica el proximo ciclo cuando el alumno ya perdió el ciclo anterior. </t>
  </si>
  <si>
    <t>Proceso de retención y proceso de matricula.</t>
  </si>
  <si>
    <t>Actualmente no se tiene información como la cantidad de veces que el alumno ingreso a blackboard, tampoco se tienen reportes consolidados de información.</t>
  </si>
  <si>
    <t>Acceso a la información de Blacboard, Avance Académico y Financiera los estudiante.</t>
  </si>
  <si>
    <t>Incremento del numero de alumnos que no se matriculan. identificandose que los alumnos abandonan los cursos y no ingresan.</t>
  </si>
  <si>
    <t xml:space="preserve">Equipo de Matricula
Equipo de Experiencia Estudiante CIbertec
</t>
  </si>
  <si>
    <t>Equipo de Finanzas / Cobranzas</t>
  </si>
  <si>
    <t>Al no identificar a los alumnos se pierde una cantidad importante de estudiantes siendo hasta el 20 % de la población.</t>
  </si>
  <si>
    <t>Se evaluara al identificar la información entregada, actualmente el impacto por deserción es aprox del 30% de la población</t>
  </si>
  <si>
    <t>Reducir esfuerzos posteriores, luego que el alumno a desertado.</t>
  </si>
  <si>
    <t>- BI tiene un acuerdo con Danilo para saber qué requerimiento entrarán en priorización mientras se obtienen los recursos para implementar.</t>
  </si>
  <si>
    <t>giancarlo.villacorta@upc.pe</t>
  </si>
  <si>
    <t>Giancarlo Villacorta Quiñones</t>
  </si>
  <si>
    <t>Implementación de un proceso automatizado en Banner para la generación de turnos de Planificación Horaria</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</si>
  <si>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</si>
  <si>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Miguel Chang - Dirección de operaciones académicas</t>
  </si>
  <si>
    <t>Eduardo Dávalos</t>
  </si>
  <si>
    <t>Giancarlo Villacorta</t>
  </si>
  <si>
    <t>No tiene</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</si>
  <si>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</si>
  <si>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</si>
  <si>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</si>
  <si>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</si>
  <si>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</si>
  <si>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UPC: Estudiantes, personal de Matrícula Regular, Comunicaciones, Aceleradora, Data BI, Estrategia Digital, Finanzas y Comité Ejecutivo, etc., que estén involucradas en el proceso de matrícula.
</t>
  </si>
  <si>
    <t xml:space="preserve">- Áreas: Matrícula Regular, Comunicaciones, Aceleradora, Data BI, Estrategia Digital, Finanzas y Comité Ejecutivo, etc. 
</t>
  </si>
  <si>
    <t xml:space="preserve">Reducción del 25% de reclamos de alumnos que no pudieron ingresar a la Planificación Horaria durante el proceso de matrícula del 2do Semestre 2025. </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</si>
  <si>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</si>
  <si>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</si>
  <si>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</si>
  <si>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USD</t>
  </si>
  <si>
    <t>El front de la aplicación que permite dirigirte a la planificación debe ser hecha por La Aceleradora. La estimación sólo considera el esfuerzo para automatizar la generación de turnos para la planificación</t>
  </si>
  <si>
    <t>Lucía Vega / Janny Nicasio</t>
  </si>
  <si>
    <t>En Proceso</t>
  </si>
  <si>
    <t>B</t>
  </si>
  <si>
    <t>Remediación de Vulnerabilidades Banner UPN - Actualización Karaf</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</si>
  <si>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</si>
  <si>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Carlos Sanchez - Seguridad TI</t>
  </si>
  <si>
    <t>N/A</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</si>
  <si>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</si>
  <si>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</si>
  <si>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remediadas - Riesgo mitigado</t>
  </si>
  <si>
    <t>Vulnerabilidades identificadas en el servidor "sis-r1-mware20"</t>
  </si>
  <si>
    <t xml:space="preserve">Estudiantes y docentes cuya información personal puede verse expuesta o vulnerada si la vulnerabilidad en el sistema Banner no es remediada a tiempo. </t>
  </si>
  <si>
    <t>Los planteados en el punto 17</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</si>
  <si>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</si>
  <si>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</si>
  <si>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</si>
  <si>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</si>
  <si>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</si>
  <si>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35,122,84</t>
  </si>
  <si>
    <t>Al ser un proceso cross, se deben realizar pruebas integrales con distitnos frentes
CRM, Portal, Peoplesoft, cargas FTP, aprovisionamiento cuentas</t>
  </si>
  <si>
    <t>Externos e Internos</t>
  </si>
  <si>
    <t>Lucía Vega</t>
  </si>
  <si>
    <t>Certificaciones Modulares</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</si>
  <si>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</si>
  <si>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 xml:space="preserve">Alfredo Hoffmann, Pedro Berdejo - Dirección de Carrera de Administración y marketing) </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</si>
  <si>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</si>
  <si>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</si>
  <si>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Actualmente no existe un aplicativo para la emisión de certificaciones modulares. Se realizó un piloto con el equipo de automatización RPA.</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</si>
  <si>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</si>
  <si>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Lo requerido es un nuevo desarrollo de proceso RPA</t>
  </si>
  <si>
    <t xml:space="preserve">Toda carrera de UPC que la implemente, especialmente del programa EPE, y sus alumnos correspondientes. La universidad también por incremento de ingresos por retención y enrollment.
</t>
  </si>
  <si>
    <t xml:space="preserve">Registros Académicos, Alumnos de las carreras de UPC que lo implementen, Admisión y Retención (ambas áreas contarán con una herramienta mas para prospección o reducir la deserción).
</t>
  </si>
  <si>
    <t xml:space="preserve">Reducción de la deserción, sobre todo en carreras del programa EPE. Incremento del Enrollment, mejora del NPS por mayor valor otorgado por las carreras a los alumnos. Mayor detalle ver diapositiva 4, 5 y 6 de la ppt adjunta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</si>
  <si>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</si>
  <si>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</si>
  <si>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</si>
  <si>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</si>
  <si>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</si>
  <si>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C</t>
  </si>
  <si>
    <t>daniel.cino@upc.pe</t>
  </si>
  <si>
    <t>Daniel Cino Barreda</t>
  </si>
  <si>
    <t>desplegable de fecha en el tramite de reprogramación de pruebas para deportistas destacadas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</si>
  <si>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</si>
  <si>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Javiera Alcazar - Vida Universitaria</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</si>
  <si>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</si>
  <si>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</si>
  <si>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</si>
  <si>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</si>
  <si>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</si>
  <si>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Actualmente el trámite no permite el registro de una fecha asociada al componente calificable que el estudiante deportista solicita reprogramar. Sin una fecha es imposible validar el cruce con los compromisos deportivos de los estudiantes.</t>
  </si>
  <si>
    <t xml:space="preserve">Los Deportistas Destacados (+700)
El equipo de Deportes UPC y de Registros Académicos
</t>
  </si>
  <si>
    <t>Los docentes que tienen a Deportistas Destacados en sus secciones</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</si>
  <si>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</si>
  <si>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</si>
  <si>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</si>
  <si>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</si>
  <si>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 Desarrollo que debe realizar BIT.
- Costo por hora USD 35
- Estimamos 30 horas</t>
  </si>
  <si>
    <t>Lucy Torres</t>
  </si>
  <si>
    <t>nohemi.marcelo@upc.pe</t>
  </si>
  <si>
    <t>Nohemi Estefani Marcelo Torres</t>
  </si>
  <si>
    <t xml:space="preserve">Sistema de integra de trayectoria y acompañamiento al estudiante becado </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</si>
  <si>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</si>
  <si>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Maria Cifuentes Ramseyer - Directora de Desarrollo Académico y Sostenibilidad</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</si>
  <si>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</si>
  <si>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</si>
  <si>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</si>
  <si>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</si>
  <si>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</si>
  <si>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</si>
  <si>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</si>
  <si>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Equipo We talk
Secretaria Académica
Finanzas (deudas)
Oficina de Gestión de trámites
Calidad Educativa
Grados Y títulos</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</si>
  <si>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</si>
  <si>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</si>
  <si>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</si>
  <si>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</si>
  <si>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</si>
  <si>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INDICADORES ACADEMICOS DE BLACKBOARD</t>
  </si>
  <si>
    <t>Mejorar la calidad de servicio de docentes hacia los alumnos, para poder medir la calidad del servicio académico y dar feedback a los docentes</t>
  </si>
  <si>
    <t>Paola Mora</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</si>
  <si>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</si>
  <si>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</si>
  <si>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Actualmente el proceso se realiza manualmente con 1 recurso haciendo las actividades.</t>
  </si>
  <si>
    <t xml:space="preserve">Generar un Dasboard delos indicadores por periodo academico tal cual como los reportes presentados en el detalle del requerimiento. </t>
  </si>
  <si>
    <t>El crecimiento estimado para este grupo de alumnos se espera se incremente de 3 Secciones en este modulo y pasarián a 330 seccion al final del 2026</t>
  </si>
  <si>
    <t>Alumnos, Docentes, coordinadores academicos</t>
  </si>
  <si>
    <t>Directores Academicos, Área de Retención.</t>
  </si>
  <si>
    <t xml:space="preserve">Impacto al seguimiento de la calidad Académica, experiencia del alumno y proceso de retención. En muestra se identifico que un 30 % de los docentes no estaban realizando correctamente esta actividad. </t>
  </si>
  <si>
    <t>Calidad Académica</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</si>
  <si>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</si>
  <si>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</si>
  <si>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</si>
  <si>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juan.nazario@upc.pe</t>
  </si>
  <si>
    <t>Juan Francisco Nazario Vargas</t>
  </si>
  <si>
    <t>Visualizar los Resultados Basados en Competencias en el dashboard para el sistema de Assessment</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</si>
  <si>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</si>
  <si>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Jorge Bossio - Dirección de Innovación Educativa y Emprendimiento</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</si>
  <si>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</si>
  <si>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</si>
  <si>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</si>
  <si>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</si>
  <si>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</si>
  <si>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</si>
  <si>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Directores, docentes y alumnos</t>
  </si>
  <si>
    <t>DADO, Calidad educativa</t>
  </si>
  <si>
    <t xml:space="preserve">Proceso institucional de assessment de competencias sin resultados para las carreras y estudiantes, lo cual afectaría el proceso de control que realiza SUNEDU y WASC/WSCUC </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</si>
  <si>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</si>
  <si>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</si>
  <si>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</si>
  <si>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</si>
  <si>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3.5 (14 semanas)</t>
  </si>
  <si>
    <t>92,035,25</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</si>
  <si>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</si>
  <si>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carlos.olivera@upn.edu.pe</t>
  </si>
  <si>
    <t>Carlos Rau Olivera Fatacioli</t>
  </si>
  <si>
    <t>Registro de matrícula en CRM Dynamics</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</si>
  <si>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</si>
  <si>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</si>
  <si>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</si>
  <si>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</si>
  <si>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</si>
  <si>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Actualmente:
Se busca identificar a los estudiantes nuevos reingresos a quienes se les ha registrado una matrícula proactiva.
Se genera un reporte consolidado validando el estado de matrículas uno a uno.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</si>
  <si>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</si>
  <si>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 xml:space="preserve">Esperar la consolidación del reporte general y la búsqueda de la matrícula a través de Banner toma más tiempo y genera menos eficiencia operativa.
</t>
  </si>
  <si>
    <t>Estudiantes nuevos reingresos de Carreras a distancia.
Admisión, Retención, Educación Virtual – Perfect Start</t>
  </si>
  <si>
    <t>Cobranzas</t>
  </si>
  <si>
    <t>Deserción académica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</si>
  <si>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</si>
  <si>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</si>
  <si>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</si>
  <si>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45000 +15000</t>
  </si>
  <si>
    <t>- Banner debe proveer información de matricula a CRM Dynamics (asumimos que este ETL iingresa la información en Dynamics)
- Las 3 semanas sólo consideran la implementación del servicio que expondrá la data de Banner.
- Definir donde ira este ETL. Si es un servidor dedicado los costos podrian subir</t>
  </si>
  <si>
    <t xml:space="preserve">Cesar Soplin/Lucía Vega </t>
  </si>
  <si>
    <t>Sincronización de notas del aula virtual con el sistema académico</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</si>
  <si>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</si>
  <si>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Jorge Bossio - Director de Innovación Educativa y Emprendimiento</t>
  </si>
  <si>
    <t>100,000 soles</t>
  </si>
  <si>
    <t>Registro de nota una sola vez en el aula virtual por parte del docente</t>
  </si>
  <si>
    <t>Registro de notas</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</si>
  <si>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</si>
  <si>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El profesor evalúa y califica en el aula virtual y en fechas específicas y reglas de negocio claras, viajarían al SIS o periférico determinado.</t>
  </si>
  <si>
    <t xml:space="preserve">Doble registro de nota por cada evaluación declarada en el sílabo, en el aula virtual y en uPlanner (períferico), donde se pueden producir errores de digitación </t>
  </si>
  <si>
    <t>Profesores y estudiantes</t>
  </si>
  <si>
    <t>Registros académicos</t>
  </si>
  <si>
    <t xml:space="preserve">Los profesores deben hacer un segundo registro de nota en el SIS o periférico determinado, lo cual induce a tener errores de digitación y atender solicitudes de cambio de nota.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</si>
  <si>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</si>
  <si>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</si>
  <si>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</si>
  <si>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</si>
  <si>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 xml:space="preserve">S/. </t>
  </si>
  <si>
    <t xml:space="preserve">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</si>
  <si>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carla.arias@upn.edu.pe</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</si>
  <si>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</si>
  <si>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</si>
  <si>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Cindy Chuco - Coordinador de Facturación, Beca y Descuentos</t>
  </si>
  <si>
    <t>NA</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</si>
  <si>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</si>
  <si>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</si>
  <si>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Se modificaron las marcas en Banner y Portal, pero es necesario que el ETL también incluya el cambio para que el proceso funcione.</t>
  </si>
  <si>
    <t>Que el ETL considere las nuevas nomenclaturas de marcas, para que el proceso de solicitud de descuentos funciones correctamente.</t>
  </si>
  <si>
    <t>Cuando se hizo el cambio en Banner y Portal no se identificó como parte del alcance de la solución la modificación del ETL. Estamos en falta con negocio, por una atención parcial a su requerimiento.</t>
  </si>
  <si>
    <t>Estudiantes que requieren descuentos
Finanzas</t>
  </si>
  <si>
    <t>Reclamos de estudiantes, a la fecha más de 170 impactados
Carga operativa en Finanzas (originada por una atención incompleta por parte de TI).</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</si>
  <si>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</si>
  <si>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</si>
  <si>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</si>
  <si>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Usuario - VP, Gerencia, Área solicitante  - NO UTILIZAR</t>
  </si>
  <si>
    <t>BRM   - NO UTILIZAR</t>
  </si>
  <si>
    <t>Nro de ticket de service now (RIT) - NO UTILIZAR</t>
  </si>
  <si>
    <t>Cuando se necesita  - NO UTILIZAR</t>
  </si>
  <si>
    <t>Indicar id del proyecto SPO - NO UTILIZAR</t>
  </si>
  <si>
    <t>Proyecto SPO (Oficina Proyectos Estrategicos) - NO UTILIZAR</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</si>
  <si>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</si>
  <si>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</si>
  <si>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</si>
  <si>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</si>
  <si>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</si>
  <si>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</si>
  <si>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</si>
  <si>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</si>
  <si>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Tenemos una cotización a alto nivel solo para Pregrado. Estamos asumiendo el doble considerando EPE.</t>
  </si>
  <si>
    <t>?</t>
  </si>
  <si>
    <t>luis.almeyda@upc.pe</t>
  </si>
  <si>
    <t>Luis Alberto Almeyda Porras</t>
  </si>
  <si>
    <t>Mejoras en SPRING - Facturación por nuevo registro de Ventas SIRE</t>
  </si>
  <si>
    <t>Karol Espinoza - Facturación UPC</t>
  </si>
  <si>
    <t xml:space="preserve">Luis Almeyda </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</si>
  <si>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</si>
  <si>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</si>
  <si>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</si>
  <si>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</si>
  <si>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</si>
  <si>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</si>
  <si>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</si>
  <si>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</si>
  <si>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</si>
  <si>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</si>
  <si>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</si>
  <si>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</si>
  <si>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</si>
  <si>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</si>
  <si>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</si>
  <si>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</si>
  <si>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 xml:space="preserve">We talk - Implementación del sistema de examen de validación de inglés B2 (Linguaskill) y nuevas reglas del Placement </t>
  </si>
  <si>
    <t>Fidel Llong - Dirección de operaciones académicas, Secretaría académica We talk /Regularización</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</si>
  <si>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</si>
  <si>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</si>
  <si>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</si>
  <si>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</si>
  <si>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</si>
  <si>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</si>
  <si>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</si>
  <si>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</si>
  <si>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</si>
  <si>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</si>
  <si>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</si>
  <si>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</si>
  <si>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</si>
  <si>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</si>
  <si>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</si>
  <si>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</si>
  <si>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</si>
  <si>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</si>
  <si>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</si>
  <si>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</si>
  <si>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</si>
  <si>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</si>
  <si>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</si>
  <si>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</si>
  <si>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</si>
  <si>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</si>
  <si>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</si>
  <si>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</si>
  <si>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</si>
  <si>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</si>
  <si>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</si>
  <si>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</si>
  <si>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</si>
  <si>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</si>
  <si>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</si>
  <si>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</si>
  <si>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</si>
  <si>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</si>
  <si>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</si>
  <si>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</si>
  <si>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</si>
  <si>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</si>
  <si>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</si>
  <si>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</si>
  <si>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</si>
  <si>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</si>
  <si>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</si>
  <si>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</si>
  <si>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</si>
  <si>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0.5</t>
  </si>
  <si>
    <t>Asumimos que el estudiante ya tiene la marca de suspensión para ser excluido del proceso.</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</si>
  <si>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</si>
  <si>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</si>
  <si>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</si>
  <si>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</si>
  <si>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</si>
  <si>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</si>
  <si>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</si>
  <si>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</si>
  <si>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</si>
  <si>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</si>
  <si>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</si>
  <si>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</si>
  <si>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</si>
  <si>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</si>
  <si>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</si>
  <si>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</si>
  <si>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</si>
  <si>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</si>
  <si>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</si>
  <si>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</si>
  <si>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</si>
  <si>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</si>
  <si>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</si>
  <si>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</si>
  <si>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</si>
  <si>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</si>
  <si>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</si>
  <si>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</si>
  <si>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</si>
  <si>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</si>
  <si>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</si>
  <si>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</si>
  <si>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</si>
  <si>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</si>
  <si>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lucia.vega@laureate.pe</t>
  </si>
  <si>
    <t>Ana Vega Iparraguirre</t>
  </si>
  <si>
    <t>Upgrade Banner UPC</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</si>
  <si>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</si>
  <si>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</si>
  <si>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</si>
  <si>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</si>
  <si>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</si>
  <si>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</si>
  <si>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</si>
  <si>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</si>
  <si>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</si>
  <si>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</si>
  <si>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</si>
  <si>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</si>
  <si>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</si>
  <si>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</si>
  <si>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</si>
  <si>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</si>
  <si>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</si>
  <si>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</si>
  <si>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</si>
  <si>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</si>
  <si>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</si>
  <si>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</si>
  <si>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</si>
  <si>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</si>
  <si>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</si>
  <si>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</si>
  <si>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</si>
  <si>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</si>
  <si>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</si>
  <si>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</si>
  <si>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</si>
  <si>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</si>
  <si>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</si>
  <si>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</si>
  <si>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</si>
  <si>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</si>
  <si>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</si>
  <si>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</si>
  <si>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</si>
  <si>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</si>
  <si>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</si>
  <si>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</si>
  <si>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</si>
  <si>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</si>
  <si>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</si>
  <si>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</si>
  <si>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</si>
  <si>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</si>
  <si>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</si>
  <si>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</si>
  <si>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</si>
  <si>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</si>
  <si>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</si>
  <si>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</si>
  <si>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</si>
  <si>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</si>
  <si>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</si>
  <si>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</si>
  <si>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</si>
  <si>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</si>
  <si>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</si>
  <si>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</si>
  <si>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</si>
  <si>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</si>
  <si>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</si>
  <si>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</si>
  <si>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</si>
  <si>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</si>
  <si>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</si>
  <si>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</si>
  <si>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</si>
  <si>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</si>
  <si>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</si>
  <si>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</si>
  <si>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</si>
  <si>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</si>
  <si>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</si>
  <si>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</si>
  <si>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</si>
  <si>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</si>
  <si>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</si>
  <si>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</si>
  <si>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</si>
  <si>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</si>
  <si>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</si>
  <si>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</si>
  <si>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</si>
  <si>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</si>
  <si>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</si>
  <si>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</si>
  <si>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</si>
  <si>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</si>
  <si>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</si>
  <si>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</si>
  <si>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</si>
  <si>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</si>
  <si>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</si>
  <si>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</si>
  <si>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</si>
  <si>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</si>
  <si>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</si>
  <si>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</si>
  <si>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</si>
  <si>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</si>
  <si>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</si>
  <si>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</si>
  <si>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</si>
  <si>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</si>
  <si>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</si>
  <si>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</si>
  <si>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</si>
  <si>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</si>
  <si>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</si>
  <si>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</si>
  <si>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</si>
  <si>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</si>
  <si>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</si>
  <si>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</si>
  <si>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</si>
  <si>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</si>
  <si>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</si>
  <si>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</si>
  <si>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</si>
  <si>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</si>
  <si>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</si>
  <si>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</si>
  <si>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</si>
  <si>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</si>
  <si>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</si>
  <si>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</si>
  <si>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</si>
  <si>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</si>
  <si>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RITM0589243</t>
  </si>
  <si>
    <t>SCTASK1463216. Lo tiene el BRM CIB Eduardo</t>
  </si>
  <si>
    <t>CRM, SPRING, AD, Id Usuario, Banner</t>
  </si>
  <si>
    <t>Ecommerce UPC /Regularización</t>
  </si>
  <si>
    <t>RITM0589248</t>
  </si>
  <si>
    <t>SCTASK1463221. Mesa de ayuda lo cerro por falta de información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</si>
  <si>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</si>
  <si>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</si>
  <si>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</si>
  <si>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</si>
  <si>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</si>
  <si>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</si>
  <si>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</si>
  <si>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</si>
  <si>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</si>
  <si>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</si>
  <si>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</si>
  <si>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</si>
  <si>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</si>
  <si>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</si>
  <si>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</si>
  <si>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</si>
  <si>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</si>
  <si>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</si>
  <si>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</si>
  <si>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</si>
  <si>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[SPO]Modificación de MDUU de elegibles en Banner.</t>
  </si>
  <si>
    <t>Janeth Albujar Rodriguez - Dirección Operaciones Academicas (DOA)</t>
  </si>
  <si>
    <t>RITM0588325</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</si>
  <si>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</si>
  <si>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</si>
  <si>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</si>
  <si>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</si>
  <si>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</si>
  <si>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</si>
  <si>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</si>
  <si>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</si>
  <si>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</si>
  <si>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</si>
  <si>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</si>
  <si>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</si>
  <si>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</si>
  <si>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RITM0587015</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</si>
  <si>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</si>
  <si>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</si>
  <si>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</si>
  <si>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</si>
  <si>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</si>
  <si>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</si>
  <si>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</si>
  <si>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</si>
  <si>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</si>
  <si>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</si>
  <si>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</si>
  <si>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</si>
  <si>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</si>
  <si>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</si>
  <si>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</si>
  <si>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</si>
  <si>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</si>
  <si>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</si>
  <si>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</si>
  <si>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</si>
  <si>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</si>
  <si>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</si>
  <si>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</si>
  <si>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</si>
  <si>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</si>
  <si>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</si>
  <si>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</si>
  <si>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</si>
  <si>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</si>
  <si>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</si>
  <si>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</si>
  <si>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</si>
  <si>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</si>
  <si>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</si>
  <si>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</si>
  <si>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</si>
  <si>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</si>
  <si>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RITM0588307</t>
  </si>
  <si>
    <t>gerson.vereau@upn.edu.pe</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</si>
  <si>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</si>
  <si>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</si>
  <si>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</si>
  <si>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</si>
  <si>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</si>
  <si>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</si>
  <si>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</si>
  <si>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</si>
  <si>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</si>
  <si>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</si>
  <si>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</si>
  <si>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</si>
  <si>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</si>
  <si>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</si>
  <si>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</si>
  <si>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</si>
  <si>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</si>
  <si>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</si>
  <si>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</si>
  <si>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</si>
  <si>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</si>
  <si>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</si>
  <si>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</si>
  <si>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</si>
  <si>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</si>
  <si>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</si>
  <si>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</si>
  <si>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</si>
  <si>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RITM0590083</t>
  </si>
  <si>
    <t>Actualización en Gestión Docente sobre cambios realizados en Banner</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</si>
  <si>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</si>
  <si>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</si>
  <si>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</si>
  <si>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</si>
  <si>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</si>
  <si>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</si>
  <si>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</si>
  <si>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</si>
  <si>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</si>
  <si>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</si>
  <si>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</si>
  <si>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</si>
  <si>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</si>
  <si>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</si>
  <si>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</si>
  <si>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</si>
  <si>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</si>
  <si>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</si>
  <si>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</si>
  <si>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</si>
  <si>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</si>
  <si>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</si>
  <si>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</si>
  <si>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</si>
  <si>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</si>
  <si>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</si>
  <si>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</si>
  <si>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</si>
  <si>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</si>
  <si>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</si>
  <si>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</si>
  <si>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</si>
  <si>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</si>
  <si>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</si>
  <si>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</si>
  <si>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</si>
  <si>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</si>
  <si>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</si>
  <si>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</si>
  <si>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</si>
  <si>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</si>
  <si>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</si>
  <si>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</si>
  <si>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</si>
  <si>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</si>
  <si>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</si>
  <si>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</si>
  <si>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</si>
  <si>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</si>
  <si>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</si>
  <si>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</si>
  <si>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</si>
  <si>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</si>
  <si>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</si>
  <si>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</si>
  <si>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</si>
  <si>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</si>
  <si>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</si>
  <si>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</si>
  <si>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RITM0592516</t>
  </si>
  <si>
    <t>RITM0592554</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</si>
  <si>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</si>
  <si>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</si>
  <si>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</si>
  <si>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</si>
  <si>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</si>
  <si>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</si>
  <si>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</si>
  <si>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</si>
  <si>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</si>
  <si>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</si>
  <si>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</si>
  <si>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</si>
  <si>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</si>
  <si>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</si>
  <si>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</si>
  <si>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No se tiene el detalle del ticket RIT</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</si>
  <si>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</si>
  <si>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</si>
  <si>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</si>
  <si>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</si>
  <si>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</si>
  <si>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</si>
  <si>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</si>
  <si>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</si>
  <si>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</si>
  <si>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</si>
  <si>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</si>
  <si>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</si>
  <si>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</si>
  <si>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</si>
  <si>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</si>
  <si>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</si>
  <si>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RITM0595059</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</si>
  <si>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</si>
  <si>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</si>
  <si>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</si>
  <si>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</si>
  <si>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</si>
  <si>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</si>
  <si>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</si>
  <si>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</si>
  <si>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</si>
  <si>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</si>
  <si>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</si>
  <si>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</si>
  <si>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</si>
  <si>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</si>
  <si>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</si>
  <si>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</si>
  <si>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</si>
  <si>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RIT0736328   (REQ0736328)</t>
  </si>
  <si>
    <t>RITM0596395</t>
  </si>
  <si>
    <t>UPN;CIB;LAUREATE PERÚ;UPC</t>
  </si>
  <si>
    <t>Henry Longa - DIRECTOR DE SERVICIOS TI</t>
  </si>
  <si>
    <t>TBD</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</si>
  <si>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</si>
  <si>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</si>
  <si>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</si>
  <si>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</si>
  <si>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</si>
  <si>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</si>
  <si>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</si>
  <si>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</si>
  <si>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</si>
  <si>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</si>
  <si>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</si>
  <si>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</si>
  <si>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</si>
  <si>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</si>
  <si>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</si>
  <si>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</si>
  <si>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</si>
  <si>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</si>
  <si>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</si>
  <si>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</si>
  <si>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</si>
  <si>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</si>
  <si>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</si>
  <si>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</si>
  <si>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</si>
  <si>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</si>
  <si>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</si>
  <si>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</si>
  <si>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</si>
  <si>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</si>
  <si>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</si>
  <si>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</si>
  <si>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</si>
  <si>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</si>
  <si>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</si>
  <si>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</si>
  <si>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</si>
  <si>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</si>
  <si>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</si>
  <si>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</si>
  <si>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RITM0596481</t>
  </si>
  <si>
    <t>RITM0596110</t>
  </si>
  <si>
    <t>USD 5k Capex</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</si>
  <si>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</si>
  <si>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</si>
  <si>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</si>
  <si>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</si>
  <si>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</si>
  <si>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Incremento en ventas</t>
  </si>
  <si>
    <t>Lucía Vega / Elmer Zapata</t>
  </si>
  <si>
    <t>RITM0596201</t>
  </si>
  <si>
    <t>Soles</t>
  </si>
  <si>
    <t>Ana Lucia Vega</t>
  </si>
  <si>
    <t>Atendido</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</si>
  <si>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</si>
  <si>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</si>
  <si>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</si>
  <si>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</si>
  <si>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</si>
  <si>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</si>
  <si>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</si>
  <si>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</si>
  <si>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</si>
  <si>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</si>
  <si>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</si>
  <si>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</si>
  <si>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</si>
  <si>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Usuario - VP, Gerencia, Área solicitante</t>
  </si>
  <si>
    <t>BRM </t>
  </si>
  <si>
    <t>Nro de ticket de service now (RIT)</t>
  </si>
  <si>
    <t xml:space="preserve">Cuando se necesita </t>
  </si>
  <si>
    <t>Indicar id del proyecto SPO</t>
  </si>
  <si>
    <t>Proyecto SPO (Oficina Proyectos Estrategicos)</t>
  </si>
  <si>
    <t xml:space="preserve">Permitir que la DA de una carrera en UPN se pueda pagar en 2 cuotas iguales </t>
  </si>
  <si>
    <t>Ivan Olivares</t>
  </si>
  <si>
    <t>Álvaro Verástegui</t>
  </si>
  <si>
    <t>RITM0567831</t>
  </si>
  <si>
    <t>Sí, lo que se necesite se puede conseguir, este pedido es una estrategia que ayudará a incrementar las ventas.</t>
  </si>
  <si>
    <t xml:space="preserve">Actualmente las ventas no van bien y lo que tenemos pensado es poder captar rápidamente al prospecto haciendo más atractivo nuestro ticket de ingreso y que los alumnos no opten por otra universidad. 
1. Necesitamos que la DA se parta en 2 cuotas iguales, primero el alumno pagará la primera parte (50%), este primer pago no habilita nada en los sistemas, solo es un tema estratégico comercial, con el valor de este 50% somos más competitivos de cara a la oferta. 
2. El otro 50% puede pagarlo como mucho 3 días después que pagó el primer monto.
3. La cuota 2 se genera luego de haber pagado la primera.
4. Si el postulante no paga la segunda cuota, su primera cuota no es reembolsable. 
5. Modificar el botón de "Enviar Correo Pago Matrícula" en CRM considerando ahora correos que notifiquen el pago de tres conceptos (inscripción, PM y CM)
6. Contar con nuevos campos en CRM que me indiquen: Estado de pago de inscripción 1, Pago inscripción 1 (Sí o No),  Fecha de pago de inscripción 1. Los campos actuales solo deben llenarse con el pago completo de la segunda cuota. 
7. Los pagos parciales no afectan la matriz de indicador de venta.
8. El cambio aplica también para Medicina.
9. Este nuevo campo debe reflejarse en el reporte plano.
10: Los cambios deben reflejarse en los Reportes Control Sox: CN001 Reporte de Facturación para Contabilidad / CN015 Cuentas por Cobrar/  CN022 PER_AR_DETALLE_CONTABLE / AD014 Avance de Matrícula /PF007 Reporte de validación de precios - Validar que estos reportes sigan jalando el dato de inscripción en las columnas existentes
</t>
  </si>
  <si>
    <t>Tener facilidad de pago de la DA para que podamos enganchar al prospecto de forma más rápida y hacer que no mire otras opciones.</t>
  </si>
  <si>
    <t>La DA se paga en una sola cuota, a pesar de los descuentos corporativos, sigue siendo un ticket elevado Vs la competencia.</t>
  </si>
  <si>
    <t xml:space="preserve">- Caída en ventas. 
- Estrategias comerciales.
</t>
  </si>
  <si>
    <t xml:space="preserve">Admisión, Backoffice de Admisión, Postulantes, Bancos(Medios de Recaudación), Finanzas y Control SOX
</t>
  </si>
  <si>
    <t>- Comercial
- Equipos que hacen seguimiento al New Enrollment y conversión.</t>
  </si>
  <si>
    <t xml:space="preserve">Los prospectos no están tomándonos como opción de estudio, no son todos, pero si un grupo considerable: 4 de cada 10 estudiante se va a la competencia debido al ticket de ingreso. </t>
  </si>
  <si>
    <t>Necesitamos brindar un monto de DA partido en 2 para asegurar el pago inicial de los postulantes, logrando el compromiso de pago de los siguientes conceptos.</t>
  </si>
  <si>
    <t>Derecho de Admisión generará 1.04M de soles entre Marzo y Abril del 2026</t>
  </si>
  <si>
    <t>Incrementar las ventas</t>
  </si>
  <si>
    <t>https://educorpperu-my.sharepoint.com/personal/diana_zapata_laureate_pe1/_layouts/15/Doc.aspx?sourcedoc=%7B497DB466-1585-4293-855C-C3A01B79E455%7D&amp;file=2_Req-Pago%20Parcial%20de%20D.%20Inscripcion%20V1%2016102_Jose%20Paredes%20Herbozo.pptx&amp;action=edit&amp;mobileredirect=true</t>
  </si>
  <si>
    <t>Querys para estudiantes aptos y asignación a internado - Facultad Ciencias de Salud</t>
  </si>
  <si>
    <t>Edward Roekaert</t>
  </si>
  <si>
    <t>Claudia Medina - Dirección de Operaciones Académicas, Secretaría Académica</t>
  </si>
  <si>
    <t>RITM0577270</t>
  </si>
  <si>
    <t>No se cuenta con ppto.</t>
  </si>
  <si>
    <t>Requerimos la construcción de 4 querys que permitan identificar los estudiantes de la facultad de ciencia de la salud que han completado todos los cursos y créditos requeridos para poder iniciar su internado, y clasificarlos según su buen rendimiento académico para la asignación de plazas. El detalle de las querys se encuentra en la ppt adjunta.
Cabe resaltar que hace 2 años ya contamos con estas querys, pero nos han indicado que a partir del proyecto de apagado de SnowFlake las querys ya no están operativas y es necesario que construyan unas nuevas que consuman data de ODS. El ticket lo ingresamos según lo acostumbrado (días antes - no BAU), y con este imprevisto estamos contra reloj para poder cumplir la entrega comprometida con las entidades con las que tenemos convenio: MINSA, Policía Nacional del Perú, Sanidad Naval, Clínicas y Municipalidades.</t>
  </si>
  <si>
    <t>Desarrollos de clases - Internado
Matrícula - los estudiantes de los dos últimos ciclos tienen que tener sus plazas aprobadas para activarles el registro de curso.</t>
  </si>
  <si>
    <t>Contar con las 4 querys que acostumbramos, para poder confirmar los postulantes de internado a las entendidas externas.</t>
  </si>
  <si>
    <t>Desde el inicio del internado contamos con las querys (trabajadas antes en Snowflake), no tenerlas nos demandaría un trabajo de validación individual para cada estudiante, lo cual pone en riesgo el cumplimiento de las fechas comprometidas con las entidades y la calidad de la información (riesgo a errores y manipulación). 
Se validó con las áreas de secretaría académica y no contamos con reportes que nos ayuden a obtener y cruzar la información que se necesitan, por ende, las querys son indispensables para lograr el objetivo.</t>
  </si>
  <si>
    <t>Falta de conocimiento sobre el impacto del apagado de Snowflake sobre estas querys.</t>
  </si>
  <si>
    <t>Coordinador, Docente tiempo completo de dictado o gestor.</t>
  </si>
  <si>
    <t>1900 estudiantes con plaza en MINSA
1000 estudiantes con plaza en demás entidades.</t>
  </si>
  <si>
    <t>Trabajo manual... reglas de hora, perjuicio a estudiantes - imagen institucional</t>
  </si>
  <si>
    <t>Necesitamos la construcción de 4 querys, para poder identificar los estudiantes aptos y asignarlos a las distintas plazas que como Universidad tenemos aprobadas con entidades externas (MINSA, Policía Nacional, etc.), para poder cumplir con el compromiso que tenemos con estas organizaciones y permitir la matricula de nuestros estudiantes en el ciclo 26-1.</t>
  </si>
  <si>
    <t>El enviar listas con información incorrecta o fuera de fechas pone en riesgo la sostenibilidad de nuestros convenios, por los cuales la Universidad ha invertido al rededor de 1 millón de soles, a la fecha.
Así mismo, en caso de observaciones por parte de la entidad, podemos impactar directamente en la no matrícula de los estudiantes de últimos ciclos de la facultad. Los ciclos donde llevan internado se matriculan en 16 a 20 créditos (ciclo completo), siendo un promedio total de 3 millones de soles.
Ineficiencia operativa: Promedio de S/ 15 mil soles [involucrar 22 docentes a tiempo completo, por 5 días]</t>
  </si>
  <si>
    <t>Riesgo de errores al trabajar la data manualmente. No contamos con reportes que nos ayuden, ni con experiencia previa, además de tiempos sumamente ajustados.
En consecuencia, podríamos afectar la reputación institucional con nuestros estudiantes y entidades externas.</t>
  </si>
  <si>
    <t>https://educorpperu-my.sharepoint.com/personal/diana_zapata_laureate_pe1/_layouts/15/Doc.aspx?sourcedoc=%7B9012E67E-0F4D-4B81-999C-1E26EB549780%7D&amp;file=Plantilla%20Solicitud%20de%20Requerimientos%20-%20Query_Carla%20Arias%20Schreibe.pptx&amp;action=edit&amp;mobileredirect=true</t>
  </si>
  <si>
    <t>angela.lucano@upc.pe</t>
  </si>
  <si>
    <t>Gestión integral de notas e base a los componentes calificables (tipo de evaluación)</t>
  </si>
  <si>
    <t>Milagros Morgan - VRAI UPC</t>
  </si>
  <si>
    <t>RITM123456</t>
  </si>
  <si>
    <t>PRUEBA</t>
  </si>
  <si>
    <t>La automatización del registro de notas se ha convertido en una necesidad clave para asegurar la calidad académica, la eficiencia operativa y la coherencia pedagógica en los procesos de la UPC. 
Hoy se cuenta con múltiples plataformas y registros paralelos que requieren doble digitación (de componentes calificables en uImprove y Blackboard, y de notas en Blackboard y uClass), lo cual no solo incrementa la carga administrativa, sino que también aumenta el riesgo de inconsistencias y errores que afectan directamente la experiencia del estudiante y del docente.
Hoy se genera un reproceso manual de registro de componentes de calificables y notas en diferentes cursos y en dos aplicativos: Blackboard y uClass, en fechas específicas, desencadenando en posibles errores de digitalización e impactan en la satisfacción del alumno, quejas y mayor cantidad de trámites para revisión de notas.
*Componentes calificables: Son tipo de evaluaciones que se puede tener en un curso según lo indicado en su syllabus.</t>
  </si>
  <si>
    <t>Corrección de evaluación
Registro de notas
Trámites de revisión de notas
Revisión y corrección de notas
Reclamos
Assessment al alumno</t>
  </si>
  <si>
    <t>Los profesores deben poder ingresar las calificaciones una sola vez, en un sistema integrado que distribuya automáticamente la información hacia todos los módulos y plataformas institucionales. Esto reduce el tiempo invertido en tareas administrativas y les permite enfocarse en lo realmente importante: la enseñanza, el acompañamiento pedagógico y la retroalimentación oportuna a los estudiantes.
Proceso esperado:
Primero, que migre automáticamente los componentes calificables desde uImprove a Blackboard y a UClass o su reemplazo, y Banner. -&gt; Con ello se puede ver la factibilidad de estandarizar la creación de componentes calificables y facilitar el registro que minimice errores y quejas de alumnos.
Después de que se tengan los componentes calificables en Blackboard, todas las notas registradas migren a UClass (o su reemplazo) y Banner. -&gt; Mitiga la cantidad de solicitud de revisión de notas (trámites), insatisfacción y quejas por parte de alumnos.
Usando insumos de gestión docente que tiene la base de docentes.</t>
  </si>
  <si>
    <t>Hoy se genera un reproceso manual de registro de componentes de calificables y notas en cursos de Pregrado, EPE, Posgrado, plan curricular, curso de titulación, extraacadémicos u otros, en dos aplicativos: Blackboard y uClass, ya que no hay una herramienta integral que gestione los componentes calificables ni una migración de las notas en estos dos aplicativos, lo cual genera posibles errores de digitalización. Estos errores desencadenan en Trámites que registra el alumno para revisión de notas, quejas, reclamos e insatisfacción.</t>
  </si>
  <si>
    <t>El sistema de uClass no está estable y no hay una automatización del proceso de gestión integral de notas.
Se tiene un reproceso para la creación de componentes calificables y registro de notas en Blackboard y uClass.</t>
  </si>
  <si>
    <t>Anthology
uPlanner
Banner
Soporte técnico
Coordinación académica
Áreas de registro y control académico</t>
  </si>
  <si>
    <t>Alumnos con diferente registro de notas
Docentes 
Secretaría Académica
Calidad Educativa
DADIE</t>
  </si>
  <si>
    <t>Quejas de alumnos, mayor cantidad de trámites relacionados a revisión de notas por error de digitalización, instisfacción del alumno, ineficiencia operativa que desencadena en un impacto en la imagen institucional.
Cantidad de Resoluciones por modificación de nota -&gt; 283 anuales
Cantidad de Actas por error de digitación -&gt; 2070 anuales
Cantidad de Trámites por Revisión de notas -&gt; 2070 anuales
Tiempo en registrar notas en uClass (duplicado) -&gt; 29,260 horas de registros anuales (5,852 cursos x pregrado y EPE, considerando un tiempo apróx de 5hrs en el registro de notas de un curso con 10 secciones y 4 evaluaciones)
Los montos son referenciales al análisis en 2022. Los montos anuales actualizados se tendrán al cierre del periodo académico en 2025.</t>
  </si>
  <si>
    <t>Se necesita una gestión integral de notas donde se migre automáticamente los componentes calificables desde uImprove a Blackboard y a UClass (o su reemplazo) y Banner y todas las notas registradas en Blackboard migren a UClass (o su reemplazo) y Banner, para que se eliminen los reprocesos y se garantice la integridad de la información de notas en las fechas específicas, logrando que el 100% de notas se registren correctamente (sin observaciones, quejas, reclamos de error de digitalización, menor cantidad de trámites relacionados) y aumentar la satisfacción del alumno, logrando eficiencia operativa, calidad académica, asesoramiento más oportuno al alumno (retención) y escalabilidad.</t>
  </si>
  <si>
    <t>Transformación Digital;Calidad Académica;Excelencia Operativa</t>
  </si>
  <si>
    <t>100% infraestructura tecnológica optimizada que fortalece la calidad académica en UPC
100% escalabilidad en la estandarización de la creación de componentes de calificables en Blackboard (según sílabo) para todos los cursos, de tal manera que permita a UPC una integración efectiva a Uclass (o reemplazo).
100% de notas se registren correctamente (sin observaciones, quejas, reclamos de error de digitalización, menor cantidad de trámites relacionados)
Reducción de 29,260 horas anuales en en proceso de registro duplicado en uClass.*
*los montos son referenciales al análisis en 2022. Los montos anuales actualizados se tendrán al cierre del periodo académico en 2025.</t>
  </si>
  <si>
    <t>La duplicidad de digitación incrementa la probabilidad de inconsistencias en los datos (errores de tipeo, diferencias entre sistemas, notas desactualizadas, etc.). Un proceso automatizado garantizará:
- Información confiable y alineada en todos los sistemas.
- Menor necesidad de correcciones posteriores, reclamos, confusiones.
- Mayor trazabilidad y transparencia para auditorías internas y externas.
- Seguridad en la gestión de información sensible.
- Mayor satisfacción del alumno, logrando eficiencia operativa, transparencia en su progreso, calidad académica, confianza en los procesos de UPC e impacto positivo en la imagen institucional.
- Oportuna retención del alumno tras un asesoramiento más oportuno e identificación de patrones de desempeño (si las notas se reflejan de manera oportuna habrá un mejor monitoreo en el desempeño estudiantil).
- Mejor toma de decisiones académicas del alumno (retiros, recuperaciones, refuerzo)</t>
  </si>
  <si>
    <t>https://educorpperu-my.sharepoint.com/personal/diana_zapata_laureate_pe1/_layouts/15/Doc.aspx?sourcedoc=%7BCD3EC5CF-8742-473E-AECD-FA60DA266D94%7D&amp;file=Recomendaciones%20para%20tobe_Status_Angela%20Lucano%20Carran.xlsx&amp;action=default&amp;mobileredirect=true; https://educorpperu-my.sharepoint.com/personal/diana_zapata_laureate_pe1/Documents/Aplicaciones/Microsoft%20Forms/REGISTRO%20DE%20INICIATIVAS/Pregunta/Proceso%20AS%20IS%20-%20Gesti%C3%B3n%20de%20Notas_Angela%20Lucano%20Carran.pdf</t>
  </si>
  <si>
    <t>Dashboard de Sostenibilidad, para un prestamos con el banco mundial IFC</t>
  </si>
  <si>
    <t>Zoila Cáceres Oyarce</t>
  </si>
  <si>
    <t>RITM0571205</t>
  </si>
  <si>
    <t>Si se cuenta con presupuesto, necesitamos la estimación.</t>
  </si>
  <si>
    <t>Se requiere complementar el dashboard actual de sostenibilidad para sustentar un préstamo para el IFC. 
En el adjunto se menciona las los campos y tableros esperados. 
Todo esto debe estar dentro de la misma solución de Power automate que se tiene actualmente.</t>
  </si>
  <si>
    <t>Gestión de Sostenibilidad</t>
  </si>
  <si>
    <t>Contar con los nuevos tableros indicados en el adjunto.</t>
  </si>
  <si>
    <t>Actualmente se tiene una solución den Power Automate, lo que se requiere es complementar esta solución.</t>
  </si>
  <si>
    <t>Con la información cargada, es posible sustentar información para solicitar un préstamo ante el IFC.</t>
  </si>
  <si>
    <t>Esto directamente es con Sostenibilidad.</t>
  </si>
  <si>
    <t xml:space="preserve">Finanzas, Estrategia y Expansión y Dirección de Investigación e Innovación en Salud (DIIS)
</t>
  </si>
  <si>
    <t>No contar con una plataforma que permita carga la información y generar los reportes y dashboards esperados.</t>
  </si>
  <si>
    <t>Necesitamos tener estos nuevos tableros para que el equipo de sostenibilidad pueda registrar los datos (alimentar el sistema) logrando hacer visible la información con la forma y tiempo esperado para sustentar al IFC.</t>
  </si>
  <si>
    <t>Resp. Social y Sostenibilidad</t>
  </si>
  <si>
    <t>Préstamo de dinero del IFC para la construcción de la sede en Villa el Salvador ($60 MM)</t>
  </si>
  <si>
    <t xml:space="preserve">Concentrar la información de la gestión de sostenibilidad en una sola plataforma de gestión, optimizando reportes.
Préstamo de dinero del IFC para la construcción de VES ($60 MM)
</t>
  </si>
  <si>
    <t>https://educorpperu-my.sharepoint.com/personal/diana_zapata_laureate_pe1/_layouts/15/Doc.aspx?sourcedoc=%7BF41CE8E9-D4BF-4DC9-AFE8-D9DD5BC95593%7D&amp;file=Plataforma%20de%20Sostenibilidad%20para%20indicadores_Jose%20Paredes%20Herbozo.pptx&amp;action=edit&amp;mobileredirect=true</t>
  </si>
  <si>
    <t>Cambio en el trámite de traslado de carrera</t>
  </si>
  <si>
    <t>Maria Cifuentes - Calidad Educativa</t>
  </si>
  <si>
    <t>Usuario no tiene presupuesto</t>
  </si>
  <si>
    <t>Los alumnos que realizan un traslado de carrera, visualizan el cambio de inmediato en MiUPC, dejando de ver la información del ciclo actual.  Esto genera confusión y afecta su experiencia académica. Se requiere corregir la lógica para que el cambio se refleje solo en el periodo futuro.</t>
  </si>
  <si>
    <t>Traslado interno de carrera</t>
  </si>
  <si>
    <t>Que el alumno pueda iniciar su trámite sin impactar en la continuidad de sus clases en el periodo vigente, es decir, que pueda seguir viendo su carrera actual.</t>
  </si>
  <si>
    <t>Al aplicar el traslado el estudiante no ve la información del ciclo actual, ve del periodo futuro.</t>
  </si>
  <si>
    <t xml:space="preserve">El sistema finaliza la currícula vigente y crea una nueva para el periodo futuro, asociada a la carrera de destino.
</t>
  </si>
  <si>
    <t>Líderes de Dominio de Trámites y Banner</t>
  </si>
  <si>
    <t>Estudiantes que pasan por el trámite de traslado de carrera
Equipo de calidad educativa
Servicios Académicos</t>
  </si>
  <si>
    <t>Se tienen 800 casos por ciclo que presentan este problema.
Se atendieron 149 tickets en SN (enero - octubre).
Se presentaron 8 reclamos el 2025-1</t>
  </si>
  <si>
    <t>Necesitamos ajustar el proceso en Banner para que los estudiantes que realizan un traslado de carrera continúen visualizando la información correspondiente a su ciclo actual y no la del ciclo futuro, para asegurar que la experiencia académica refleje correctamente su situación vigente, evitando confusiones durante el periodo en curso, logrando eliminar la incertidumbre que hoy experimentan los estudiantes y reducir significativamente el tiempo invertido en correcciones manuales y en la atención de reclamos asociados.</t>
  </si>
  <si>
    <t>Reducir el gasto actual de un backfill S/60k
Reducir S/20k debido a multas de entidades regulatorias</t>
  </si>
  <si>
    <t>Mejorar la experiencia del estudiante.
Mitigar de riesgos reputacionales.
Menor carga operativa para las areas que solucionan este problema.</t>
  </si>
  <si>
    <t>https://educorpperu-my.sharepoint.com/personal/diana_zapata_laureate_pe1/_layouts/15/Doc.aspx?sourcedoc=%7B1182D8E1-CAEE-4FFB-A8A2-B813699EFD86%7D&amp;file=DP-02-Formato_Petici%C3%B3n_de_cambio_Tr%C3%A1mite%20Tras_Angela%20Lucano%20Carran.docx&amp;action=default&amp;mobileredirect=true</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</si>
  <si>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</si>
  <si>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</si>
  <si>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</si>
  <si>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</si>
  <si>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</si>
  <si>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</si>
  <si>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</si>
  <si>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</si>
  <si>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</si>
  <si>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</si>
  <si>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</si>
  <si>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</si>
  <si>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</si>
  <si>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</si>
  <si>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</si>
  <si>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</si>
  <si>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</si>
  <si>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</si>
  <si>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</si>
  <si>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</si>
  <si>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</si>
  <si>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</si>
  <si>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</si>
  <si>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</si>
  <si>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</si>
  <si>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</si>
  <si>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</si>
  <si>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</si>
  <si>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</si>
  <si>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</si>
  <si>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</si>
  <si>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</si>
  <si>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</si>
  <si>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</si>
  <si>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</si>
  <si>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</si>
  <si>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</si>
  <si>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</si>
  <si>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</si>
  <si>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</si>
  <si>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</si>
  <si>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</si>
  <si>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</si>
  <si>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</si>
  <si>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</si>
  <si>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</si>
  <si>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</si>
  <si>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</si>
  <si>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</si>
  <si>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</si>
  <si>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</si>
  <si>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</si>
  <si>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</si>
  <si>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</si>
  <si>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</si>
  <si>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</si>
  <si>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</si>
  <si>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</si>
  <si>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</si>
  <si>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</si>
  <si>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</si>
  <si>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</si>
  <si>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</si>
  <si>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</si>
  <si>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</si>
  <si>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</si>
  <si>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</si>
  <si>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Descripción general</t>
  </si>
  <si>
    <t>Peso</t>
  </si>
  <si>
    <t>Descripción del nivel</t>
  </si>
  <si>
    <t>Puntaje</t>
  </si>
  <si>
    <t>Columna</t>
  </si>
  <si>
    <t>Proyectos de la SPO</t>
  </si>
  <si>
    <t>Proyecto que forma parte de la SPO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</si>
  <si>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</si>
  <si>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</si>
  <si>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</si>
  <si>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</si>
  <si>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Medio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</si>
  <si>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</si>
  <si>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</si>
  <si>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</si>
  <si>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</si>
  <si>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</si>
  <si>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</si>
  <si>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</si>
  <si>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</si>
  <si>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</si>
  <si>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</si>
  <si>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t>Alineación estratégica</t>
  </si>
  <si>
    <t>Mide el impacto en los pilares estratégicos de la organización.</t>
  </si>
  <si>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</si>
  <si>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</si>
  <si>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</si>
  <si>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</si>
  <si>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</si>
  <si>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</si>
  <si>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</si>
  <si>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</si>
  <si>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</si>
  <si>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</si>
  <si>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</si>
  <si>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</si>
  <si>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</si>
  <si>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</si>
  <si>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</si>
  <si>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</si>
  <si>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</si>
  <si>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</si>
  <si>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</si>
  <si>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</si>
  <si>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</si>
  <si>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</si>
  <si>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</si>
  <si>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</si>
  <si>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</si>
  <si>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</si>
  <si>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</si>
  <si>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</si>
  <si>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</si>
  <si>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</si>
  <si>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</si>
  <si>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</si>
  <si>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</si>
  <si>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</si>
  <si>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</si>
  <si>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</si>
  <si>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</si>
  <si>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</si>
  <si>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</si>
  <si>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</si>
  <si>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</si>
  <si>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</si>
  <si>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</si>
  <si>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</si>
  <si>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</si>
  <si>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</si>
  <si>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</si>
  <si>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Proyecto o Requerimiento No BAU</t>
  </si>
  <si>
    <t>Presupuesto habilitado
 (SI/NO)</t>
  </si>
  <si>
    <t>STRING</t>
  </si>
  <si>
    <t>Proyección automática de cursos por 4ta vez</t>
  </si>
  <si>
    <t xml:space="preserve">Janeth Albujar Rodriguez </t>
  </si>
  <si>
    <t>Seguridad</t>
  </si>
  <si>
    <t xml:space="preserve">Carlos Sanchez </t>
  </si>
  <si>
    <t>Se ingresó por gestión de demanda para regularizar el requerimiento, pero era un actividad que ya estaba trabajándose y se tenía el entendimiento que se ejecutaría el pase a PRD posterior a  la matrícula, por favor confirmar ello.</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</si>
  <si>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</si>
  <si>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</si>
  <si>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Pedro Guibar</t>
  </si>
  <si>
    <t>José Paredes</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</si>
  <si>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</si>
  <si>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</si>
  <si>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</si>
  <si>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</si>
  <si>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Cesar Soplin</t>
  </si>
  <si>
    <t>Horas de configuración de proveedor (data actions), diseño de solución, pruebas y pase a producción. Es para las 3 instituciones. Se asume no se generan reportes externos (Reporte Plano) y esta No llega a CRM. Esta es un requerimiento de mejora.</t>
  </si>
  <si>
    <t>No BAU</t>
  </si>
  <si>
    <t>Sí</t>
  </si>
  <si>
    <t>Aprobado</t>
  </si>
  <si>
    <t>Pendiente del negocio</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</si>
  <si>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</si>
  <si>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</si>
  <si>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Claudia Cabrera - VP Comunicaciones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</si>
  <si>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</si>
  <si>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</si>
  <si>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</si>
  <si>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</si>
  <si>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</si>
  <si>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</si>
  <si>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</si>
  <si>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NO BAU</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</si>
  <si>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</si>
  <si>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</si>
  <si>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Sebastian Lindley - VP Transformación</t>
  </si>
  <si>
    <t xml:space="preserve">Esther Capcha </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</si>
  <si>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</si>
  <si>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</si>
  <si>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</si>
  <si>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</si>
  <si>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</si>
  <si>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</si>
  <si>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</si>
  <si>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</si>
  <si>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</si>
  <si>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</si>
  <si>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</si>
  <si>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</si>
  <si>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</si>
  <si>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</si>
  <si>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</si>
  <si>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</si>
  <si>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</si>
  <si>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</si>
  <si>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</si>
  <si>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</si>
  <si>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</si>
  <si>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</si>
  <si>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</si>
  <si>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</si>
  <si>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</si>
  <si>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</si>
  <si>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</si>
  <si>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</si>
  <si>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</si>
  <si>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</si>
  <si>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</si>
  <si>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Cesar Soplín</t>
  </si>
  <si>
    <t>Proveedor FDZ desarrollo de servicios web. Desarrollo interno para que FUNNEL no considere esta información. Configurar reglas de negocio por equipos SDR.</t>
  </si>
  <si>
    <t>Externos + Internos</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</si>
  <si>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</si>
  <si>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</si>
  <si>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</si>
  <si>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</si>
  <si>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Davi Paula Lima Goulart</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</si>
  <si>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</si>
  <si>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</si>
  <si>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</si>
  <si>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</si>
  <si>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</si>
  <si>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</si>
  <si>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</si>
  <si>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Finalizado</t>
  </si>
  <si>
    <t>30/04: En observación la asignación del Líder de Dominio, ya que LEGO no tiene como alcance únicamente la programación horaria.</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</si>
  <si>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</si>
  <si>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</si>
  <si>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</si>
  <si>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</si>
  <si>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</si>
  <si>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</si>
  <si>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</si>
  <si>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</si>
  <si>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</si>
  <si>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</si>
  <si>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</si>
  <si>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Cambio de SAC a SRL - UPC</t>
  </si>
  <si>
    <t>Cambiar de SAC a SRL - UPC, normativo</t>
  </si>
  <si>
    <t>Legal</t>
  </si>
  <si>
    <t>Proceso de cambio de tipo de sociedad de UPC, pasando de SAC a SRL.</t>
  </si>
  <si>
    <t>Procesos de facturación</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</si>
  <si>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</si>
  <si>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</si>
  <si>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</si>
  <si>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No bau</t>
  </si>
  <si>
    <t>Cambio de SAC a SRL - UPN</t>
  </si>
  <si>
    <t>Cambiar de SAC a SRL - UPN</t>
  </si>
  <si>
    <t>Franco chiappe</t>
  </si>
  <si>
    <t>Proceso de cambio de tipo de sociedad de UPN, pasando de SAC a SRL.</t>
  </si>
  <si>
    <t>Fecha inicio
[Planificada]</t>
  </si>
  <si>
    <t>Fecha fin
[Planificada]</t>
  </si>
  <si>
    <t>bruno.chiappe@laureate.pe</t>
  </si>
  <si>
    <t>Bruno Chiappe Vegas</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</si>
  <si>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</si>
  <si>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</si>
  <si>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Ada Cadillo</t>
  </si>
  <si>
    <t>https://educorpperu-my.sharepoint.com/personal/diana_zapata_laureate_pe1/Documents/Aplicaciones/Microsoft%20Forms/REGISTRO%20DE%20INICIATIVAS%20-%20GESTI%C3%93N%20DE%20LA%20DEMANDA%20(2%201/Pregunta/RITM0625292_Bruno%20Chiappe%20Vegas.pdf</t>
  </si>
  <si>
    <t>Bruno Chiappe </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</si>
  <si>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</si>
  <si>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</si>
  <si>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</si>
  <si>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</si>
  <si>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</si>
  <si>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Requerimiento NO BAU</t>
  </si>
  <si>
    <t>No requiere presupuesto</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</si>
  <si>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</si>
  <si>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9000-800700-90 (Control Interno)</t>
  </si>
  <si>
    <t>JERARQUÍA INSTITUCIONAL - Visualizar los Resultados Basados en Competencias en el dashboard para el sistema de Assessment</t>
  </si>
  <si>
    <t xml:space="preserve">Jorge Bossio </t>
  </si>
  <si>
    <t>PER07-9000-720200-90</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</si>
  <si>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</si>
  <si>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</si>
  <si>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</si>
  <si>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</si>
  <si>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</si>
  <si>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</si>
  <si>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</si>
  <si>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</si>
  <si>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</si>
  <si>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</si>
  <si>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</si>
  <si>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</si>
  <si>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</si>
  <si>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</si>
  <si>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Jose Horna - Jefe de Trámites, Quejas y Reclamos</t>
  </si>
  <si>
    <t>https://educorpperu-my.sharepoint.com/personal/diana_zapata_laureate_pe1/Documents/Aplicaciones/Microsoft%20Forms/REGISTRO%20DE%20INICIATIVAS%20-%20GESTI%C3%93N%20DE%20LA%20DEMANDA%20(2%201/Pregunta/VB_%20Ajuste%20campo%20correo%20electr%C3%B3nico%20LDR%20Virtu_Angela%20Lucano%20Carran.pdf</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</si>
  <si>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</si>
  <si>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</si>
  <si>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</si>
  <si>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</si>
  <si>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</si>
  <si>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El requerimiento se atenderia con el equipo de la aceleradora digital</t>
  </si>
  <si>
    <t>Requemiento NO BAU</t>
  </si>
  <si>
    <t>Este requerimiento por la premura del tema va a ser atendida por el equipo de la aceleradora digital, para esto Angela Lucano ingresaria un pedido con el equipo de Julio Vilca y Janny Nicasio</t>
  </si>
  <si>
    <t>Complejidad de estimación</t>
  </si>
  <si>
    <t>días laborables</t>
  </si>
  <si>
    <t>Planificación aprobada (SI/NO)</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</si>
  <si>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</si>
  <si>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</si>
  <si>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PER03-9000-500100-90</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</si>
  <si>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</si>
  <si>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</si>
  <si>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</si>
  <si>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</si>
  <si>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</si>
  <si>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</si>
  <si>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</si>
  <si>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</si>
  <si>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</si>
  <si>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</si>
  <si>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</si>
  <si>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</si>
  <si>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</si>
  <si>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Carlos Sánchez Rubio</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</si>
  <si>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</si>
  <si>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</si>
  <si>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</si>
  <si>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</si>
  <si>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Requerimiento No BAU</t>
  </si>
  <si>
    <t>Cambio SAC - SRL</t>
  </si>
  <si>
    <t>Proceso de cambio de tipo de sociedad de Cibertec, pasando de SAC a SRL.</t>
  </si>
  <si>
    <t xml:space="preserve">Rafael Andrade </t>
  </si>
  <si>
    <t>Regulatorio - Evitar sanciones a CIB</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</si>
  <si>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</si>
  <si>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</si>
  <si>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</si>
  <si>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</si>
  <si>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</si>
  <si>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</si>
  <si>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</si>
  <si>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Requerimiento</t>
  </si>
  <si>
    <t>Fecha inicio</t>
  </si>
  <si>
    <t>Fecha fin</t>
  </si>
  <si>
    <t>Requerimiento no BAU</t>
  </si>
  <si>
    <t>Especialista asignado: Alejandra Ríos
Debe iniciar en mes de Marzo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</si>
  <si>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</si>
  <si>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</si>
  <si>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</si>
  <si>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</si>
  <si>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</si>
  <si>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</si>
  <si>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</si>
  <si>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</si>
  <si>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</si>
  <si>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r>
      <rPr>
        <sz val="11"/>
        <color rgb="FF000000"/>
        <rFont val="Calibri"/>
        <family val="2"/>
        <scheme val="minor"/>
      </rPr>
      <t xml:space="preserve">
</t>
    </r>
    <r>
      <rPr>
        <sz val="11"/>
        <color rgb="FF000000"/>
        <rFont val="Calibri"/>
        <family val="2"/>
        <scheme val="minor"/>
      </rPr>
      <t>El ppto ya fue trasladado al CECO de Relacionamiento.</t>
    </r>
  </si>
  <si>
    <t>Lucia Vega /Carlos Quenema</t>
  </si>
  <si>
    <t>- Actualización del 05/03: Este tema ya ha sido atendido con el ticket REQ0736193 [RITM0594900]. Debemos validar si con eso el requerimiento está completo</t>
  </si>
  <si>
    <t>Este pedido ya se entregó a inicios de Marzo</t>
  </si>
  <si>
    <t>frank.palomino@cibertec.pe</t>
  </si>
  <si>
    <t>Frank Palomino Lizano</t>
  </si>
  <si>
    <t>Reporte de asistencia y tardanza</t>
  </si>
  <si>
    <t>Análisis de  asistencia y tardanza en base a falla de marcación por error de sistema y/o error humano</t>
  </si>
  <si>
    <t>JUAN HUAPATA / GESTION DOCENTE</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</si>
  <si>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</si>
  <si>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</si>
  <si>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</si>
  <si>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</si>
  <si>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Nohelí cabrera</t>
  </si>
  <si>
    <t xml:space="preserve">Se considera que los campos (#20) solicitados para el reporte ya existen en la BD </t>
  </si>
  <si>
    <t>30/03 Rosario de Paz confirma las fechas
fecha de inicio   01/07/2026 y fin 22/07/2026</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</si>
  <si>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</si>
  <si>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</si>
  <si>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</si>
  <si>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</si>
  <si>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</si>
  <si>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</si>
  <si>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</si>
  <si>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</si>
  <si>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</si>
  <si>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Luis Roncal - Director de Retención</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</si>
  <si>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</si>
  <si>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</si>
  <si>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</si>
  <si>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</si>
  <si>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</si>
  <si>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</si>
  <si>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</si>
  <si>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</si>
  <si>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</si>
  <si>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</si>
  <si>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</si>
  <si>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</si>
  <si>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</si>
  <si>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</si>
  <si>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</si>
  <si>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</si>
  <si>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</si>
  <si>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</si>
  <si>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</si>
  <si>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</si>
  <si>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</si>
  <si>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</si>
  <si>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</si>
  <si>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</si>
  <si>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</si>
  <si>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</si>
  <si>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</si>
  <si>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</si>
  <si>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</si>
  <si>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</si>
  <si>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</si>
  <si>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</si>
  <si>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Alvaro Valdez</t>
  </si>
  <si>
    <t>Sharon Chou - Gerente De Expansion</t>
  </si>
  <si>
    <t>Campus Expansion &amp; Operation Optimization</t>
  </si>
  <si>
    <t>Nueva sede</t>
  </si>
  <si>
    <t>Crecimiento Escalable</t>
  </si>
  <si>
    <t>Ricardo Ceino</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</si>
  <si>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</si>
  <si>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</si>
  <si>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</si>
  <si>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</si>
  <si>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Alexander Sindical - Jefe de Riesgo y Seguridad Física y Electrónica</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</si>
  <si>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</si>
  <si>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</si>
  <si>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</si>
  <si>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</si>
  <si>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</si>
  <si>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Alan Medina</t>
  </si>
  <si>
    <t>No hay ninguna implementación de por medio, solo la revisión del TDR en cuanto a las consideraciones que se deben tener en cuenta desde el frente de Telecomunicaciones y Operaciones de Seguridad.</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</si>
  <si>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</si>
  <si>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</si>
  <si>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</si>
  <si>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</si>
  <si>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</si>
  <si>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CIBERTEC</t>
  </si>
  <si>
    <t>-</t>
  </si>
  <si>
    <t>https://educorpperu-my.sharepoint.com/personal/diana_zapata_laureate_pe1/_layouts/15/Doc.aspx?sourcedoc=%7BD0123EBB-E1DD-4B8D-B020-03C7996582CF%7D&amp;file=Pruebas%20SPO_Diana%20Zapata%20Del%20Mar.docx&amp;action=default&amp;mobileredirect=true</t>
  </si>
  <si>
    <t>S/ 0.00</t>
  </si>
  <si>
    <t>#Digital&amp;AI - Speech Analytics Laureate</t>
  </si>
  <si>
    <t xml:space="preserve">Bruno </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</si>
  <si>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</si>
  <si>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</si>
  <si>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</si>
  <si>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</si>
  <si>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</si>
  <si>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</si>
  <si>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</si>
  <si>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</si>
  <si>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</si>
  <si>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</si>
  <si>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</si>
  <si>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Javier Santiago Modesto - Aceleradora Digital</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</si>
  <si>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</si>
  <si>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</si>
  <si>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</si>
  <si>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</si>
  <si>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Ana María Rojas/ Janny Nicasio</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</si>
  <si>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</si>
  <si>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</si>
  <si>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</si>
  <si>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</si>
  <si>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</si>
  <si>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</si>
  <si>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</si>
  <si>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</si>
  <si>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</si>
  <si>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</si>
  <si>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</si>
  <si>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</si>
  <si>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</si>
  <si>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Completo</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</si>
  <si>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</si>
  <si>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</si>
  <si>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</si>
  <si>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</si>
  <si>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</si>
  <si>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</si>
  <si>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</si>
  <si>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</si>
  <si>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</si>
  <si>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</si>
  <si>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</si>
  <si>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Gali García - Gerencia de operaciones académicas</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</si>
  <si>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</si>
  <si>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</si>
  <si>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</si>
  <si>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</si>
  <si>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</si>
  <si>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Nohelí Cabrera / Carlos Olivera / Lucía Vega / Nicolas Morales</t>
  </si>
  <si>
    <t>- El costo incluye horas de proveedor Neoris, contratación de personas. No incluye licencias de BB.</t>
  </si>
  <si>
    <t>SI
String
9000-833030-90</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</si>
  <si>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</si>
  <si>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</si>
  <si>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 Directora de Estrategia de Experiencia</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</si>
  <si>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</si>
  <si>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</si>
  <si>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</si>
  <si>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</si>
  <si>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MEDIA</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</si>
  <si>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</si>
  <si>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</si>
  <si>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</si>
  <si>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Janny Nicasio - Aceleradora Digital</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</si>
  <si>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</si>
  <si>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</si>
  <si>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</si>
  <si>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</si>
  <si>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</si>
  <si>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</si>
  <si>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</si>
  <si>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</si>
  <si>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</si>
  <si>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</si>
  <si>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</si>
  <si>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</si>
  <si>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</si>
  <si>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</si>
  <si>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</si>
  <si>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Requerimiento No Bau</t>
  </si>
  <si>
    <t>Alfredo Hoffmann</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</si>
  <si>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</si>
  <si>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</si>
  <si>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 xml:space="preserve">Luis Roncal </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</si>
  <si>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</si>
  <si>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</si>
  <si>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</si>
  <si>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</si>
  <si>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</si>
  <si>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</si>
  <si>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</si>
  <si>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Andrade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</si>
  <si>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</si>
  <si>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</si>
  <si>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</si>
  <si>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</si>
  <si>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</si>
  <si>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</si>
  <si>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</si>
  <si>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</si>
  <si>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</si>
  <si>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Lucía Vega (Manuel Valle)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</si>
  <si>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</si>
  <si>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</si>
  <si>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</si>
  <si>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</si>
  <si>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</si>
  <si>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</si>
  <si>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</si>
  <si>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</si>
  <si>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</si>
  <si>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</si>
  <si>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</si>
  <si>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</si>
  <si>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</si>
  <si>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</si>
  <si>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</si>
  <si>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</si>
  <si>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</si>
  <si>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</si>
  <si>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</si>
  <si>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 xml:space="preserve">Soledad Alfaro Jimenez </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</si>
  <si>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</si>
  <si>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</si>
  <si>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</si>
  <si>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</si>
  <si>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</si>
  <si>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</si>
  <si>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</si>
  <si>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</si>
  <si>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</si>
  <si>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</si>
  <si>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</si>
  <si>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</si>
  <si>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</si>
  <si>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</si>
  <si>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</si>
  <si>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</si>
  <si>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Comercial</t>
  </si>
  <si>
    <t>Toma de decisiones corporativas que da beneficios a todos</t>
  </si>
  <si>
    <t>ETL nuevo exclusivo para este fin</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</si>
  <si>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</si>
  <si>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</si>
  <si>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</si>
  <si>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</si>
  <si>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</si>
  <si>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</si>
  <si>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</si>
  <si>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</si>
  <si>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</si>
  <si>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</si>
  <si>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</si>
  <si>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</si>
  <si>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</si>
  <si>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</si>
  <si>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</si>
  <si>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</si>
  <si>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</si>
  <si>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</si>
  <si>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</si>
  <si>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</si>
  <si>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</si>
  <si>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</si>
  <si>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</si>
  <si>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</si>
  <si>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</si>
  <si>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</si>
  <si>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</si>
  <si>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</si>
  <si>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</si>
  <si>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</si>
  <si>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</si>
  <si>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</si>
  <si>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</si>
  <si>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</si>
  <si>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</si>
  <si>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</si>
  <si>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</si>
  <si>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 xml:space="preserve">Alice Rodrigues Hoyer </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</si>
  <si>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</si>
  <si>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</si>
  <si>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</si>
  <si>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</si>
  <si>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Lucía Vega / Juan Benitez / Ana Maria Rojas</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</si>
  <si>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</si>
  <si>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</si>
  <si>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</si>
  <si>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</si>
  <si>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 xml:space="preserve">Yna Loussiana Pacheco </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</si>
  <si>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</si>
  <si>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</si>
  <si>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</si>
  <si>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</si>
  <si>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</si>
  <si>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</si>
  <si>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</si>
  <si>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</si>
  <si>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</si>
  <si>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</si>
  <si>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</si>
  <si>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</si>
  <si>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</si>
  <si>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</si>
  <si>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</si>
  <si>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</si>
  <si>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</si>
  <si>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</si>
  <si>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</si>
  <si>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</si>
  <si>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</si>
  <si>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</si>
  <si>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</si>
  <si>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</si>
  <si>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</si>
  <si>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</si>
  <si>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</si>
  <si>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</si>
  <si>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</si>
  <si>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</si>
  <si>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</si>
  <si>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</si>
  <si>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</si>
  <si>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</si>
  <si>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</si>
  <si>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</si>
  <si>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</si>
  <si>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</si>
  <si>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</si>
  <si>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</si>
  <si>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</si>
  <si>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 xml:space="preserve">Activación de encuesta post llamada. 26 horas proveedor aprox, se usara bolsa de horas. Configuraciones internas por equipo SDR.  </t>
  </si>
  <si>
    <t>Se ajustó la estimación del requerimiento, se usará bolsa de horas.</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</si>
  <si>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</si>
  <si>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</si>
  <si>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 - Data &amp; BI</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</si>
  <si>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</si>
  <si>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</si>
  <si>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</si>
  <si>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</si>
  <si>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</si>
  <si>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</si>
  <si>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</si>
  <si>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</si>
  <si>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</si>
  <si>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</si>
  <si>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</si>
  <si>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</si>
  <si>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</si>
  <si>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</si>
  <si>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</si>
  <si>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</si>
  <si>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</si>
  <si>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Las APIs exponen servicios y datos sensibles, pero no todas cuentan con validaciones de seguridad verificadas de forma periódica. Esto puede permitir explotación de vulnerabilidades como exposición de datos, fallas de autenticación o acceso indebido.</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</si>
  <si>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</si>
  <si>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</si>
  <si>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</si>
  <si>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</si>
  <si>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</si>
  <si>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</si>
  <si>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</si>
  <si>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</si>
  <si>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</si>
  <si>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</si>
  <si>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</si>
  <si>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</si>
  <si>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</si>
  <si>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</si>
  <si>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</si>
  <si>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</si>
  <si>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</si>
  <si>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</si>
  <si>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</si>
  <si>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</si>
  <si>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</si>
  <si>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</si>
  <si>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</si>
  <si>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</si>
  <si>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</si>
  <si>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</si>
  <si>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</si>
  <si>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</si>
  <si>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</si>
  <si>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</si>
  <si>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</si>
  <si>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</si>
  <si>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</si>
  <si>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</si>
  <si>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</si>
  <si>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</si>
  <si>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</si>
  <si>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Una mejor segmentación de datos</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</si>
  <si>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</si>
  <si>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</si>
  <si>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</si>
  <si>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</si>
  <si>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</si>
  <si>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</si>
  <si>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</si>
  <si>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</si>
  <si>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</si>
  <si>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</si>
  <si>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</si>
  <si>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</si>
  <si>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</si>
  <si>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</si>
  <si>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</si>
  <si>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</si>
  <si>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Hugo Paucar</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</si>
  <si>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</si>
  <si>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</si>
  <si>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</si>
  <si>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</si>
  <si>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</si>
  <si>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</si>
  <si>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</si>
  <si>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</si>
  <si>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</si>
  <si>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</si>
  <si>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</si>
  <si>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</si>
  <si>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</si>
  <si>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</si>
  <si>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</si>
  <si>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</si>
  <si>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</si>
  <si>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</si>
  <si>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</si>
  <si>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</si>
  <si>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</si>
  <si>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Oz</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</si>
  <si>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</si>
  <si>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</si>
  <si>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</si>
  <si>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</si>
  <si>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</si>
  <si>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</si>
  <si>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</si>
  <si>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</si>
  <si>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</si>
  <si>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</si>
  <si>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</si>
  <si>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</si>
  <si>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</si>
  <si>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</si>
  <si>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</si>
  <si>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</si>
  <si>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</si>
  <si>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</si>
  <si>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</si>
  <si>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Enrique Ruiz Huidobro</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</si>
  <si>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</si>
  <si>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Se registrará un nuevo requerimiento ya que la usuario indica que le es vital que se tenga a tiempo real.</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</si>
  <si>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</si>
  <si>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</si>
  <si>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</si>
  <si>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</si>
  <si>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</si>
  <si>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</si>
  <si>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</si>
  <si>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</si>
  <si>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</si>
  <si>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</si>
  <si>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</si>
  <si>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</si>
  <si>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</si>
  <si>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</si>
  <si>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</si>
  <si>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</si>
  <si>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</si>
  <si>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</si>
  <si>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</si>
  <si>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</si>
  <si>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</si>
  <si>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</si>
  <si>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</si>
  <si>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</si>
  <si>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</si>
  <si>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</si>
  <si>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Ana María  Rojas Rimarachin</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</si>
  <si>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</si>
  <si>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</si>
  <si>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</si>
  <si>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</si>
  <si>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</si>
  <si>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</si>
  <si>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</si>
  <si>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</si>
  <si>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</si>
  <si>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</si>
  <si>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</si>
  <si>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</si>
  <si>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</si>
  <si>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</si>
  <si>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</si>
  <si>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</si>
  <si>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</si>
  <si>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</si>
  <si>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</si>
  <si>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</si>
  <si>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</si>
  <si>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</si>
  <si>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</si>
  <si>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</si>
  <si>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</si>
  <si>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</si>
  <si>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</si>
  <si>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</si>
  <si>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</si>
  <si>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</si>
  <si>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</si>
  <si>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</si>
  <si>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</si>
  <si>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</si>
  <si>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</si>
  <si>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Se tiene una sesión mañana con el área de negocio para la revisión de esta iniciativa y su presupuesto. Se revisó el requerimiento y no se considera prioritario para este año, ya que no se cuenta con suficiente validación o sustento del negocio asociado (el solicitante ya no nos acompaña en la institución).</t>
  </si>
  <si>
    <t>Estabilización Sistema Académico UPC - 1era iteración MCH</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</si>
  <si>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</si>
  <si>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 xml:space="preserve">Miguel Chang </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</si>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</sst>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 h:mm;@"/>
    <numFmt numFmtId="165" formatCode="yyyy\-mm\-dd;@"/>
    <numFmt numFmtId="166" formatCode="[$S/-280A]\ #,##0.00"/>
    <numFmt numFmtId="167" formatCode="&quot;S/&quot;\ #,##0.00"/>
    <numFmt numFmtId="168" formatCode="[$USD]\ #,##0.00"/>
    <numFmt numFmtId="169" formatCode="[$$-540A]#,##0.00"/>
  </numFmts>
  <fonts count="26">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sz val="11"/>
      <color rgb="FF000000"/>
      <name val="Aptos Narrow"/>
    </font>
    <font>
      <sz val="11"/>
      <color rgb="FF000000"/>
      <name val="Calibri"/>
    </font>
    <font>
      <b/>
      <sz val="11"/>
      <color rgb="FFFFFFFF"/>
      <name val="Calibri"/>
      <family val="2"/>
    </font>
    <font>
      <sz val="11"/>
      <color rgb="FF000000"/>
      <name val="Segoe UI"/>
      <charset val="1"/>
    </font>
    <font>
      <b/>
      <sz val="11"/>
      <color rgb="FFFFFFFF"/>
      <name val="Calibri"/>
    </font>
  </fonts>
  <fills count="37">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theme="5"/>
        <bgColor theme="5"/>
      </patternFill>
    </fill>
    <fill>
      <patternFill patternType="solid">
        <fgColor rgb="FFFCE4D6"/>
        <bgColor rgb="FFFCE4D6"/>
      </patternFill>
    </fill>
    <fill>
      <patternFill patternType="solid">
        <fgColor rgb="FFDDEBF7"/>
        <bgColor rgb="FFDDEBF7"/>
      </patternFill>
    </fill>
    <fill>
      <patternFill patternType="solid">
        <fgColor theme="5" tint="0.7999816888943144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theme="4" tint="0.79998168889431442"/>
      </patternFill>
    </fill>
    <fill>
      <patternFill patternType="solid">
        <fgColor theme="0" tint="-0.14999847407452621"/>
        <bgColor indexed="64"/>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249977111117893"/>
        <bgColor indexed="64"/>
      </patternFill>
    </fill>
  </fills>
  <borders count="55">
    <border>
      <left/>
      <right/>
      <top/>
      <bottom/>
      <diagonal/>
    </border>
    <border>
      <left/>
      <right/>
      <top style="medium">
        <color rgb="FF808080"/>
      </top>
      <bottom/>
      <diagonal/>
    </border>
    <border>
      <left/>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5" tint="0.39997558519241921"/>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style="thin">
        <color rgb="FF9BC2E6"/>
      </top>
      <bottom/>
      <diagonal/>
    </border>
    <border>
      <left/>
      <right/>
      <top/>
      <bottom style="thin">
        <color rgb="FF9BC2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s>
  <cellStyleXfs count="2">
    <xf numFmtId="0" fontId="0" fillId="0" borderId="0"/>
    <xf numFmtId="0" fontId="5" fillId="0" borderId="0" applyNumberFormat="0" applyFill="0" applyBorder="0" applyAlignment="0" applyProtection="0"/>
  </cellStyleXfs>
  <cellXfs count="413">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wrapText="1"/>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9" xfId="0" applyFont="1" applyFill="1" applyBorder="1" applyAlignment="1">
      <alignment vertical="center" wrapText="1"/>
    </xf>
    <xf numFmtId="9" fontId="6" fillId="4" borderId="9" xfId="0" applyNumberFormat="1" applyFont="1" applyFill="1" applyBorder="1" applyAlignment="1">
      <alignment horizontal="center" vertical="center"/>
    </xf>
    <xf numFmtId="0" fontId="2" fillId="0" borderId="9" xfId="0" applyFont="1" applyBorder="1" applyAlignment="1">
      <alignment horizontal="center" vertical="center"/>
    </xf>
    <xf numFmtId="9" fontId="2" fillId="0" borderId="6" xfId="0" applyNumberFormat="1" applyFont="1" applyBorder="1" applyAlignment="1">
      <alignment horizont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3"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wrapText="1"/>
    </xf>
    <xf numFmtId="0" fontId="7" fillId="0" borderId="5" xfId="0" applyFont="1" applyBorder="1" applyAlignment="1">
      <alignment vertical="center" wrapText="1"/>
    </xf>
    <xf numFmtId="0" fontId="10" fillId="0" borderId="10" xfId="0" applyFont="1" applyBorder="1" applyAlignment="1">
      <alignment horizontal="center" vertical="center"/>
    </xf>
    <xf numFmtId="0" fontId="7" fillId="0" borderId="9" xfId="0" applyFont="1" applyBorder="1" applyAlignment="1">
      <alignment vertical="center"/>
    </xf>
    <xf numFmtId="0" fontId="7" fillId="0" borderId="9" xfId="0" applyFont="1" applyBorder="1" applyAlignment="1">
      <alignment vertical="center" wrapText="1"/>
    </xf>
    <xf numFmtId="0" fontId="7" fillId="0" borderId="11" xfId="0" applyFont="1" applyBorder="1" applyAlignment="1">
      <alignment vertical="center" wrapText="1"/>
    </xf>
    <xf numFmtId="0" fontId="7" fillId="0" borderId="9" xfId="0" applyFont="1" applyBorder="1" applyAlignment="1">
      <alignment horizontal="left" vertical="center"/>
    </xf>
    <xf numFmtId="0" fontId="10" fillId="0" borderId="6" xfId="0" applyFont="1" applyBorder="1" applyAlignment="1">
      <alignment horizontal="center" vertical="center"/>
    </xf>
    <xf numFmtId="0" fontId="7" fillId="0" borderId="7" xfId="0" applyFont="1" applyBorder="1" applyAlignment="1">
      <alignment horizontal="left" vertical="center"/>
    </xf>
    <xf numFmtId="0" fontId="7" fillId="0" borderId="7" xfId="0" applyFont="1" applyBorder="1" applyAlignment="1">
      <alignment vertical="center" wrapText="1"/>
    </xf>
    <xf numFmtId="0" fontId="7" fillId="0" borderId="8" xfId="0" applyFont="1" applyBorder="1" applyAlignment="1">
      <alignment horizontal="left" vertical="center" wrapText="1"/>
    </xf>
    <xf numFmtId="0" fontId="7" fillId="0" borderId="7" xfId="0" applyFont="1" applyBorder="1" applyAlignment="1">
      <alignment vertical="center"/>
    </xf>
    <xf numFmtId="0" fontId="9" fillId="0" borderId="5"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9" xfId="0" applyFont="1" applyFill="1" applyBorder="1" applyAlignment="1">
      <alignment horizontal="center" vertical="center" wrapText="1"/>
    </xf>
    <xf numFmtId="0" fontId="6" fillId="4" borderId="9" xfId="0" applyFont="1" applyFill="1" applyBorder="1" applyAlignment="1">
      <alignment horizontal="left" vertical="center" wrapText="1"/>
    </xf>
    <xf numFmtId="0" fontId="3" fillId="5" borderId="0" xfId="0" applyFont="1" applyFill="1" applyAlignment="1">
      <alignment horizontal="left"/>
    </xf>
    <xf numFmtId="0" fontId="0" fillId="8" borderId="0" xfId="0" applyFill="1" applyAlignment="1">
      <alignment vertical="center" wrapText="1"/>
    </xf>
    <xf numFmtId="49" fontId="0" fillId="8" borderId="0" xfId="0" applyNumberFormat="1" applyFill="1" applyAlignment="1">
      <alignment vertical="center" wrapText="1"/>
    </xf>
    <xf numFmtId="49" fontId="0" fillId="8" borderId="0" xfId="0" quotePrefix="1" applyNumberFormat="1" applyFill="1" applyAlignment="1">
      <alignment vertical="center" wrapText="1"/>
    </xf>
    <xf numFmtId="14" fontId="0" fillId="8" borderId="0" xfId="0" applyNumberFormat="1" applyFill="1" applyAlignment="1">
      <alignment vertical="center" wrapText="1"/>
    </xf>
    <xf numFmtId="0" fontId="0" fillId="8" borderId="0" xfId="0" quotePrefix="1" applyFill="1" applyAlignment="1">
      <alignment vertical="center" wrapText="1"/>
    </xf>
    <xf numFmtId="0" fontId="0" fillId="8" borderId="0" xfId="0" applyFill="1"/>
    <xf numFmtId="49" fontId="5" fillId="8" borderId="0" xfId="1" applyNumberFormat="1" applyFill="1" applyAlignment="1">
      <alignment vertical="center" wrapText="1"/>
    </xf>
    <xf numFmtId="0" fontId="11" fillId="5" borderId="0" xfId="0" applyFont="1" applyFill="1"/>
    <xf numFmtId="0" fontId="2" fillId="4" borderId="9" xfId="0" applyFont="1" applyFill="1" applyBorder="1" applyAlignment="1">
      <alignment vertical="center" wrapText="1"/>
    </xf>
    <xf numFmtId="0" fontId="6" fillId="0" borderId="21" xfId="0" applyFont="1" applyBorder="1" applyAlignment="1">
      <alignment horizontal="center"/>
    </xf>
    <xf numFmtId="0" fontId="2" fillId="0" borderId="22" xfId="0" applyFont="1" applyBorder="1" applyAlignment="1">
      <alignment horizontal="center" vertical="center"/>
    </xf>
    <xf numFmtId="0" fontId="2" fillId="0" borderId="23"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0" fontId="16" fillId="9" borderId="30"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0" fillId="12" borderId="30" xfId="0" applyFill="1" applyBorder="1" applyAlignment="1">
      <alignment horizontal="center" vertical="center"/>
    </xf>
    <xf numFmtId="0" fontId="0" fillId="12" borderId="31" xfId="0"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1" xfId="0" applyBorder="1" applyAlignment="1">
      <alignment horizontal="center" vertical="center" wrapText="1"/>
    </xf>
    <xf numFmtId="0" fontId="0" fillId="12" borderId="31" xfId="0" applyFill="1" applyBorder="1" applyAlignment="1">
      <alignment horizontal="center" vertical="center" wrapText="1"/>
    </xf>
    <xf numFmtId="0" fontId="16" fillId="14" borderId="33" xfId="0" applyFont="1" applyFill="1" applyBorder="1" applyAlignment="1">
      <alignment horizontal="center" vertical="center" wrapText="1"/>
    </xf>
    <xf numFmtId="0" fontId="16" fillId="14" borderId="34" xfId="0" applyFont="1" applyFill="1" applyBorder="1" applyAlignment="1">
      <alignment horizontal="center" vertical="center" wrapText="1"/>
    </xf>
    <xf numFmtId="0" fontId="16" fillId="14" borderId="35" xfId="0" applyFont="1" applyFill="1" applyBorder="1" applyAlignment="1">
      <alignment horizontal="center" vertical="center" wrapText="1"/>
    </xf>
    <xf numFmtId="0" fontId="0" fillId="13" borderId="33" xfId="0" applyFill="1" applyBorder="1" applyAlignment="1">
      <alignment horizontal="center" vertical="center"/>
    </xf>
    <xf numFmtId="0" fontId="0" fillId="13" borderId="34" xfId="0" applyFill="1" applyBorder="1" applyAlignment="1">
      <alignment horizontal="center" vertical="center"/>
    </xf>
    <xf numFmtId="0" fontId="0" fillId="13" borderId="35" xfId="0" applyFill="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13" borderId="28" xfId="0" applyFill="1" applyBorder="1" applyAlignment="1">
      <alignment horizontal="center" vertical="center"/>
    </xf>
    <xf numFmtId="0" fontId="0" fillId="13" borderId="27" xfId="0" applyFill="1" applyBorder="1" applyAlignment="1">
      <alignment horizontal="center" vertical="center"/>
    </xf>
    <xf numFmtId="0" fontId="0" fillId="13" borderId="29" xfId="0" applyFill="1" applyBorder="1" applyAlignment="1">
      <alignment horizontal="center" vertical="center"/>
    </xf>
    <xf numFmtId="0" fontId="16" fillId="10" borderId="36" xfId="0" applyFont="1" applyFill="1" applyBorder="1" applyAlignment="1">
      <alignment horizontal="center" vertical="center" wrapText="1"/>
    </xf>
    <xf numFmtId="164" fontId="16" fillId="10" borderId="37" xfId="0" applyNumberFormat="1" applyFont="1" applyFill="1" applyBorder="1" applyAlignment="1">
      <alignment horizontal="center" vertical="center" wrapText="1"/>
    </xf>
    <xf numFmtId="0" fontId="16" fillId="10" borderId="37" xfId="0" applyFont="1" applyFill="1" applyBorder="1" applyAlignment="1">
      <alignment horizontal="center" vertical="center" wrapText="1"/>
    </xf>
    <xf numFmtId="14" fontId="16" fillId="10" borderId="37" xfId="0" applyNumberFormat="1" applyFont="1" applyFill="1" applyBorder="1" applyAlignment="1">
      <alignment horizontal="center" vertical="center" wrapText="1"/>
    </xf>
    <xf numFmtId="0" fontId="16" fillId="10" borderId="38" xfId="0" applyFont="1" applyFill="1" applyBorder="1" applyAlignment="1">
      <alignment horizontal="center" vertical="center" wrapText="1"/>
    </xf>
    <xf numFmtId="0" fontId="0" fillId="11" borderId="36" xfId="0" applyFill="1" applyBorder="1" applyAlignment="1">
      <alignment horizontal="center" vertical="center" wrapText="1"/>
    </xf>
    <xf numFmtId="164" fontId="0" fillId="11" borderId="37" xfId="0" applyNumberFormat="1" applyFill="1" applyBorder="1" applyAlignment="1">
      <alignment horizontal="center" vertical="center" wrapText="1"/>
    </xf>
    <xf numFmtId="49" fontId="0" fillId="11" borderId="37" xfId="0" applyNumberFormat="1" applyFill="1" applyBorder="1" applyAlignment="1">
      <alignment horizontal="center" vertical="center" wrapText="1"/>
    </xf>
    <xf numFmtId="0" fontId="0" fillId="11" borderId="37" xfId="0" applyFill="1" applyBorder="1" applyAlignment="1">
      <alignment horizontal="center" vertical="center" wrapText="1"/>
    </xf>
    <xf numFmtId="14" fontId="0" fillId="11" borderId="37" xfId="0" applyNumberFormat="1" applyFill="1" applyBorder="1" applyAlignment="1">
      <alignment horizontal="center" vertical="center" wrapText="1"/>
    </xf>
    <xf numFmtId="49" fontId="0" fillId="11" borderId="38" xfId="0" applyNumberFormat="1" applyFill="1" applyBorder="1" applyAlignment="1">
      <alignment horizontal="center" vertical="center" wrapText="1"/>
    </xf>
    <xf numFmtId="0" fontId="0" fillId="0" borderId="36" xfId="0" applyBorder="1" applyAlignment="1">
      <alignment horizontal="center" vertical="center" wrapText="1"/>
    </xf>
    <xf numFmtId="164" fontId="0" fillId="0" borderId="37" xfId="0" applyNumberFormat="1" applyBorder="1" applyAlignment="1">
      <alignment horizontal="center" vertical="center" wrapText="1"/>
    </xf>
    <xf numFmtId="49" fontId="0" fillId="0" borderId="37" xfId="0" applyNumberFormat="1" applyBorder="1" applyAlignment="1">
      <alignment horizontal="center" vertical="center" wrapText="1"/>
    </xf>
    <xf numFmtId="0" fontId="0" fillId="0" borderId="37" xfId="0" applyBorder="1" applyAlignment="1">
      <alignment horizontal="center" vertical="center" wrapText="1"/>
    </xf>
    <xf numFmtId="49" fontId="0" fillId="0" borderId="38" xfId="0" applyNumberFormat="1" applyBorder="1" applyAlignment="1">
      <alignment horizontal="center" vertical="center" wrapText="1"/>
    </xf>
    <xf numFmtId="49" fontId="5" fillId="11" borderId="38" xfId="1" applyNumberFormat="1" applyFill="1" applyBorder="1" applyAlignment="1">
      <alignment horizontal="center" vertical="center" wrapText="1"/>
    </xf>
    <xf numFmtId="14" fontId="0" fillId="0" borderId="37" xfId="0" applyNumberFormat="1" applyBorder="1" applyAlignment="1">
      <alignment horizontal="center" vertical="center" wrapText="1"/>
    </xf>
    <xf numFmtId="49" fontId="5" fillId="0" borderId="38" xfId="1" applyNumberFormat="1" applyBorder="1" applyAlignment="1">
      <alignment horizontal="center" vertical="center" wrapText="1"/>
    </xf>
    <xf numFmtId="0" fontId="15" fillId="0" borderId="37" xfId="0" applyFont="1" applyBorder="1" applyAlignment="1">
      <alignment horizontal="center" vertical="center" wrapText="1"/>
    </xf>
    <xf numFmtId="0" fontId="15" fillId="11" borderId="37" xfId="0" applyFont="1" applyFill="1" applyBorder="1" applyAlignment="1">
      <alignment horizontal="center" vertical="center" wrapText="1"/>
    </xf>
    <xf numFmtId="0" fontId="0" fillId="12" borderId="24" xfId="0" applyFill="1" applyBorder="1" applyAlignment="1">
      <alignment vertical="center"/>
    </xf>
    <xf numFmtId="0" fontId="0" fillId="12" borderId="25" xfId="0" applyFill="1" applyBorder="1" applyAlignment="1">
      <alignment vertical="center"/>
    </xf>
    <xf numFmtId="4" fontId="0" fillId="12" borderId="25" xfId="0" applyNumberFormat="1" applyFill="1" applyBorder="1" applyAlignment="1">
      <alignment vertical="center"/>
    </xf>
    <xf numFmtId="0" fontId="0" fillId="12" borderId="25" xfId="0" applyFill="1" applyBorder="1" applyAlignment="1">
      <alignment vertical="center" wrapText="1"/>
    </xf>
    <xf numFmtId="0" fontId="0" fillId="0" borderId="0" xfId="0" quotePrefix="1" applyAlignment="1" applyProtection="1">
      <alignment horizontal="center" vertical="center" wrapText="1"/>
      <protection locked="0"/>
    </xf>
    <xf numFmtId="0" fontId="0" fillId="0" borderId="0" xfId="0" quotePrefix="1" applyAlignment="1" applyProtection="1">
      <alignment horizontal="left" vertical="center" wrapText="1"/>
      <protection locked="0"/>
    </xf>
    <xf numFmtId="0" fontId="13" fillId="15" borderId="0" xfId="0" applyFont="1" applyFill="1" applyAlignment="1">
      <alignment horizontal="center" vertical="center"/>
    </xf>
    <xf numFmtId="0" fontId="16" fillId="9" borderId="32" xfId="0" applyFont="1" applyFill="1" applyBorder="1" applyAlignment="1">
      <alignment horizontal="center" vertical="center" wrapText="1"/>
    </xf>
    <xf numFmtId="0" fontId="0" fillId="12" borderId="32" xfId="0" applyFill="1" applyBorder="1" applyAlignment="1">
      <alignment horizontal="center" vertical="center"/>
    </xf>
    <xf numFmtId="0" fontId="0" fillId="12" borderId="26" xfId="0" applyFill="1" applyBorder="1" applyAlignment="1">
      <alignment horizontal="center" vertical="center"/>
    </xf>
    <xf numFmtId="0" fontId="0" fillId="0" borderId="32" xfId="0" applyBorder="1" applyAlignment="1">
      <alignment horizontal="center" vertical="center"/>
    </xf>
    <xf numFmtId="0" fontId="0" fillId="0" borderId="31" xfId="0" applyBorder="1" applyAlignment="1">
      <alignment horizontal="left" vertical="center"/>
    </xf>
    <xf numFmtId="0" fontId="15" fillId="16" borderId="40" xfId="0" applyFont="1" applyFill="1" applyBorder="1" applyAlignment="1">
      <alignment horizontal="center" vertical="center" wrapText="1"/>
    </xf>
    <xf numFmtId="22" fontId="15" fillId="16" borderId="41" xfId="0" applyNumberFormat="1" applyFont="1" applyFill="1" applyBorder="1" applyAlignment="1">
      <alignment horizontal="center" vertical="center" wrapText="1"/>
    </xf>
    <xf numFmtId="49" fontId="15" fillId="16" borderId="41" xfId="0" applyNumberFormat="1" applyFont="1" applyFill="1" applyBorder="1" applyAlignment="1">
      <alignment horizontal="center" vertical="center" wrapText="1"/>
    </xf>
    <xf numFmtId="14" fontId="15" fillId="16" borderId="41" xfId="0" applyNumberFormat="1" applyFont="1" applyFill="1" applyBorder="1" applyAlignment="1">
      <alignment horizontal="center" vertical="center" wrapText="1"/>
    </xf>
    <xf numFmtId="0" fontId="0" fillId="7" borderId="36" xfId="0" applyFill="1" applyBorder="1" applyAlignment="1">
      <alignment horizontal="center" vertical="center" wrapText="1"/>
    </xf>
    <xf numFmtId="164" fontId="0" fillId="7" borderId="37" xfId="0" applyNumberFormat="1" applyFill="1" applyBorder="1" applyAlignment="1">
      <alignment horizontal="center" vertical="center" wrapText="1"/>
    </xf>
    <xf numFmtId="49" fontId="0" fillId="7" borderId="37" xfId="0" applyNumberFormat="1" applyFill="1" applyBorder="1" applyAlignment="1">
      <alignment horizontal="center" vertical="center" wrapText="1"/>
    </xf>
    <xf numFmtId="49" fontId="12" fillId="11" borderId="37" xfId="0" applyNumberFormat="1" applyFont="1" applyFill="1" applyBorder="1" applyAlignment="1">
      <alignment horizontal="center" vertical="center" wrapText="1"/>
    </xf>
    <xf numFmtId="0" fontId="0" fillId="12" borderId="31" xfId="0" quotePrefix="1" applyFill="1" applyBorder="1" applyAlignment="1">
      <alignment horizontal="center" vertical="center" wrapText="1"/>
    </xf>
    <xf numFmtId="0" fontId="0" fillId="0" borderId="31" xfId="0" quotePrefix="1" applyBorder="1" applyAlignment="1">
      <alignment horizontal="center" vertical="center" wrapText="1"/>
    </xf>
    <xf numFmtId="0" fontId="0" fillId="12" borderId="25" xfId="0" applyFill="1" applyBorder="1" applyAlignment="1">
      <alignment horizontal="center" vertical="center"/>
    </xf>
    <xf numFmtId="0" fontId="16" fillId="10" borderId="43" xfId="0" applyFont="1" applyFill="1" applyBorder="1" applyAlignment="1">
      <alignment horizontal="center" vertical="center" wrapText="1"/>
    </xf>
    <xf numFmtId="14" fontId="16" fillId="10" borderId="43" xfId="0" applyNumberFormat="1" applyFont="1" applyFill="1" applyBorder="1" applyAlignment="1">
      <alignment horizontal="center" vertical="center" wrapText="1"/>
    </xf>
    <xf numFmtId="0" fontId="0" fillId="4" borderId="43" xfId="0" applyFill="1" applyBorder="1" applyAlignment="1">
      <alignment horizontal="center" vertical="center" wrapText="1"/>
    </xf>
    <xf numFmtId="0" fontId="0" fillId="0" borderId="43" xfId="0" applyBorder="1" applyAlignment="1">
      <alignment horizontal="center" vertical="center"/>
    </xf>
    <xf numFmtId="14" fontId="0" fillId="0" borderId="43" xfId="0" applyNumberFormat="1" applyBorder="1" applyAlignment="1">
      <alignment horizontal="center" vertical="center"/>
    </xf>
    <xf numFmtId="2" fontId="0" fillId="0" borderId="0" xfId="0" applyNumberFormat="1"/>
    <xf numFmtId="14" fontId="0" fillId="0" borderId="43" xfId="0" applyNumberFormat="1" applyBorder="1" applyAlignment="1" applyProtection="1">
      <alignment horizontal="center" vertical="center"/>
      <protection locked="0"/>
    </xf>
    <xf numFmtId="0" fontId="16" fillId="9" borderId="43" xfId="0" applyFont="1" applyFill="1" applyBorder="1" applyAlignment="1" applyProtection="1">
      <alignment horizontal="center" vertical="center" wrapText="1"/>
      <protection locked="0"/>
    </xf>
    <xf numFmtId="0" fontId="0" fillId="19" borderId="43" xfId="0" applyFill="1" applyBorder="1" applyAlignment="1" applyProtection="1">
      <alignment horizontal="center" vertical="center"/>
      <protection locked="0"/>
    </xf>
    <xf numFmtId="0" fontId="0" fillId="19" borderId="43" xfId="0" applyFill="1" applyBorder="1" applyAlignment="1" applyProtection="1">
      <alignment horizontal="center" vertical="center" wrapText="1"/>
      <protection locked="0"/>
    </xf>
    <xf numFmtId="0" fontId="0" fillId="0" borderId="43" xfId="0" applyBorder="1" applyAlignment="1" applyProtection="1">
      <alignment horizontal="center" vertical="center"/>
      <protection locked="0"/>
    </xf>
    <xf numFmtId="168" fontId="16" fillId="9" borderId="43" xfId="0" applyNumberFormat="1" applyFont="1" applyFill="1" applyBorder="1" applyAlignment="1" applyProtection="1">
      <alignment horizontal="center" vertical="center" wrapText="1"/>
      <protection locked="0"/>
    </xf>
    <xf numFmtId="167" fontId="16" fillId="9" borderId="43" xfId="0" applyNumberFormat="1" applyFont="1" applyFill="1" applyBorder="1" applyAlignment="1" applyProtection="1">
      <alignment horizontal="center" vertical="center" wrapText="1"/>
      <protection locked="0"/>
    </xf>
    <xf numFmtId="168" fontId="0" fillId="0" borderId="43" xfId="0" applyNumberFormat="1" applyBorder="1" applyAlignment="1" applyProtection="1">
      <alignment horizontal="center" vertical="center"/>
      <protection locked="0"/>
    </xf>
    <xf numFmtId="167" fontId="0" fillId="0" borderId="43" xfId="0" applyNumberFormat="1" applyBorder="1" applyAlignment="1" applyProtection="1">
      <alignment horizontal="center" vertical="center"/>
      <protection locked="0"/>
    </xf>
    <xf numFmtId="0" fontId="0" fillId="0" borderId="43" xfId="0" applyBorder="1" applyAlignment="1" applyProtection="1">
      <alignment horizontal="center" vertical="center" wrapText="1"/>
      <protection locked="0"/>
    </xf>
    <xf numFmtId="0" fontId="18" fillId="9" borderId="43" xfId="0" applyFont="1" applyFill="1" applyBorder="1" applyAlignment="1">
      <alignment horizontal="center" vertical="center" wrapText="1"/>
    </xf>
    <xf numFmtId="14" fontId="16" fillId="9" borderId="43" xfId="0" applyNumberFormat="1" applyFont="1" applyFill="1" applyBorder="1" applyAlignment="1" applyProtection="1">
      <alignment horizontal="center" vertical="center" wrapText="1"/>
      <protection locked="0"/>
    </xf>
    <xf numFmtId="0" fontId="16" fillId="10" borderId="43" xfId="0" applyFont="1" applyFill="1" applyBorder="1" applyAlignment="1" applyProtection="1">
      <alignment horizontal="center" vertical="center" wrapText="1"/>
      <protection locked="0"/>
    </xf>
    <xf numFmtId="14" fontId="0" fillId="19" borderId="43" xfId="0" applyNumberFormat="1" applyFill="1" applyBorder="1" applyAlignment="1" applyProtection="1">
      <alignment horizontal="center" vertical="center"/>
      <protection locked="0"/>
    </xf>
    <xf numFmtId="0" fontId="0" fillId="4" borderId="43" xfId="0" applyFill="1" applyBorder="1" applyAlignment="1" applyProtection="1">
      <alignment horizontal="center" vertical="center" wrapText="1"/>
      <protection locked="0"/>
    </xf>
    <xf numFmtId="168" fontId="0" fillId="4" borderId="43" xfId="0" applyNumberFormat="1" applyFill="1" applyBorder="1" applyAlignment="1" applyProtection="1">
      <alignment horizontal="center" vertical="center" wrapText="1"/>
      <protection locked="0"/>
    </xf>
    <xf numFmtId="167" fontId="0" fillId="4" borderId="43" xfId="0" applyNumberFormat="1" applyFill="1" applyBorder="1" applyAlignment="1" applyProtection="1">
      <alignment horizontal="center" vertical="center" wrapText="1"/>
      <protection locked="0"/>
    </xf>
    <xf numFmtId="167" fontId="0" fillId="19" borderId="43" xfId="0" applyNumberFormat="1" applyFill="1" applyBorder="1" applyAlignment="1" applyProtection="1">
      <alignment horizontal="center" vertical="center"/>
      <protection locked="0"/>
    </xf>
    <xf numFmtId="168" fontId="0" fillId="19" borderId="43"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14" fontId="0" fillId="0" borderId="0" xfId="0" applyNumberFormat="1" applyAlignment="1">
      <alignment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0" fontId="0" fillId="22" borderId="43" xfId="0" applyFill="1" applyBorder="1" applyAlignment="1">
      <alignment horizontal="center" vertical="center" wrapText="1"/>
    </xf>
    <xf numFmtId="14" fontId="0" fillId="22" borderId="43" xfId="0" applyNumberFormat="1" applyFill="1" applyBorder="1" applyAlignment="1">
      <alignment horizontal="center" vertical="center" wrapText="1"/>
    </xf>
    <xf numFmtId="49" fontId="0" fillId="22" borderId="43" xfId="0" applyNumberFormat="1" applyFill="1" applyBorder="1" applyAlignment="1">
      <alignment horizontal="center" vertical="center" wrapText="1"/>
    </xf>
    <xf numFmtId="168" fontId="0" fillId="4" borderId="43" xfId="0" applyNumberFormat="1" applyFill="1" applyBorder="1" applyAlignment="1" applyProtection="1">
      <alignment horizontal="center" vertical="center"/>
      <protection locked="0"/>
    </xf>
    <xf numFmtId="14" fontId="0" fillId="4" borderId="43" xfId="0" applyNumberFormat="1" applyFill="1" applyBorder="1" applyAlignment="1">
      <alignment horizontal="center" vertical="center" wrapText="1"/>
    </xf>
    <xf numFmtId="49" fontId="0" fillId="4" borderId="43" xfId="0" applyNumberFormat="1" applyFill="1" applyBorder="1" applyAlignment="1">
      <alignment horizontal="center" vertical="center" wrapText="1"/>
    </xf>
    <xf numFmtId="0" fontId="13" fillId="23" borderId="43" xfId="0" applyFont="1" applyFill="1" applyBorder="1" applyAlignment="1">
      <alignment horizontal="center" vertical="center" wrapText="1"/>
    </xf>
    <xf numFmtId="0" fontId="0" fillId="4" borderId="43" xfId="0" applyFill="1" applyBorder="1" applyAlignment="1" applyProtection="1">
      <alignment horizontal="center" vertical="center"/>
      <protection locked="0"/>
    </xf>
    <xf numFmtId="167" fontId="0" fillId="4" borderId="43" xfId="0" applyNumberFormat="1" applyFill="1" applyBorder="1" applyAlignment="1" applyProtection="1">
      <alignment horizontal="center" vertical="center"/>
      <protection locked="0"/>
    </xf>
    <xf numFmtId="0" fontId="0" fillId="4" borderId="0" xfId="0" applyFill="1" applyAlignment="1">
      <alignment horizontal="center" vertical="center"/>
    </xf>
    <xf numFmtId="0" fontId="12" fillId="24" borderId="42" xfId="0" applyFont="1" applyFill="1" applyBorder="1" applyAlignment="1" applyProtection="1">
      <alignment horizontal="center" vertical="center" wrapText="1"/>
      <protection locked="0"/>
    </xf>
    <xf numFmtId="0" fontId="16" fillId="18" borderId="43" xfId="0" applyFont="1" applyFill="1" applyBorder="1" applyAlignment="1" applyProtection="1">
      <alignment horizontal="center" vertical="center" wrapText="1"/>
      <protection locked="0"/>
    </xf>
    <xf numFmtId="14" fontId="12" fillId="26" borderId="0" xfId="0" applyNumberFormat="1" applyFont="1" applyFill="1" applyAlignment="1">
      <alignment horizontal="center" vertical="center" wrapText="1"/>
    </xf>
    <xf numFmtId="0" fontId="16" fillId="25"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43" xfId="0" applyFont="1" applyFill="1" applyBorder="1" applyAlignment="1">
      <alignment horizontal="center" vertical="center" wrapText="1"/>
    </xf>
    <xf numFmtId="14" fontId="16" fillId="9" borderId="43" xfId="0" applyNumberFormat="1" applyFont="1" applyFill="1" applyBorder="1" applyAlignment="1">
      <alignment horizontal="center" vertical="center" wrapText="1"/>
    </xf>
    <xf numFmtId="168" fontId="16" fillId="9" borderId="43" xfId="0" applyNumberFormat="1" applyFont="1" applyFill="1" applyBorder="1" applyAlignment="1">
      <alignment horizontal="center" vertical="center" wrapText="1"/>
    </xf>
    <xf numFmtId="167" fontId="16" fillId="9" borderId="43" xfId="0" applyNumberFormat="1" applyFont="1" applyFill="1" applyBorder="1" applyAlignment="1">
      <alignment horizontal="center" vertical="center" wrapText="1"/>
    </xf>
    <xf numFmtId="0" fontId="0" fillId="22" borderId="43" xfId="0" applyFill="1" applyBorder="1" applyAlignment="1">
      <alignment horizontal="center" vertical="center"/>
    </xf>
    <xf numFmtId="168" fontId="0" fillId="22" borderId="43" xfId="0" applyNumberFormat="1" applyFill="1" applyBorder="1" applyAlignment="1">
      <alignment horizontal="center" vertical="center"/>
    </xf>
    <xf numFmtId="167" fontId="0" fillId="22" borderId="43" xfId="0" applyNumberFormat="1" applyFill="1" applyBorder="1" applyAlignment="1">
      <alignment horizontal="center" vertical="center" wrapText="1"/>
    </xf>
    <xf numFmtId="168" fontId="0" fillId="22" borderId="43" xfId="0" applyNumberFormat="1" applyFill="1" applyBorder="1" applyAlignment="1">
      <alignment horizontal="center" vertical="center" wrapText="1"/>
    </xf>
    <xf numFmtId="167" fontId="0" fillId="22" borderId="43" xfId="0" applyNumberFormat="1" applyFill="1" applyBorder="1" applyAlignment="1">
      <alignment horizontal="center" vertical="center"/>
    </xf>
    <xf numFmtId="169" fontId="0" fillId="0" borderId="0" xfId="0" applyNumberFormat="1" applyAlignment="1">
      <alignment horizontal="center" vertical="center"/>
    </xf>
    <xf numFmtId="0" fontId="16" fillId="18" borderId="43" xfId="0" applyFont="1" applyFill="1" applyBorder="1" applyAlignment="1">
      <alignment horizontal="center" vertical="center" wrapText="1"/>
    </xf>
    <xf numFmtId="166" fontId="0" fillId="0" borderId="0" xfId="0" applyNumberFormat="1"/>
    <xf numFmtId="165" fontId="15" fillId="16" borderId="41" xfId="0" applyNumberFormat="1" applyFont="1" applyFill="1" applyBorder="1" applyAlignment="1">
      <alignment horizontal="center" vertical="center" wrapText="1"/>
    </xf>
    <xf numFmtId="0" fontId="15" fillId="16" borderId="41" xfId="0" applyFont="1" applyFill="1" applyBorder="1" applyAlignment="1">
      <alignment horizontal="center" vertical="center" wrapText="1"/>
    </xf>
    <xf numFmtId="14" fontId="0" fillId="22" borderId="43" xfId="0" applyNumberFormat="1" applyFill="1" applyBorder="1" applyAlignment="1">
      <alignment horizontal="center" vertical="center"/>
    </xf>
    <xf numFmtId="14" fontId="0" fillId="22" borderId="46" xfId="0" applyNumberFormat="1" applyFill="1" applyBorder="1" applyAlignment="1">
      <alignment horizontal="center" vertical="center" wrapText="1"/>
    </xf>
    <xf numFmtId="14" fontId="0" fillId="0" borderId="0" xfId="0" applyNumberFormat="1" applyAlignment="1">
      <alignment vertical="center" wrapText="1"/>
    </xf>
    <xf numFmtId="0" fontId="18" fillId="20" borderId="44" xfId="0" applyFont="1" applyFill="1" applyBorder="1" applyAlignment="1" applyProtection="1">
      <alignment horizontal="center" vertical="center" wrapText="1"/>
      <protection locked="0"/>
    </xf>
    <xf numFmtId="0" fontId="0" fillId="19" borderId="43" xfId="0" quotePrefix="1" applyFill="1" applyBorder="1" applyAlignment="1" applyProtection="1">
      <alignment horizontal="center" vertical="center" wrapText="1"/>
      <protection locked="0"/>
    </xf>
    <xf numFmtId="165" fontId="22" fillId="16" borderId="41" xfId="0" applyNumberFormat="1" applyFont="1" applyFill="1" applyBorder="1" applyAlignment="1">
      <alignment horizontal="center" vertical="center" wrapText="1"/>
    </xf>
    <xf numFmtId="0" fontId="22" fillId="16" borderId="41" xfId="0" applyFont="1" applyFill="1" applyBorder="1" applyAlignment="1">
      <alignment horizontal="center" vertical="center" wrapText="1"/>
    </xf>
    <xf numFmtId="14" fontId="22" fillId="16" borderId="41" xfId="0" applyNumberFormat="1" applyFont="1" applyFill="1" applyBorder="1" applyAlignment="1">
      <alignment horizontal="center" vertical="center" wrapText="1"/>
    </xf>
    <xf numFmtId="0" fontId="23" fillId="29" borderId="48" xfId="0" applyFont="1" applyFill="1" applyBorder="1" applyAlignment="1">
      <alignment horizontal="center" vertical="center" wrapText="1"/>
    </xf>
    <xf numFmtId="0" fontId="23" fillId="29" borderId="49" xfId="0" applyFont="1" applyFill="1" applyBorder="1" applyAlignment="1">
      <alignment horizontal="center" vertical="center" wrapText="1"/>
    </xf>
    <xf numFmtId="0" fontId="23" fillId="29" borderId="50" xfId="0" applyFont="1" applyFill="1" applyBorder="1" applyAlignment="1">
      <alignment horizontal="center" vertical="center" wrapText="1"/>
    </xf>
    <xf numFmtId="0" fontId="15" fillId="16" borderId="0" xfId="0" applyFont="1" applyFill="1" applyAlignment="1">
      <alignment wrapText="1"/>
    </xf>
    <xf numFmtId="0" fontId="15" fillId="0" borderId="0" xfId="0" applyFont="1" applyAlignment="1">
      <alignment wrapText="1"/>
    </xf>
    <xf numFmtId="0" fontId="15" fillId="16" borderId="0" xfId="0" applyFont="1" applyFill="1" applyAlignment="1">
      <alignment vertical="center" wrapText="1"/>
    </xf>
    <xf numFmtId="0" fontId="15" fillId="0" borderId="0" xfId="0" applyFont="1" applyAlignment="1">
      <alignment vertical="center" wrapText="1"/>
    </xf>
    <xf numFmtId="0" fontId="15" fillId="0" borderId="51" xfId="0" applyFont="1" applyBorder="1" applyAlignment="1">
      <alignment vertical="center" wrapText="1"/>
    </xf>
    <xf numFmtId="0" fontId="0" fillId="11" borderId="0" xfId="0" applyFill="1" applyAlignment="1">
      <alignment horizontal="center" vertical="center" wrapText="1"/>
    </xf>
    <xf numFmtId="0" fontId="0" fillId="11" borderId="0" xfId="0" quotePrefix="1" applyFill="1" applyAlignment="1">
      <alignment horizontal="center" vertical="center" wrapText="1"/>
    </xf>
    <xf numFmtId="0" fontId="0" fillId="11" borderId="41" xfId="0" quotePrefix="1" applyFill="1" applyBorder="1" applyAlignment="1">
      <alignment horizontal="center" vertical="center" wrapText="1"/>
    </xf>
    <xf numFmtId="0" fontId="24" fillId="11" borderId="0" xfId="0" applyFont="1" applyFill="1" applyAlignment="1">
      <alignment vertical="center"/>
    </xf>
    <xf numFmtId="0" fontId="16" fillId="10" borderId="41" xfId="0" applyFont="1" applyFill="1" applyBorder="1" applyAlignment="1">
      <alignment horizontal="center" vertical="center" wrapText="1"/>
    </xf>
    <xf numFmtId="0" fontId="0" fillId="19" borderId="0" xfId="0" applyFill="1" applyAlignment="1" applyProtection="1">
      <alignment horizontal="center" vertical="center"/>
      <protection locked="0"/>
    </xf>
    <xf numFmtId="0" fontId="0" fillId="30" borderId="43" xfId="0" applyFill="1" applyBorder="1" applyAlignment="1">
      <alignment horizontal="center" vertical="center" wrapText="1"/>
    </xf>
    <xf numFmtId="14" fontId="0" fillId="30" borderId="43" xfId="0" applyNumberFormat="1" applyFill="1" applyBorder="1" applyAlignment="1">
      <alignment horizontal="center" vertical="center"/>
    </xf>
    <xf numFmtId="0" fontId="5" fillId="30" borderId="43" xfId="1" applyFill="1" applyBorder="1" applyAlignment="1">
      <alignment horizontal="center" vertical="center" wrapText="1"/>
    </xf>
    <xf numFmtId="0" fontId="0" fillId="30" borderId="43" xfId="0" applyFill="1" applyBorder="1" applyAlignment="1">
      <alignment horizontal="center" vertical="center"/>
    </xf>
    <xf numFmtId="0" fontId="15" fillId="30" borderId="49" xfId="0" applyFont="1" applyFill="1" applyBorder="1" applyAlignment="1">
      <alignment horizontal="center" vertical="center" wrapText="1"/>
    </xf>
    <xf numFmtId="0" fontId="15" fillId="31" borderId="49" xfId="0" applyFont="1" applyFill="1" applyBorder="1" applyAlignment="1">
      <alignment horizontal="center" vertical="center" wrapText="1"/>
    </xf>
    <xf numFmtId="14" fontId="0" fillId="11" borderId="43" xfId="0" applyNumberFormat="1" applyFill="1" applyBorder="1" applyAlignment="1">
      <alignment horizontal="center" vertical="center" wrapText="1"/>
    </xf>
    <xf numFmtId="0" fontId="24" fillId="30" borderId="0" xfId="0" applyFont="1" applyFill="1" applyAlignment="1">
      <alignment vertical="center"/>
    </xf>
    <xf numFmtId="0" fontId="5" fillId="30" borderId="43" xfId="1" applyFill="1" applyBorder="1" applyAlignment="1" applyProtection="1">
      <alignment horizontal="center" vertical="center" wrapText="1"/>
      <protection locked="0"/>
    </xf>
    <xf numFmtId="14" fontId="0" fillId="30" borderId="43" xfId="0" applyNumberFormat="1" applyFill="1" applyBorder="1" applyAlignment="1">
      <alignment horizontal="center" vertical="center" wrapText="1"/>
    </xf>
    <xf numFmtId="49" fontId="0" fillId="30" borderId="43" xfId="0" applyNumberFormat="1" applyFill="1" applyBorder="1" applyAlignment="1">
      <alignment horizontal="center" vertical="center" wrapText="1"/>
    </xf>
    <xf numFmtId="0" fontId="0" fillId="30" borderId="43" xfId="0" applyFill="1" applyBorder="1" applyAlignment="1" applyProtection="1">
      <alignment horizontal="center" vertical="center" wrapText="1"/>
      <protection locked="0"/>
    </xf>
    <xf numFmtId="0" fontId="0" fillId="30" borderId="0" xfId="0" quotePrefix="1" applyFill="1" applyAlignment="1">
      <alignment horizontal="center" vertical="center" wrapText="1"/>
    </xf>
    <xf numFmtId="0" fontId="0" fillId="30" borderId="41" xfId="0" quotePrefix="1" applyFill="1" applyBorder="1" applyAlignment="1">
      <alignment horizontal="center" vertical="center" wrapText="1"/>
    </xf>
    <xf numFmtId="0" fontId="15" fillId="30" borderId="49" xfId="0" applyFont="1" applyFill="1" applyBorder="1" applyAlignment="1">
      <alignment horizontal="center" vertical="center"/>
    </xf>
    <xf numFmtId="0" fontId="15" fillId="31" borderId="49" xfId="0" applyFont="1" applyFill="1" applyBorder="1" applyAlignment="1">
      <alignment horizontal="center" vertical="center"/>
    </xf>
    <xf numFmtId="0" fontId="0" fillId="32" borderId="43" xfId="0" applyFill="1" applyBorder="1" applyAlignment="1" applyProtection="1">
      <alignment horizontal="center" vertical="center" wrapText="1"/>
      <protection locked="0"/>
    </xf>
    <xf numFmtId="0" fontId="0" fillId="32" borderId="43" xfId="0" applyFill="1" applyBorder="1" applyAlignment="1" applyProtection="1">
      <alignment horizontal="center" vertical="center"/>
      <protection locked="0"/>
    </xf>
    <xf numFmtId="14" fontId="0" fillId="19" borderId="43" xfId="0" applyNumberFormat="1" applyFill="1" applyBorder="1" applyAlignment="1" applyProtection="1">
      <alignment horizontal="center" vertical="center" wrapText="1"/>
      <protection locked="0"/>
    </xf>
    <xf numFmtId="168" fontId="0" fillId="19" borderId="43" xfId="0" applyNumberFormat="1" applyFill="1" applyBorder="1" applyAlignment="1" applyProtection="1">
      <alignment horizontal="center" vertical="center" wrapText="1"/>
      <protection locked="0"/>
    </xf>
    <xf numFmtId="167" fontId="0" fillId="19" borderId="43" xfId="0" applyNumberFormat="1" applyFill="1" applyBorder="1" applyAlignment="1" applyProtection="1">
      <alignment horizontal="center" vertical="center" wrapText="1"/>
      <protection locked="0"/>
    </xf>
    <xf numFmtId="0" fontId="0" fillId="19" borderId="0" xfId="0" applyFill="1" applyAlignment="1" applyProtection="1">
      <alignment horizontal="center" vertical="center" wrapText="1"/>
      <protection locked="0"/>
    </xf>
    <xf numFmtId="0" fontId="23" fillId="29" borderId="0" xfId="0" applyFont="1" applyFill="1" applyAlignment="1">
      <alignment vertical="center" wrapText="1"/>
    </xf>
    <xf numFmtId="0" fontId="0" fillId="32" borderId="43" xfId="0" applyFill="1" applyBorder="1" applyAlignment="1">
      <alignment horizontal="center" vertical="center" wrapText="1"/>
    </xf>
    <xf numFmtId="168" fontId="0" fillId="32" borderId="43" xfId="0" applyNumberFormat="1" applyFill="1" applyBorder="1" applyAlignment="1">
      <alignment horizontal="center" vertical="center"/>
    </xf>
    <xf numFmtId="167" fontId="0" fillId="32" borderId="43" xfId="0" applyNumberFormat="1" applyFill="1" applyBorder="1" applyAlignment="1">
      <alignment horizontal="center" vertical="center" wrapText="1"/>
    </xf>
    <xf numFmtId="168" fontId="0" fillId="32" borderId="43" xfId="0" applyNumberFormat="1" applyFill="1" applyBorder="1" applyAlignment="1">
      <alignment horizontal="center" vertical="center" wrapText="1"/>
    </xf>
    <xf numFmtId="14" fontId="0" fillId="32" borderId="43" xfId="0" applyNumberFormat="1" applyFill="1" applyBorder="1" applyAlignment="1">
      <alignment horizontal="center" vertical="center" wrapText="1"/>
    </xf>
    <xf numFmtId="0" fontId="0" fillId="32" borderId="43" xfId="0" applyFill="1" applyBorder="1" applyAlignment="1">
      <alignment horizontal="center" vertical="center"/>
    </xf>
    <xf numFmtId="167" fontId="0" fillId="32" borderId="43" xfId="0" applyNumberFormat="1" applyFill="1" applyBorder="1" applyAlignment="1">
      <alignment horizontal="center" vertical="center"/>
    </xf>
    <xf numFmtId="49" fontId="0" fillId="32" borderId="43" xfId="0" applyNumberFormat="1" applyFill="1" applyBorder="1" applyAlignment="1">
      <alignment horizontal="center" vertical="center" wrapText="1"/>
    </xf>
    <xf numFmtId="14" fontId="0" fillId="32" borderId="43" xfId="0" applyNumberFormat="1" applyFill="1" applyBorder="1" applyAlignment="1">
      <alignment horizontal="center" vertical="center"/>
    </xf>
    <xf numFmtId="49" fontId="0" fillId="4" borderId="47" xfId="0" applyNumberFormat="1" applyFill="1" applyBorder="1" applyAlignment="1">
      <alignment horizontal="center" vertical="center" wrapText="1"/>
    </xf>
    <xf numFmtId="0" fontId="23" fillId="29" borderId="43" xfId="0" applyFont="1" applyFill="1" applyBorder="1" applyAlignment="1">
      <alignment vertical="center" wrapText="1"/>
    </xf>
    <xf numFmtId="0" fontId="12" fillId="24" borderId="43" xfId="0" applyFont="1" applyFill="1" applyBorder="1" applyAlignment="1" applyProtection="1">
      <alignment horizontal="center" vertical="center" wrapText="1"/>
      <protection locked="0"/>
    </xf>
    <xf numFmtId="0" fontId="15" fillId="30" borderId="43" xfId="0" applyFont="1" applyFill="1" applyBorder="1" applyAlignment="1">
      <alignment vertical="center" wrapText="1"/>
    </xf>
    <xf numFmtId="0" fontId="0" fillId="28" borderId="43" xfId="0" applyFill="1" applyBorder="1" applyAlignment="1" applyProtection="1">
      <alignment horizontal="center" vertical="center" wrapText="1"/>
      <protection locked="0"/>
    </xf>
    <xf numFmtId="0" fontId="24" fillId="30" borderId="43" xfId="0" applyFont="1" applyFill="1" applyBorder="1" applyAlignment="1">
      <alignment vertical="center"/>
    </xf>
    <xf numFmtId="0" fontId="0" fillId="28" borderId="43" xfId="0" applyFill="1" applyBorder="1" applyAlignment="1" applyProtection="1">
      <alignment horizontal="center" vertical="center"/>
      <protection locked="0"/>
    </xf>
    <xf numFmtId="0" fontId="22" fillId="31" borderId="43" xfId="0" applyFont="1" applyFill="1" applyBorder="1" applyAlignment="1">
      <alignment vertical="center" wrapText="1"/>
    </xf>
    <xf numFmtId="0" fontId="22" fillId="11" borderId="43" xfId="0" applyFont="1" applyFill="1" applyBorder="1" applyAlignment="1">
      <alignment horizontal="center" vertical="center" wrapText="1"/>
    </xf>
    <xf numFmtId="0" fontId="0" fillId="11" borderId="43" xfId="0" applyFill="1" applyBorder="1" applyAlignment="1">
      <alignment horizontal="center" vertical="center" wrapText="1"/>
    </xf>
    <xf numFmtId="0" fontId="22" fillId="30" borderId="43" xfId="0" applyFont="1" applyFill="1" applyBorder="1" applyAlignment="1">
      <alignment vertical="center" wrapText="1"/>
    </xf>
    <xf numFmtId="0" fontId="22" fillId="30" borderId="43" xfId="0" applyFont="1" applyFill="1" applyBorder="1" applyAlignment="1">
      <alignment horizontal="center" vertical="center" wrapText="1"/>
    </xf>
    <xf numFmtId="0" fontId="0" fillId="30" borderId="43" xfId="0" quotePrefix="1" applyFill="1" applyBorder="1" applyAlignment="1">
      <alignment horizontal="center" vertical="center" wrapText="1"/>
    </xf>
    <xf numFmtId="0" fontId="22" fillId="11" borderId="43" xfId="0" applyFont="1" applyFill="1" applyBorder="1" applyAlignment="1">
      <alignment vertical="center"/>
    </xf>
    <xf numFmtId="49" fontId="0" fillId="11" borderId="43" xfId="0" applyNumberFormat="1" applyFill="1" applyBorder="1" applyAlignment="1">
      <alignment horizontal="center" vertical="center"/>
    </xf>
    <xf numFmtId="0" fontId="22" fillId="31" borderId="43" xfId="0" applyFont="1" applyFill="1" applyBorder="1" applyAlignment="1">
      <alignment vertical="center"/>
    </xf>
    <xf numFmtId="49" fontId="0" fillId="30" borderId="43" xfId="0" applyNumberFormat="1" applyFill="1" applyBorder="1" applyAlignment="1">
      <alignment horizontal="center" vertical="center"/>
    </xf>
    <xf numFmtId="14" fontId="12" fillId="26" borderId="43" xfId="0" applyNumberFormat="1" applyFont="1" applyFill="1" applyBorder="1" applyAlignment="1" applyProtection="1">
      <alignment horizontal="center" vertical="center" wrapText="1"/>
      <protection locked="0"/>
    </xf>
    <xf numFmtId="0" fontId="16" fillId="10" borderId="45" xfId="0" applyFont="1" applyFill="1" applyBorder="1" applyAlignment="1">
      <alignment horizontal="center" vertical="center" wrapText="1"/>
    </xf>
    <xf numFmtId="14" fontId="16" fillId="10" borderId="45" xfId="0" applyNumberFormat="1" applyFont="1" applyFill="1" applyBorder="1" applyAlignment="1">
      <alignment horizontal="center" vertical="center" wrapText="1"/>
    </xf>
    <xf numFmtId="0" fontId="16" fillId="10" borderId="45" xfId="0" applyFont="1" applyFill="1" applyBorder="1" applyAlignment="1" applyProtection="1">
      <alignment horizontal="center" vertical="center" wrapText="1"/>
      <protection locked="0"/>
    </xf>
    <xf numFmtId="0" fontId="0" fillId="32" borderId="47" xfId="0" applyFill="1" applyBorder="1" applyAlignment="1">
      <alignment horizontal="center" vertical="center" wrapText="1"/>
    </xf>
    <xf numFmtId="14" fontId="0" fillId="33" borderId="43" xfId="0" applyNumberFormat="1" applyFill="1" applyBorder="1" applyAlignment="1" applyProtection="1">
      <alignment horizontal="center" vertical="center" wrapText="1"/>
      <protection locked="0"/>
    </xf>
    <xf numFmtId="0" fontId="12" fillId="24" borderId="0" xfId="0" applyFont="1" applyFill="1" applyAlignment="1" applyProtection="1">
      <alignment horizontal="center" vertical="center" wrapText="1"/>
      <protection locked="0"/>
    </xf>
    <xf numFmtId="0" fontId="23" fillId="29" borderId="43" xfId="0" applyFont="1" applyFill="1" applyBorder="1" applyAlignment="1">
      <alignment wrapText="1"/>
    </xf>
    <xf numFmtId="0" fontId="12" fillId="24" borderId="43" xfId="0" applyFont="1" applyFill="1" applyBorder="1" applyAlignment="1">
      <alignment horizontal="center" vertical="center" wrapText="1"/>
    </xf>
    <xf numFmtId="14" fontId="12" fillId="26" borderId="43" xfId="0" applyNumberFormat="1" applyFont="1" applyFill="1" applyBorder="1" applyAlignment="1">
      <alignment horizontal="center" vertical="center" wrapText="1"/>
    </xf>
    <xf numFmtId="0" fontId="16" fillId="25" borderId="43" xfId="0" applyFont="1" applyFill="1" applyBorder="1" applyAlignment="1">
      <alignment horizontal="center" vertical="center" wrapText="1"/>
    </xf>
    <xf numFmtId="0" fontId="15" fillId="30" borderId="43" xfId="0" applyFont="1" applyFill="1" applyBorder="1" applyAlignment="1">
      <alignment wrapText="1"/>
    </xf>
    <xf numFmtId="14" fontId="16" fillId="25" borderId="43" xfId="0" applyNumberFormat="1" applyFont="1" applyFill="1" applyBorder="1" applyAlignment="1">
      <alignment horizontal="center" vertical="center" wrapText="1"/>
    </xf>
    <xf numFmtId="14" fontId="0" fillId="32" borderId="43" xfId="0" applyNumberFormat="1" applyFill="1" applyBorder="1" applyAlignment="1" applyProtection="1">
      <alignment horizontal="center" vertical="center" wrapText="1"/>
      <protection locked="0"/>
    </xf>
    <xf numFmtId="168" fontId="0" fillId="32" borderId="43" xfId="0" applyNumberFormat="1" applyFill="1" applyBorder="1" applyAlignment="1" applyProtection="1">
      <alignment horizontal="center" vertical="center" wrapText="1"/>
      <protection locked="0"/>
    </xf>
    <xf numFmtId="167" fontId="0" fillId="32" borderId="43" xfId="0" applyNumberFormat="1" applyFill="1" applyBorder="1" applyAlignment="1" applyProtection="1">
      <alignment horizontal="center" vertical="center" wrapText="1"/>
      <protection locked="0"/>
    </xf>
    <xf numFmtId="0" fontId="20" fillId="27" borderId="43" xfId="0" applyFont="1" applyFill="1" applyBorder="1" applyAlignment="1">
      <alignment horizontal="center" vertical="center" wrapText="1"/>
    </xf>
    <xf numFmtId="0" fontId="20" fillId="27" borderId="43" xfId="0" applyFont="1" applyFill="1" applyBorder="1" applyAlignment="1">
      <alignment vertical="center" wrapText="1"/>
    </xf>
    <xf numFmtId="22" fontId="15" fillId="30" borderId="43" xfId="0" applyNumberFormat="1" applyFont="1" applyFill="1" applyBorder="1" applyAlignment="1">
      <alignment vertical="center" wrapText="1"/>
    </xf>
    <xf numFmtId="0" fontId="0" fillId="30" borderId="43" xfId="0" applyFill="1" applyBorder="1" applyAlignment="1">
      <alignment vertical="center" wrapText="1"/>
    </xf>
    <xf numFmtId="0" fontId="21" fillId="30" borderId="43" xfId="0" applyFont="1" applyFill="1" applyBorder="1" applyAlignment="1">
      <alignment vertical="center" wrapText="1"/>
    </xf>
    <xf numFmtId="0" fontId="0" fillId="32" borderId="43" xfId="0" applyFill="1" applyBorder="1" applyAlignment="1">
      <alignment vertical="center" wrapText="1"/>
    </xf>
    <xf numFmtId="16" fontId="0" fillId="32" borderId="43" xfId="0" applyNumberFormat="1" applyFill="1" applyBorder="1" applyAlignment="1">
      <alignment vertical="center" wrapText="1"/>
    </xf>
    <xf numFmtId="168" fontId="0" fillId="32" borderId="43" xfId="0" applyNumberFormat="1" applyFill="1" applyBorder="1" applyAlignment="1" applyProtection="1">
      <alignment horizontal="center" vertical="center"/>
      <protection locked="0"/>
    </xf>
    <xf numFmtId="0" fontId="15" fillId="30" borderId="43" xfId="0" applyFont="1" applyFill="1" applyBorder="1" applyAlignment="1">
      <alignment horizontal="center" vertical="center" wrapText="1"/>
    </xf>
    <xf numFmtId="0" fontId="15" fillId="30" borderId="43" xfId="0" applyFont="1" applyFill="1" applyBorder="1" applyAlignment="1">
      <alignment vertical="center"/>
    </xf>
    <xf numFmtId="0" fontId="13" fillId="32" borderId="43" xfId="0" applyFont="1" applyFill="1" applyBorder="1" applyAlignment="1">
      <alignment vertical="center" wrapText="1"/>
    </xf>
    <xf numFmtId="22" fontId="13" fillId="30" borderId="43" xfId="0" applyNumberFormat="1" applyFont="1" applyFill="1" applyBorder="1" applyAlignment="1">
      <alignment vertical="center" wrapText="1"/>
    </xf>
    <xf numFmtId="14" fontId="0" fillId="30" borderId="43" xfId="0" applyNumberFormat="1" applyFill="1" applyBorder="1" applyAlignment="1">
      <alignment vertical="center" wrapText="1"/>
    </xf>
    <xf numFmtId="0" fontId="0" fillId="30" borderId="43" xfId="0" applyFill="1" applyBorder="1" applyAlignment="1" applyProtection="1">
      <alignment vertical="center" wrapText="1"/>
      <protection locked="0"/>
    </xf>
    <xf numFmtId="0" fontId="0" fillId="32" borderId="43" xfId="0" applyFill="1" applyBorder="1" applyAlignment="1" applyProtection="1">
      <alignment vertical="center" wrapText="1"/>
      <protection locked="0"/>
    </xf>
    <xf numFmtId="0" fontId="0" fillId="17" borderId="39" xfId="0" applyFill="1" applyBorder="1" applyAlignment="1" applyProtection="1">
      <alignment horizontal="center" vertical="center"/>
      <protection locked="0"/>
    </xf>
    <xf numFmtId="0" fontId="0" fillId="17" borderId="0" xfId="0" applyFill="1" applyAlignment="1">
      <alignment vertical="center"/>
    </xf>
    <xf numFmtId="0" fontId="25" fillId="29" borderId="49" xfId="0" applyFont="1" applyFill="1" applyBorder="1" applyAlignment="1">
      <alignment horizontal="center" vertical="center" wrapText="1"/>
    </xf>
    <xf numFmtId="0" fontId="16" fillId="10" borderId="0" xfId="0" applyFont="1" applyFill="1" applyAlignment="1">
      <alignment horizontal="center" vertical="center" wrapText="1"/>
    </xf>
    <xf numFmtId="0" fontId="0" fillId="30" borderId="43" xfId="0" applyFill="1" applyBorder="1" applyAlignment="1">
      <alignment horizontal="center" vertical="top" wrapText="1"/>
    </xf>
    <xf numFmtId="14" fontId="0" fillId="30" borderId="43" xfId="0" applyNumberFormat="1" applyFill="1" applyBorder="1" applyAlignment="1">
      <alignment horizontal="center" vertical="top" wrapText="1"/>
    </xf>
    <xf numFmtId="0" fontId="15" fillId="30" borderId="43" xfId="0" applyFont="1" applyFill="1" applyBorder="1" applyAlignment="1">
      <alignment vertical="top" wrapText="1"/>
    </xf>
    <xf numFmtId="0" fontId="0" fillId="32" borderId="43" xfId="0" applyFill="1" applyBorder="1" applyAlignment="1">
      <alignment horizontal="center" vertical="top" wrapText="1"/>
    </xf>
    <xf numFmtId="168" fontId="0" fillId="32" borderId="43" xfId="0" applyNumberFormat="1" applyFill="1" applyBorder="1" applyAlignment="1">
      <alignment horizontal="center" vertical="top"/>
    </xf>
    <xf numFmtId="167" fontId="0" fillId="32" borderId="43" xfId="0" applyNumberFormat="1" applyFill="1" applyBorder="1" applyAlignment="1">
      <alignment horizontal="center" vertical="top" wrapText="1"/>
    </xf>
    <xf numFmtId="168" fontId="0" fillId="32" borderId="43" xfId="0" applyNumberFormat="1" applyFill="1" applyBorder="1" applyAlignment="1">
      <alignment horizontal="center" vertical="top" wrapText="1"/>
    </xf>
    <xf numFmtId="14" fontId="0" fillId="32" borderId="43" xfId="0" applyNumberFormat="1" applyFill="1" applyBorder="1" applyAlignment="1">
      <alignment horizontal="center" vertical="top" wrapText="1"/>
    </xf>
    <xf numFmtId="0" fontId="0" fillId="32" borderId="43" xfId="0" applyFill="1" applyBorder="1" applyAlignment="1">
      <alignment horizontal="center" vertical="top"/>
    </xf>
    <xf numFmtId="0" fontId="0" fillId="0" borderId="0" xfId="0" applyAlignment="1">
      <alignment horizontal="center" vertical="top"/>
    </xf>
    <xf numFmtId="49" fontId="0" fillId="30" borderId="43" xfId="0" applyNumberFormat="1" applyFill="1" applyBorder="1" applyAlignment="1">
      <alignment horizontal="center" vertical="top" wrapText="1"/>
    </xf>
    <xf numFmtId="167" fontId="0" fillId="32" borderId="43" xfId="0" applyNumberFormat="1" applyFill="1" applyBorder="1" applyAlignment="1">
      <alignment horizontal="center" vertical="top"/>
    </xf>
    <xf numFmtId="49" fontId="0" fillId="32" borderId="43" xfId="0" applyNumberFormat="1" applyFill="1" applyBorder="1" applyAlignment="1">
      <alignment horizontal="center" vertical="top" wrapText="1"/>
    </xf>
    <xf numFmtId="0" fontId="0" fillId="4" borderId="47" xfId="0" applyFill="1" applyBorder="1" applyAlignment="1">
      <alignment horizontal="center" vertical="top" wrapText="1"/>
    </xf>
    <xf numFmtId="14" fontId="0" fillId="21" borderId="43" xfId="0" applyNumberFormat="1" applyFill="1" applyBorder="1" applyAlignment="1">
      <alignment horizontal="center" vertical="top" wrapText="1"/>
    </xf>
    <xf numFmtId="0" fontId="0" fillId="4" borderId="43" xfId="0" applyFill="1" applyBorder="1" applyAlignment="1">
      <alignment horizontal="center" vertical="top" wrapText="1"/>
    </xf>
    <xf numFmtId="0" fontId="0" fillId="0" borderId="43" xfId="0" applyBorder="1" applyAlignment="1">
      <alignment horizontal="left" vertical="top"/>
    </xf>
    <xf numFmtId="0" fontId="22" fillId="30" borderId="0" xfId="0" applyFont="1" applyFill="1" applyAlignment="1">
      <alignment horizontal="left" vertical="top" wrapText="1"/>
    </xf>
    <xf numFmtId="0" fontId="21" fillId="30" borderId="0" xfId="0" applyFont="1" applyFill="1" applyAlignment="1">
      <alignment horizontal="left" vertical="top" wrapText="1"/>
    </xf>
    <xf numFmtId="0" fontId="16" fillId="10" borderId="43" xfId="0" applyFont="1" applyFill="1" applyBorder="1" applyAlignment="1">
      <alignment horizontal="left" vertical="center" wrapText="1"/>
    </xf>
    <xf numFmtId="0" fontId="22" fillId="0" borderId="0" xfId="0" applyFont="1" applyAlignment="1">
      <alignment wrapText="1"/>
    </xf>
    <xf numFmtId="0" fontId="22" fillId="30" borderId="51" xfId="0" applyFont="1" applyFill="1" applyBorder="1" applyAlignment="1">
      <alignment vertical="center" wrapText="1"/>
    </xf>
    <xf numFmtId="0" fontId="22" fillId="30" borderId="0" xfId="0" applyFont="1" applyFill="1" applyAlignment="1">
      <alignment vertical="center" wrapText="1"/>
    </xf>
    <xf numFmtId="0" fontId="22" fillId="30" borderId="52" xfId="0" applyFont="1" applyFill="1" applyBorder="1" applyAlignment="1">
      <alignment vertical="center" wrapText="1"/>
    </xf>
    <xf numFmtId="0" fontId="0" fillId="4" borderId="45" xfId="0" applyFill="1" applyBorder="1" applyAlignment="1">
      <alignment horizontal="center" vertical="center" wrapText="1"/>
    </xf>
    <xf numFmtId="14" fontId="0" fillId="0" borderId="45" xfId="0" applyNumberFormat="1" applyBorder="1" applyAlignment="1">
      <alignment horizontal="center" vertical="center" wrapText="1"/>
    </xf>
    <xf numFmtId="0" fontId="5" fillId="0" borderId="45" xfId="1" applyBorder="1" applyAlignment="1">
      <alignment horizontal="center" vertical="center" wrapText="1"/>
    </xf>
    <xf numFmtId="0" fontId="0" fillId="0" borderId="45" xfId="0" applyBorder="1" applyAlignment="1">
      <alignment horizontal="center" vertical="center" wrapText="1"/>
    </xf>
    <xf numFmtId="0" fontId="22" fillId="30" borderId="43" xfId="0" applyFont="1" applyFill="1" applyBorder="1" applyAlignment="1">
      <alignment vertical="top" wrapText="1"/>
    </xf>
    <xf numFmtId="0" fontId="0" fillId="7" borderId="43" xfId="0" applyFill="1" applyBorder="1" applyAlignment="1">
      <alignment horizontal="center" vertical="top" wrapText="1"/>
    </xf>
    <xf numFmtId="49" fontId="0" fillId="28" borderId="43" xfId="0" applyNumberFormat="1" applyFill="1" applyBorder="1" applyAlignment="1" applyProtection="1">
      <alignment horizontal="center" vertical="center" wrapText="1"/>
      <protection locked="0"/>
    </xf>
    <xf numFmtId="0" fontId="23" fillId="29" borderId="0" xfId="0" applyFont="1" applyFill="1" applyAlignment="1">
      <alignment horizontal="center" vertical="center" wrapText="1"/>
    </xf>
    <xf numFmtId="0" fontId="0" fillId="30" borderId="47" xfId="0" applyFill="1" applyBorder="1" applyAlignment="1">
      <alignment horizontal="center" vertical="center" wrapText="1"/>
    </xf>
    <xf numFmtId="0" fontId="22" fillId="30" borderId="49" xfId="0" applyFont="1" applyFill="1" applyBorder="1" applyAlignment="1">
      <alignment horizontal="center" vertical="center" wrapText="1"/>
    </xf>
    <xf numFmtId="0" fontId="22" fillId="31" borderId="49" xfId="0" applyFont="1" applyFill="1" applyBorder="1" applyAlignment="1">
      <alignment horizontal="center" vertical="center" wrapText="1"/>
    </xf>
    <xf numFmtId="0" fontId="0" fillId="34" borderId="0" xfId="0" applyFill="1" applyAlignment="1">
      <alignment horizontal="center" vertical="center" wrapText="1"/>
    </xf>
    <xf numFmtId="0" fontId="0" fillId="4" borderId="43" xfId="0" applyFill="1" applyBorder="1" applyAlignment="1">
      <alignment horizontal="center" vertical="center"/>
    </xf>
    <xf numFmtId="0" fontId="0" fillId="7" borderId="43" xfId="0" applyFill="1" applyBorder="1" applyAlignment="1">
      <alignment horizontal="center" vertical="center"/>
    </xf>
    <xf numFmtId="0" fontId="0" fillId="7" borderId="0" xfId="0" applyFill="1" applyAlignment="1">
      <alignment vertical="center" wrapText="1"/>
    </xf>
    <xf numFmtId="0" fontId="19" fillId="35" borderId="0" xfId="0" applyFont="1" applyFill="1" applyAlignment="1" applyProtection="1">
      <alignment horizontal="center" vertical="center" wrapText="1"/>
      <protection locked="0"/>
    </xf>
    <xf numFmtId="0" fontId="0" fillId="30" borderId="46" xfId="0" applyFill="1" applyBorder="1" applyAlignment="1" applyProtection="1">
      <alignment horizontal="center" vertical="center" wrapText="1"/>
      <protection locked="0"/>
    </xf>
    <xf numFmtId="0" fontId="16" fillId="10" borderId="46" xfId="0" applyFont="1" applyFill="1" applyBorder="1" applyAlignment="1" applyProtection="1">
      <alignment horizontal="center" vertical="center" wrapText="1"/>
      <protection locked="0"/>
    </xf>
    <xf numFmtId="0" fontId="0" fillId="0" borderId="46" xfId="0" applyBorder="1" applyAlignment="1" applyProtection="1">
      <alignment horizontal="center" vertical="center"/>
      <protection locked="0"/>
    </xf>
    <xf numFmtId="14" fontId="0" fillId="36" borderId="43" xfId="0" applyNumberFormat="1" applyFill="1" applyBorder="1" applyAlignment="1">
      <alignment horizontal="center" vertical="center"/>
    </xf>
    <xf numFmtId="14" fontId="0" fillId="36" borderId="43" xfId="0" applyNumberFormat="1" applyFill="1" applyBorder="1" applyAlignment="1">
      <alignment horizontal="center" vertical="center" wrapText="1"/>
    </xf>
    <xf numFmtId="0" fontId="18" fillId="9" borderId="54" xfId="0" applyFont="1" applyFill="1" applyBorder="1" applyAlignment="1">
      <alignment horizontal="center" vertical="center" wrapText="1"/>
    </xf>
    <xf numFmtId="0" fontId="18" fillId="9" borderId="47" xfId="0" applyFont="1" applyFill="1" applyBorder="1" applyAlignment="1">
      <alignment horizontal="center" vertical="center" wrapText="1"/>
    </xf>
    <xf numFmtId="0" fontId="18" fillId="20" borderId="44" xfId="0" applyFont="1" applyFill="1" applyBorder="1" applyAlignment="1">
      <alignment horizontal="center" vertical="center" wrapText="1"/>
    </xf>
    <xf numFmtId="0" fontId="0" fillId="36" borderId="43" xfId="0" applyFill="1" applyBorder="1" applyAlignment="1">
      <alignment horizontal="center" vertical="center" wrapText="1"/>
    </xf>
    <xf numFmtId="0" fontId="0" fillId="36" borderId="47" xfId="0" applyFill="1" applyBorder="1" applyAlignment="1">
      <alignment horizontal="center" vertical="center" wrapText="1"/>
    </xf>
    <xf numFmtId="16" fontId="0" fillId="36" borderId="43" xfId="0" applyNumberFormat="1" applyFill="1" applyBorder="1" applyAlignment="1">
      <alignment horizontal="center" vertical="center" wrapText="1"/>
    </xf>
    <xf numFmtId="0" fontId="0" fillId="36" borderId="47" xfId="0" applyFill="1" applyBorder="1" applyAlignment="1">
      <alignment horizontal="center" vertical="center"/>
    </xf>
    <xf numFmtId="0" fontId="0" fillId="36" borderId="43" xfId="0" applyFill="1" applyBorder="1" applyAlignment="1">
      <alignment horizontal="center" vertical="center"/>
    </xf>
    <xf numFmtId="0" fontId="0" fillId="0" borderId="53" xfId="0" applyBorder="1" applyAlignment="1">
      <alignment horizontal="center" vertical="center"/>
    </xf>
    <xf numFmtId="0" fontId="0" fillId="7" borderId="43" xfId="0" applyFill="1" applyBorder="1" applyAlignment="1">
      <alignment horizontal="center" vertical="center" wrapText="1"/>
    </xf>
    <xf numFmtId="0" fontId="0" fillId="4" borderId="0" xfId="0" applyFill="1" applyAlignment="1">
      <alignment vertical="center" wrapText="1"/>
    </xf>
    <xf numFmtId="0" fontId="8" fillId="6" borderId="2" xfId="0" applyFont="1" applyFill="1" applyBorder="1" applyAlignment="1">
      <alignment horizontal="center" vertical="center"/>
    </xf>
    <xf numFmtId="0" fontId="10" fillId="0" borderId="17" xfId="0" applyFont="1" applyBorder="1" applyAlignment="1">
      <alignment horizontal="center" vertical="center"/>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8" fillId="6" borderId="0" xfId="0" applyFont="1" applyFill="1" applyAlignment="1">
      <alignment horizontal="center" vertical="center"/>
    </xf>
    <xf numFmtId="0" fontId="7" fillId="0" borderId="4" xfId="0" applyFont="1" applyBorder="1" applyAlignment="1">
      <alignment vertical="center"/>
    </xf>
    <xf numFmtId="0" fontId="7" fillId="0" borderId="9" xfId="0" applyFont="1" applyBorder="1" applyAlignment="1">
      <alignment vertical="center"/>
    </xf>
    <xf numFmtId="0" fontId="7" fillId="0" borderId="4" xfId="0" applyFont="1" applyBorder="1" applyAlignment="1">
      <alignment vertical="center" wrapText="1"/>
    </xf>
    <xf numFmtId="0" fontId="7" fillId="0" borderId="9" xfId="0" applyFont="1" applyBorder="1" applyAlignment="1">
      <alignment vertical="center" wrapText="1"/>
    </xf>
    <xf numFmtId="0" fontId="7" fillId="0" borderId="7" xfId="0" applyFont="1" applyBorder="1" applyAlignment="1">
      <alignment vertical="center"/>
    </xf>
    <xf numFmtId="0" fontId="7" fillId="0" borderId="7"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8" fillId="6" borderId="12" xfId="0" applyFont="1" applyFill="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9" fontId="6" fillId="4" borderId="9" xfId="0" applyNumberFormat="1" applyFont="1" applyFill="1" applyBorder="1" applyAlignment="1">
      <alignment horizontal="center" vertical="center"/>
    </xf>
    <xf numFmtId="0" fontId="2" fillId="0" borderId="22" xfId="0" applyFont="1" applyBorder="1" applyAlignment="1">
      <alignment horizontal="center" vertical="center"/>
    </xf>
    <xf numFmtId="0" fontId="6" fillId="4" borderId="1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11" fillId="5" borderId="0" xfId="0" applyFont="1" applyFill="1" applyAlignment="1">
      <alignment horizontal="center"/>
    </xf>
  </cellXfs>
  <cellStyles count="2">
    <cellStyle name="Hipervínculo" xfId="1" builtinId="8"/>
    <cellStyle name="Normal" xfId="0" builtinId="0"/>
  </cellStyles>
  <dxfs count="95">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19" formatCode="dd/mm/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alignment vertical="center" wrapText="1"/>
    </dxf>
    <dxf>
      <alignment vertical="center" wrapText="1"/>
    </dxf>
    <dxf>
      <numFmt numFmtId="0" formatCode="General"/>
      <alignment vertical="center" wrapText="1"/>
    </dxf>
    <dxf>
      <alignment vertical="center" wrapText="1"/>
    </dxf>
    <dxf>
      <alignment wrapText="1"/>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s>
  <tableStyles count="0" defaultTableStyle="TableStyleMedium2" defaultPivotStyle="PivotStyleLight16"/>
  <colors>
    <mruColors>
      <color rgb="FFEFDAF2"/>
      <color rgb="FFFFD9D9"/>
      <color rgb="FFF7ECF8"/>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my.sharepoint.com/personal/diana_zapata_laureate_pe1/Documents/REGISTRO%20DE%20INICIATIVAS%20-%20GESTI&#211;N%20DE%20LA%20DEMANDA%20(2).xlsx" TargetMode="External"/><Relationship Id="rId1" Type="http://schemas.openxmlformats.org/officeDocument/2006/relationships/externalLinkPath" Target="https://educorpperu-my.sharepoint.com/personal/diana_zapata_laureate_pe1/Documents/REGISTRO%20DE%20INICIATIVAS%20-%20GESTI&#211;N%20DE%20LA%20DEMANDA%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MoqOll0R0yKMqiEKuPYJMV5KmZMZbhMjN6QOYKu8a3EfEoS47P3Q7xV_NRLbiKl" itemId="01LMUNDYCFTJFEHLF5KRAKPF5HRWKA7KWJ">
      <xxl21:absoluteUrl r:id="rId2"/>
    </xxl21:alternateUrls>
    <sheetNames>
      <sheetName val="Sheet1"/>
      <sheetName val="Criterios de priorización"/>
      <sheetName val="Análisis Puntajes"/>
      <sheetName val="Análisis Comparativo"/>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e">
            <v>#VALUE!</v>
          </cell>
          <cell r="H2" t="str">
            <v>UPC</v>
          </cell>
          <cell r="I2" t="str">
            <v>Alex Pendavis - VP Finanzas</v>
          </cell>
          <cell r="J2" t="str">
            <v xml:space="preserve">Karol Espinoza </v>
          </cell>
          <cell r="K2"/>
          <cell r="L2" t="str">
            <v>Gerson Vereau</v>
          </cell>
          <cell r="M2">
            <v>46057</v>
          </cell>
          <cell r="N2" t="str">
            <v>No</v>
          </cell>
          <cell r="O2" t="str">
            <v> </v>
          </cell>
          <cell r="P2"/>
          <cell r="Q2" t="str">
            <v>Normativa</v>
          </cell>
          <cell r="R2" t="e">
            <v>#VALUE!</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e">
            <v>#VALUE!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e">
            <v>#VALUE!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e">
            <v>#VALUE!</v>
          </cell>
          <cell r="S3"/>
          <cell r="T3" t="str">
            <v>Retiro de ciclo</v>
          </cell>
          <cell r="U3"/>
          <cell r="V3" t="str">
            <v>Excelencia Operativa</v>
          </cell>
          <cell r="W3" t="str">
            <v>No</v>
          </cell>
          <cell r="X3"/>
          <cell r="Y3" t="str">
            <v>Mitigación de riesgos reputacionales y reclamos hacia la universidad.</v>
          </cell>
          <cell r="Z3" t="e">
            <v>#VALUE!</v>
          </cell>
          <cell r="AA3">
            <v>0.30000000000000004</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e">
            <v>#VALUE!</v>
          </cell>
          <cell r="H4" t="str">
            <v>UPN</v>
          </cell>
          <cell r="I4" t="str">
            <v>Humberto Marota - Tecnologías y transformación digital</v>
          </cell>
          <cell r="J4" t="str">
            <v xml:space="preserve">Alejandro Tello Llosa </v>
          </cell>
          <cell r="K4"/>
          <cell r="L4" t="str">
            <v>Jose Paredes</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46042.760416666664</v>
          </cell>
          <cell r="D5" t="str">
            <v>luis.almeyda@upc.pe</v>
          </cell>
          <cell r="E5" t="str">
            <v>Luis Alberto Almeyda Porras</v>
          </cell>
          <cell r="F5" t="str">
            <v>Reporte para Seguimiento de Retiros de Ciclo formales</v>
          </cell>
          <cell r="G5" t="e">
            <v>#VALUE!</v>
          </cell>
          <cell r="H5" t="str">
            <v>UPC</v>
          </cell>
          <cell r="I5" t="str">
            <v>Alex Pendavis - VP Finanzas</v>
          </cell>
          <cell r="J5" t="str">
            <v>Jose Luis Ramos Adrianzen</v>
          </cell>
          <cell r="K5"/>
          <cell r="L5" t="str">
            <v>Gerson Vereau</v>
          </cell>
          <cell r="M5">
            <v>46112</v>
          </cell>
          <cell r="N5" t="str">
            <v>No</v>
          </cell>
          <cell r="O5"/>
          <cell r="P5" t="str">
            <v> </v>
          </cell>
          <cell r="Q5" t="str">
            <v>Otro</v>
          </cell>
          <cell r="R5" t="e">
            <v>#VALUE!</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e">
            <v>#VALUE!</v>
          </cell>
          <cell r="AA5">
            <v>1.2000000000000002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e">
            <v>#VALUE!</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e">
            <v>#VALUE!</v>
          </cell>
          <cell r="S6"/>
          <cell r="T6" t="e">
            <v>#VALUE!</v>
          </cell>
          <cell r="U6"/>
          <cell r="V6" t="str">
            <v>Excelencia Operativa</v>
          </cell>
          <cell r="W6" t="str">
            <v>Si</v>
          </cell>
          <cell r="X6"/>
          <cell r="Y6" t="e">
            <v>#VALUE!</v>
          </cell>
          <cell r="Z6" t="e">
            <v>#VALUE!</v>
          </cell>
          <cell r="AA6">
            <v>0.30000000000000004</v>
          </cell>
        </row>
        <row r="7">
          <cell r="A7">
            <v>25</v>
          </cell>
          <cell r="B7">
            <v>46048.588194444441</v>
          </cell>
          <cell r="C7">
            <v>46048.615277777775</v>
          </cell>
          <cell r="D7" t="str">
            <v>makarena.ramos@laureate.pe</v>
          </cell>
          <cell r="E7" t="str">
            <v>Makarena Ramos Aleman</v>
          </cell>
          <cell r="F7" t="str">
            <v>Modificación de MDUU de elegibles en Banner.</v>
          </cell>
          <cell r="G7" t="e">
            <v>#VALUE!</v>
          </cell>
          <cell r="H7" t="str">
            <v>UPN</v>
          </cell>
          <cell r="I7" t="str">
            <v>Tairi Ruillier - VP Transformación</v>
          </cell>
          <cell r="J7" t="str">
            <v xml:space="preserve">Janeth Albujar Rodriguez </v>
          </cell>
          <cell r="K7"/>
          <cell r="L7" t="str">
            <v>Carla Arias-Schreiber</v>
          </cell>
          <cell r="M7">
            <v>46083</v>
          </cell>
          <cell r="N7" t="str">
            <v>No</v>
          </cell>
          <cell r="O7"/>
          <cell r="P7">
            <v>76553</v>
          </cell>
          <cell r="Q7" t="str">
            <v>Otro</v>
          </cell>
          <cell r="R7" t="e">
            <v>#VALUE!</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e">
            <v>#VALUE!</v>
          </cell>
          <cell r="AA7">
            <v>0.5</v>
          </cell>
        </row>
        <row r="8">
          <cell r="A8">
            <v>26</v>
          </cell>
          <cell r="B8">
            <v>46048.615277777775</v>
          </cell>
          <cell r="C8">
            <v>46048.623611111114</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 xml:space="preserve">Janeth Albujar Rodriguez </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e">
            <v>#VALUE!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 xml:space="preserve">Janeth Albujar Rodriguez </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e">
            <v>#VALUE!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e">
            <v>#VALUE!</v>
          </cell>
          <cell r="H10" t="str">
            <v>UPN</v>
          </cell>
          <cell r="I10" t="str">
            <v>Tairi Ruillier - VP Transformación</v>
          </cell>
          <cell r="J10" t="str">
            <v xml:space="preserve">Janeth Albujar Rodriguez </v>
          </cell>
          <cell r="K10"/>
          <cell r="L10" t="str">
            <v>Carla Arias-Schreiber</v>
          </cell>
          <cell r="M10">
            <v>46113</v>
          </cell>
          <cell r="N10" t="str">
            <v>No</v>
          </cell>
          <cell r="O10"/>
          <cell r="P10">
            <v>76553</v>
          </cell>
          <cell r="Q10" t="str">
            <v>Otro</v>
          </cell>
          <cell r="R10" t="e">
            <v>#VALUE!</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e">
            <v>#VALUE!</v>
          </cell>
          <cell r="H11" t="str">
            <v>UPN</v>
          </cell>
          <cell r="I11" t="str">
            <v>Sebastian Lindley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e">
            <v>#VALUE!</v>
          </cell>
          <cell r="AA11">
            <v>1.4</v>
          </cell>
        </row>
        <row r="12">
          <cell r="A12">
            <v>30</v>
          </cell>
          <cell r="B12">
            <v>46048.651388888888</v>
          </cell>
          <cell r="C12">
            <v>46048.669444444444</v>
          </cell>
          <cell r="D12" t="str">
            <v>gerson.vereau@upn.edu.pe</v>
          </cell>
          <cell r="E12" t="str">
            <v>Gerson Vereau Rosas</v>
          </cell>
          <cell r="F12" t="str">
            <v>Franja horaria no visible para horas adicionales</v>
          </cell>
          <cell r="G12" t="e">
            <v>#VALUE!</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e">
            <v>#VALUE!</v>
          </cell>
          <cell r="AA12">
            <v>0.30000000000000004</v>
          </cell>
        </row>
        <row r="13">
          <cell r="A13">
            <v>31</v>
          </cell>
          <cell r="B13">
            <v>46048.645833333336</v>
          </cell>
          <cell r="C13">
            <v>46048.67291666667</v>
          </cell>
          <cell r="D13" t="str">
            <v>jose.herbozo@upn.edu.pe</v>
          </cell>
          <cell r="E13" t="str">
            <v>Jose Paredes Herbozo</v>
          </cell>
          <cell r="F13" t="str">
            <v>Incorporar sección de "variable étnica" a la Ficha de Postulación y CRM</v>
          </cell>
          <cell r="G13" t="e">
            <v>#VALUE!</v>
          </cell>
          <cell r="H13" t="str">
            <v>UPN</v>
          </cell>
          <cell r="I13" t="str">
            <v>Rossina Caballero - VP Legal</v>
          </cell>
          <cell r="J13" t="str">
            <v>Sandra Chirinos Villavicencio</v>
          </cell>
          <cell r="K13"/>
          <cell r="L13" t="str">
            <v>Jose Paredes</v>
          </cell>
          <cell r="M13">
            <v>46081</v>
          </cell>
          <cell r="N13" t="str">
            <v>No</v>
          </cell>
          <cell r="O13" t="str">
            <v> </v>
          </cell>
          <cell r="P13"/>
          <cell r="Q13" t="str">
            <v>Normativa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e">
            <v>#VALUE!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e">
            <v>#VALUE!</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e">
            <v>#VALUE!</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e">
            <v>#VALUE!</v>
          </cell>
          <cell r="AA14">
            <v>0.30000000000000004</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Humberto Marota - Tecnologías y transformación digital</v>
          </cell>
          <cell r="J15" t="str">
            <v>Daniella Poppe</v>
          </cell>
          <cell r="K15"/>
          <cell r="L15" t="str">
            <v>Jose Paredes</v>
          </cell>
          <cell r="M15">
            <v>46081</v>
          </cell>
          <cell r="N15" t="str">
            <v>Si</v>
          </cell>
          <cell r="O15"/>
          <cell r="P15">
            <v>75364</v>
          </cell>
          <cell r="Q15" t="str">
            <v>Otro</v>
          </cell>
          <cell r="R15" t="e">
            <v>#VALUE!</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e">
            <v>#VALUE!</v>
          </cell>
          <cell r="AA15">
            <v>1.8</v>
          </cell>
        </row>
        <row r="16">
          <cell r="A16">
            <v>34</v>
          </cell>
          <cell r="B16">
            <v>46049.599305555559</v>
          </cell>
          <cell r="C16">
            <v>46049.717361111114</v>
          </cell>
          <cell r="D16" t="str">
            <v>eduardo.paul@cibertec.pe</v>
          </cell>
          <cell r="E16" t="str">
            <v>Eduardo Paul Aguilar</v>
          </cell>
          <cell r="F16" t="str">
            <v>Actualización en Gestión Docente sobre cambios realizados en Banner</v>
          </cell>
          <cell r="G16" t="e">
            <v>#VALUE!</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0.30000000000000004</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e">
            <v>#VALUE!</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e">
            <v>#VALUE!</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e">
            <v>#VALUE!</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46056.961805555555</v>
          </cell>
          <cell r="C19">
            <v>46056.992361111108</v>
          </cell>
          <cell r="D19" t="str">
            <v>eduardo.paul@cibertec.pe</v>
          </cell>
          <cell r="E19" t="str">
            <v>Eduardo Paul Aguilar</v>
          </cell>
          <cell r="F19" t="str">
            <v>Extraccion de Datos Para retención.</v>
          </cell>
          <cell r="G19" t="e">
            <v>#VALUE!</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46057.382638888892</v>
          </cell>
          <cell r="C20">
            <v>46057.402083333334</v>
          </cell>
          <cell r="D20" t="str">
            <v>giancarlo.villacorta@upc.pe</v>
          </cell>
          <cell r="E20" t="str">
            <v>Giancarlo Villacorta Quiñones</v>
          </cell>
          <cell r="F20" t="str">
            <v>Implementación de un proceso automatizado en Banner para la generación de turnos de Planificación Horaria</v>
          </cell>
          <cell r="G20" t="e">
            <v>#VALUE!</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e">
            <v>#VALUE!</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e">
            <v>#VALUE!</v>
          </cell>
          <cell r="Z20" t="e">
            <v>#VALUE!</v>
          </cell>
          <cell r="AA20">
            <v>0.30000000000000004</v>
          </cell>
        </row>
        <row r="21">
          <cell r="A21">
            <v>40</v>
          </cell>
          <cell r="B21">
            <v>46057.40347222222</v>
          </cell>
          <cell r="C21">
            <v>46057.461805555555</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e">
            <v>#VALUE!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e">
            <v>#VALUE!</v>
          </cell>
          <cell r="S21"/>
          <cell r="T21" t="str">
            <v>Actualización de datos, Ejecución de campañas de retención</v>
          </cell>
          <cell r="U21"/>
          <cell r="V21" t="str">
            <v>Excelencia operativa</v>
          </cell>
          <cell r="W21" t="str">
            <v>No</v>
          </cell>
          <cell r="X21"/>
          <cell r="Y21" t="e">
            <v>#VALUE!</v>
          </cell>
          <cell r="Z21" t="e">
            <v>#VALUE!</v>
          </cell>
          <cell r="AA21">
            <v>0.30000000000000004</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e">
            <v>#VALUE!</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Legal</v>
          </cell>
          <cell r="R22" t="e">
            <v>#VALUE!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e">
            <v>#VALUE!</v>
          </cell>
          <cell r="AA22">
            <v>2.9</v>
          </cell>
        </row>
        <row r="23">
          <cell r="A23">
            <v>42</v>
          </cell>
          <cell r="B23">
            <v>46057.825694444444</v>
          </cell>
          <cell r="C23">
            <v>46057.843055555553</v>
          </cell>
          <cell r="D23" t="str">
            <v>carlos.sanchez@laureate.pe</v>
          </cell>
          <cell r="E23" t="str">
            <v>Carlos Sanchez Rubio</v>
          </cell>
          <cell r="F23" t="str">
            <v>Remediación de Vulnerabilidades Banner UPN - Actualización Karaf</v>
          </cell>
          <cell r="G23" t="e">
            <v>#VALUE!</v>
          </cell>
          <cell r="H23" t="str">
            <v>UPN</v>
          </cell>
          <cell r="I23" t="str">
            <v>Humberto Marota - Tecnologías y transformación digital</v>
          </cell>
          <cell r="J23" t="str">
            <v xml:space="preserve">Carlos Sanchez </v>
          </cell>
          <cell r="K23"/>
          <cell r="L23" t="str">
            <v>Ninguno</v>
          </cell>
          <cell r="M23">
            <v>46081</v>
          </cell>
          <cell r="N23" t="str">
            <v>No</v>
          </cell>
          <cell r="O23" t="str">
            <v> </v>
          </cell>
          <cell r="P23"/>
          <cell r="Q23" t="str">
            <v>Seguridad de la información</v>
          </cell>
          <cell r="R23" t="e">
            <v>#VALUE!</v>
          </cell>
          <cell r="S23"/>
          <cell r="T23" t="e">
            <v>#VALUE!</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e">
            <v>#VALUE!</v>
          </cell>
          <cell r="AA23">
            <v>1.3499999999999999</v>
          </cell>
        </row>
        <row r="24">
          <cell r="A24">
            <v>43</v>
          </cell>
          <cell r="B24">
            <v>46059.399305555555</v>
          </cell>
          <cell r="C24">
            <v>46059.404166666667</v>
          </cell>
          <cell r="D24" t="str">
            <v>giancarlo.villacorta@upc.pe</v>
          </cell>
          <cell r="E24" t="str">
            <v>Giancarlo Villacorta Quiñones</v>
          </cell>
          <cell r="F24" t="str">
            <v>Automatización del proceso de selección e inscripción de electivos EPG</v>
          </cell>
          <cell r="G24" t="e">
            <v>#VALUE!</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e">
            <v>#VALUE!</v>
          </cell>
          <cell r="S24"/>
          <cell r="T24" t="str">
            <v>Matrícula EPG</v>
          </cell>
          <cell r="U24"/>
          <cell r="V24" t="str">
            <v>Excelencia académica</v>
          </cell>
          <cell r="W24" t="str">
            <v>No</v>
          </cell>
          <cell r="X24"/>
          <cell r="Y24" t="e">
            <v>#VALUE!</v>
          </cell>
          <cell r="Z24" t="e">
            <v>#VALUE!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e">
            <v>#VALUE!</v>
          </cell>
          <cell r="S25"/>
          <cell r="T25" t="str">
            <v>Proceso de venta, Onboarding y Clonación en Blackboard</v>
          </cell>
          <cell r="U25"/>
          <cell r="V25" t="str">
            <v>Experiencia</v>
          </cell>
          <cell r="W25" t="str">
            <v>No</v>
          </cell>
          <cell r="X25"/>
          <cell r="Y25" t="str">
            <v>Mejorar la experiencia académica y engagement de los nuevos estudiantes.</v>
          </cell>
          <cell r="Z25" t="e">
            <v>#VALUE!</v>
          </cell>
          <cell r="AA25">
            <v>0.4</v>
          </cell>
        </row>
        <row r="26">
          <cell r="A26">
            <v>46</v>
          </cell>
          <cell r="B26">
            <v>46065.35</v>
          </cell>
          <cell r="C26">
            <v>46065.393055555556</v>
          </cell>
          <cell r="D26" t="str">
            <v>daniel.cino@upc.pe</v>
          </cell>
          <cell r="E26" t="str">
            <v>Daniel Cino Barreda</v>
          </cell>
          <cell r="F26" t="str">
            <v>desplegable de fecha en el tramite de reprogramación de pruebas para deportistas destacadas</v>
          </cell>
          <cell r="G26" t="e">
            <v>#VALUE!</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e">
            <v>#VALUE!</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e">
            <v>#VALUE!</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e">
            <v>#VALUE!</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e">
            <v>#VALUE!</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e">
            <v>#VALUE!</v>
          </cell>
          <cell r="AA27">
            <v>1.9</v>
          </cell>
        </row>
        <row r="28">
          <cell r="A28">
            <v>49</v>
          </cell>
          <cell r="B28">
            <v>46069.613194444442</v>
          </cell>
          <cell r="C28">
            <v>46069.666666666664</v>
          </cell>
          <cell r="D28" t="str">
            <v>ronald.benites@laureate.pe</v>
          </cell>
          <cell r="E28" t="str">
            <v>Ronald Benites Vilchez</v>
          </cell>
          <cell r="F28" t="str">
            <v>Implementación Horacius Fase II</v>
          </cell>
          <cell r="G28" t="e">
            <v>#VALUE!</v>
          </cell>
          <cell r="H28" t="str">
            <v>LAUREATE</v>
          </cell>
          <cell r="I28" t="str">
            <v>Humberto Marota - Tecnologías y transformación digital</v>
          </cell>
          <cell r="J28" t="str">
            <v xml:space="preserve">Henry Longa </v>
          </cell>
          <cell r="K28"/>
          <cell r="L28" t="str">
            <v>Ninguno</v>
          </cell>
          <cell r="M28">
            <v>46295</v>
          </cell>
          <cell r="N28" t="str">
            <v>No</v>
          </cell>
          <cell r="O28" t="str">
            <v> </v>
          </cell>
          <cell r="P28"/>
          <cell r="Q28" t="str">
            <v>Otro</v>
          </cell>
          <cell r="R28" t="e">
            <v>#VALUE!</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e">
            <v>#VALUE!</v>
          </cell>
          <cell r="Z28" t="str">
            <v>https://educorpperu-my.sharepoint.com/personal/diana_zapata_laureate_pe1/Documents/Aplicaciones/Microsoft%20Forms/REGISTRO%20DE%20INICIATIVAS/Pregunta/Roadmap%20Horacius%20fase%20II%20Per%C3%BA%20(propuesta)_Ronald%20Benites%20Vilch.pdf</v>
          </cell>
          <cell r="AA28">
            <v>1.2000000000000002</v>
          </cell>
        </row>
        <row r="29">
          <cell r="A29">
            <v>50</v>
          </cell>
          <cell r="B29">
            <v>46070.484027777777</v>
          </cell>
          <cell r="C29">
            <v>46070.517361111109</v>
          </cell>
          <cell r="D29" t="str">
            <v>angela.dominguez@laureate.pe</v>
          </cell>
          <cell r="E29" t="str">
            <v>Angela Dominguez Plasencia</v>
          </cell>
          <cell r="F29" t="str">
            <v>Implementación de un proceso automatizado de carga masiva a banner para TSP.</v>
          </cell>
          <cell r="G29" t="e">
            <v>#VALUE!</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e">
            <v>#VALUE!</v>
          </cell>
          <cell r="AA29">
            <v>0</v>
          </cell>
        </row>
        <row r="30">
          <cell r="A30">
            <v>51</v>
          </cell>
          <cell r="B30">
            <v>46069.480555555558</v>
          </cell>
          <cell r="C30">
            <v>46070.595138888886</v>
          </cell>
          <cell r="D30" t="str">
            <v>nohemi.marcelo@upc.pe</v>
          </cell>
          <cell r="E30" t="str">
            <v>Nohemi Estefani Marcelo Torres</v>
          </cell>
          <cell r="F30" t="str">
            <v xml:space="preserve">Sistema de integra de trayectoria y acompañamiento al estudiante becado </v>
          </cell>
          <cell r="G30" t="e">
            <v>#VALUE!</v>
          </cell>
          <cell r="H30" t="str">
            <v>UPC</v>
          </cell>
          <cell r="I30" t="str">
            <v>Milagros Morgan - Rectorado UPC</v>
          </cell>
          <cell r="J30" t="str">
            <v xml:space="preserve">Maria Cifuentes Ramseyer </v>
          </cell>
          <cell r="K30"/>
          <cell r="L30" t="str">
            <v>Ángela Lucano</v>
          </cell>
          <cell r="M30">
            <v>46104</v>
          </cell>
          <cell r="N30" t="str">
            <v>No</v>
          </cell>
          <cell r="O30" t="str">
            <v> </v>
          </cell>
          <cell r="P30"/>
          <cell r="Q30" t="str">
            <v>Otro</v>
          </cell>
          <cell r="R30" t="e">
            <v>#VALUE!</v>
          </cell>
          <cell r="S30"/>
          <cell r="T30" t="e">
            <v>#VALUE!</v>
          </cell>
          <cell r="U30"/>
          <cell r="V30" t="str">
            <v>Calidad Académica;Resp. Social y Sostenibilidad</v>
          </cell>
          <cell r="W30" t="str">
            <v>No</v>
          </cell>
          <cell r="X30"/>
          <cell r="Y30" t="e">
            <v>#VALUE!</v>
          </cell>
          <cell r="Z30" t="e">
            <v>#VALUE!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e">
            <v>#VALUE!</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e">
            <v>#VALUE!</v>
          </cell>
          <cell r="AA31">
            <v>0</v>
          </cell>
        </row>
        <row r="32">
          <cell r="A32">
            <v>54</v>
          </cell>
          <cell r="B32">
            <v>46070.90347222222</v>
          </cell>
          <cell r="C32">
            <v>46070.906944444447</v>
          </cell>
          <cell r="D32" t="str">
            <v>ricky.pareja@laureate.pe</v>
          </cell>
          <cell r="E32" t="str">
            <v>Ricky Pareja Medina</v>
          </cell>
          <cell r="F32" t="str">
            <v>Ecommerce CIB - Automatizar Matricula Venta - CRM, Socrates, Spring, etc</v>
          </cell>
          <cell r="G32" t="e">
            <v>#VALUE!</v>
          </cell>
          <cell r="H32" t="str">
            <v>CIB</v>
          </cell>
          <cell r="I32" t="str">
            <v>Humberto Marota - Tecnologías y transformación digital</v>
          </cell>
          <cell r="J32" t="str">
            <v>Alejandra Begazo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Mayor a S/500,000.00</v>
          </cell>
          <cell r="Y32" t="str">
            <v>Eficiencia operativa</v>
          </cell>
          <cell r="Z32" t="e">
            <v>#VALUE!</v>
          </cell>
          <cell r="AA32">
            <v>2.9</v>
          </cell>
        </row>
        <row r="33">
          <cell r="A33">
            <v>55</v>
          </cell>
          <cell r="B33">
            <v>46071.365277777775</v>
          </cell>
          <cell r="C33">
            <v>46071.393750000003</v>
          </cell>
          <cell r="D33" t="str">
            <v>juan.nazario@upc.pe</v>
          </cell>
          <cell r="E33" t="str">
            <v>Juan Francisco Nazario Vargas</v>
          </cell>
          <cell r="F33" t="str">
            <v>Visualizar los Resultados Basados en Competencias en el dashboard para el sistema de Assessment</v>
          </cell>
          <cell r="G33" t="e">
            <v>#VALUE!</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e">
            <v>#VALUE!</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e">
            <v>#VALUE!</v>
          </cell>
          <cell r="AA33">
            <v>0.95000000000000007</v>
          </cell>
        </row>
        <row r="34">
          <cell r="A34">
            <v>56</v>
          </cell>
          <cell r="B34">
            <v>46071.782638888886</v>
          </cell>
          <cell r="C34">
            <v>46071.78402777778</v>
          </cell>
          <cell r="D34" t="str">
            <v>juan.nazario@upc.pe</v>
          </cell>
          <cell r="E34" t="str">
            <v>Juan Francisco Nazario Vargas</v>
          </cell>
          <cell r="F34" t="str">
            <v>Sincronización de notas del aula virtual con el sistema académico</v>
          </cell>
          <cell r="G34" t="e">
            <v>#VALUE!</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e">
            <v>#VALUE!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e">
            <v>#VALUE!</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e">
            <v>#VALUE!</v>
          </cell>
          <cell r="S35"/>
          <cell r="T35" t="str">
            <v>Onboarding y seguimiento intraciclo.</v>
          </cell>
          <cell r="U35"/>
          <cell r="V35" t="str">
            <v>Excelencia Operativa</v>
          </cell>
          <cell r="W35" t="str">
            <v>No</v>
          </cell>
          <cell r="X35"/>
          <cell r="Y35" t="str">
            <v>Mejorar la satisfacción de estudiantes con el proceso de matrícula y onboarding.</v>
          </cell>
          <cell r="Z35" t="e">
            <v>#VALUE!</v>
          </cell>
          <cell r="AA35">
            <v>0.30000000000000004</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e">
            <v>#VALUE!</v>
          </cell>
          <cell r="S36"/>
          <cell r="T36" t="str">
            <v>Asignación de descuentos</v>
          </cell>
          <cell r="U36"/>
          <cell r="V36" t="str">
            <v>Excelencia Operativa</v>
          </cell>
          <cell r="W36" t="str">
            <v>No</v>
          </cell>
          <cell r="X36"/>
          <cell r="Y36" t="str">
            <v>Buen funcionamiento del proceso de solicitud de descuentos.</v>
          </cell>
          <cell r="Z36" t="e">
            <v>#VALUE!</v>
          </cell>
          <cell r="AA36">
            <v>0.30000000000000004</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e">
            <v>#VALUE!</v>
          </cell>
          <cell r="H37" t="str">
            <v>CORPORATIVO</v>
          </cell>
          <cell r="I37" t="str">
            <v>Donoban Meza - Director Corp IT Security</v>
          </cell>
          <cell r="J37" t="str">
            <v xml:space="preserve">Carlos Sánchez Rubio </v>
          </cell>
          <cell r="L37" t="str">
            <v>Ninguno</v>
          </cell>
          <cell r="M37">
            <v>46203</v>
          </cell>
          <cell r="N37" t="str">
            <v>No</v>
          </cell>
          <cell r="O37"/>
          <cell r="Q37" t="str">
            <v>Seguridad de la información</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e">
            <v>#VALUE!</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e">
            <v>#VALUE!</v>
          </cell>
          <cell r="H38" t="str">
            <v>CORPORATIVO</v>
          </cell>
          <cell r="I38" t="str">
            <v>Donoban Meza - Director Corp IT Security</v>
          </cell>
          <cell r="J38" t="str">
            <v xml:space="preserve">Carlos Sánchez Rubio </v>
          </cell>
          <cell r="L38" t="str">
            <v>Ninguno</v>
          </cell>
          <cell r="M38">
            <v>46203</v>
          </cell>
          <cell r="N38" t="str">
            <v>No</v>
          </cell>
          <cell r="O38"/>
          <cell r="Q38" t="str">
            <v>Seguridad de la información</v>
          </cell>
          <cell r="R38" t="e">
            <v>#VALUE!</v>
          </cell>
          <cell r="T38" t="str">
            <v>No Aplica</v>
          </cell>
          <cell r="V38" t="str">
            <v>Excelencia Operativa</v>
          </cell>
          <cell r="W38" t="str">
            <v>No</v>
          </cell>
          <cell r="Y38" t="e">
            <v>#VALUE!</v>
          </cell>
          <cell r="Z38" t="e">
            <v>#VALUE!</v>
          </cell>
          <cell r="AA38">
            <v>1.2</v>
          </cell>
        </row>
        <row r="39">
          <cell r="A39">
            <v>61</v>
          </cell>
          <cell r="B39">
            <v>46083.706215277802</v>
          </cell>
          <cell r="C39">
            <v>46083.709166666697</v>
          </cell>
          <cell r="D39" t="str">
            <v>carlos.sanchez@laureate.pe</v>
          </cell>
          <cell r="E39" t="str">
            <v>Carlos Sanchez Rubio</v>
          </cell>
          <cell r="F39" t="str">
            <v>API Pentesting</v>
          </cell>
          <cell r="G39" t="e">
            <v>#VALUE!</v>
          </cell>
          <cell r="H39" t="str">
            <v>CORPORATIVO</v>
          </cell>
          <cell r="I39" t="str">
            <v>Donoban Meza - Director Corp IT Security</v>
          </cell>
          <cell r="J39" t="str">
            <v xml:space="preserve">Carlos Sánchez Rubio </v>
          </cell>
          <cell r="L39" t="str">
            <v>Ninguno</v>
          </cell>
          <cell r="M39">
            <v>46295</v>
          </cell>
          <cell r="N39" t="str">
            <v>No</v>
          </cell>
          <cell r="O39"/>
          <cell r="Q39" t="str">
            <v>Seguridad de la información</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e">
            <v>#VALUE!</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CORPORATIVO</v>
          </cell>
          <cell r="I40" t="str">
            <v>Donoban Meza - Director Corp IT Security</v>
          </cell>
          <cell r="J40" t="str">
            <v xml:space="preserve">Carlos Sánchez Rubio </v>
          </cell>
          <cell r="L40" t="str">
            <v>Ninguno</v>
          </cell>
          <cell r="M40">
            <v>46326</v>
          </cell>
          <cell r="N40" t="str">
            <v>No</v>
          </cell>
          <cell r="O40"/>
          <cell r="Q40" t="str">
            <v>Seguridad de la información</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e">
            <v>#VALUE!</v>
          </cell>
          <cell r="AA40">
            <v>1.3499999999999999</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e">
            <v>#VALUE!</v>
          </cell>
          <cell r="H41" t="str">
            <v>CORPORATIVO</v>
          </cell>
          <cell r="I41" t="str">
            <v>Donoban Meza - Director Corp IT Security</v>
          </cell>
          <cell r="J41" t="str">
            <v xml:space="preserve">Carlos Sánchez Rubio </v>
          </cell>
          <cell r="L41" t="str">
            <v>Ninguno</v>
          </cell>
          <cell r="M41">
            <v>46356</v>
          </cell>
          <cell r="N41" t="str">
            <v>No</v>
          </cell>
          <cell r="O41"/>
          <cell r="Q41" t="str">
            <v>Seguridad de la información</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e">
            <v>#VALUE!</v>
          </cell>
          <cell r="AA41">
            <v>1.3499999999999999</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CORPORATIVO</v>
          </cell>
          <cell r="I42" t="str">
            <v>Donoban Meza - Director Corp IT Security</v>
          </cell>
          <cell r="J42" t="str">
            <v xml:space="preserve">Carlos Sánchez Rubio </v>
          </cell>
          <cell r="L42" t="str">
            <v>Ninguno</v>
          </cell>
          <cell r="M42">
            <v>46295</v>
          </cell>
          <cell r="N42" t="str">
            <v>No</v>
          </cell>
          <cell r="O42"/>
          <cell r="Q42" t="str">
            <v>Seguridad de la información</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e">
            <v>#VALUE!</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Marota - Tecnologías y transformación digital</v>
          </cell>
          <cell r="J43" t="str">
            <v>Juan Huapata</v>
          </cell>
          <cell r="L43" t="str">
            <v>Ángela Lucano</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V43" t="str">
            <v>Excelencia operativa</v>
          </cell>
          <cell r="W43" t="str">
            <v>No</v>
          </cell>
          <cell r="Y43" t="str">
            <v>Las mejoras  como seguimiento de asistencia docente, recuperación de clases y  contratación de docente que cumplan el horario establecido y a la una organización correcta para su pago de planilla</v>
          </cell>
          <cell r="Z43"/>
          <cell r="AA43">
            <v>0.30000000000000004</v>
          </cell>
        </row>
        <row r="44">
          <cell r="A44">
            <v>66</v>
          </cell>
          <cell r="B44">
            <v>46083.734027777798</v>
          </cell>
          <cell r="C44">
            <v>46083.756967592599</v>
          </cell>
          <cell r="D44" t="str">
            <v>eduardo.paul@cibertec.pe</v>
          </cell>
          <cell r="E44" t="str">
            <v>Eduardo Paul Aguilar</v>
          </cell>
          <cell r="F44" t="str">
            <v>Genesys – Implementación de Timestamps</v>
          </cell>
          <cell r="G44" t="e">
            <v>#VALUE!</v>
          </cell>
          <cell r="H44" t="str">
            <v>LAUREATE</v>
          </cell>
          <cell r="I44" t="str">
            <v>Ivan Olivares - VP Marketing y Comercial</v>
          </cell>
          <cell r="J44" t="str">
            <v>Pedro Guibar</v>
          </cell>
          <cell r="L44" t="str">
            <v>Jose Paredes</v>
          </cell>
          <cell r="M44">
            <v>46098</v>
          </cell>
          <cell r="N44" t="str">
            <v>No</v>
          </cell>
          <cell r="O44"/>
          <cell r="Q44" t="str">
            <v>Otro</v>
          </cell>
          <cell r="R44" t="e">
            <v>#VALUE!</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e">
            <v>#VALUE!</v>
          </cell>
          <cell r="Z44" t="e">
            <v>#VALUE!</v>
          </cell>
          <cell r="AA44">
            <v>0.60000000000000009</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Paulalima</v>
          </cell>
          <cell r="L45" t="str">
            <v>Frank Palomino</v>
          </cell>
          <cell r="M45">
            <v>46143</v>
          </cell>
          <cell r="N45" t="str">
            <v>No</v>
          </cell>
          <cell r="O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e">
            <v>#VALUE!</v>
          </cell>
          <cell r="AA45">
            <v>0.30000000000000004</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e">
            <v>#VALUE!</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e">
            <v>#VALUE!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e">
            <v>#VALUE!</v>
          </cell>
          <cell r="H47" t="str">
            <v>UPN</v>
          </cell>
          <cell r="I47" t="str">
            <v>Humberto Marota - Tecnologías y transformación digital</v>
          </cell>
          <cell r="J47" t="str">
            <v xml:space="preserve">Alejandro Tello Llosa </v>
          </cell>
          <cell r="K47"/>
          <cell r="L47" t="str">
            <v>Jose Paredes</v>
          </cell>
          <cell r="M47">
            <v>46142</v>
          </cell>
          <cell r="N47" t="str">
            <v>Si</v>
          </cell>
          <cell r="O47" t="str">
            <v>Digital &amp; IA</v>
          </cell>
          <cell r="P47">
            <v>75411</v>
          </cell>
          <cell r="Q47" t="str">
            <v>Otro</v>
          </cell>
          <cell r="R47" t="e">
            <v>#VALUE!</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e">
            <v>#VALUE!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e">
            <v>#VALUE!</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e">
            <v>#VALUE!</v>
          </cell>
          <cell r="AA48">
            <v>1.5</v>
          </cell>
        </row>
        <row r="49">
          <cell r="A49">
            <v>71</v>
          </cell>
          <cell r="B49">
            <v>46093.733761574098</v>
          </cell>
          <cell r="C49">
            <v>46093.827060185198</v>
          </cell>
          <cell r="D49" t="str">
            <v>ronald.benites@laureate.pe</v>
          </cell>
          <cell r="E49" t="str">
            <v>Ronald Benites Vilchez</v>
          </cell>
          <cell r="F49" t="str">
            <v>Automatización end-to-end de la creación de cuentas del AD y cálculo de la denominación del correo institucional mediante HORACIUS en UPN, UPC y CIB. incluyendo la construcción de APIs en HCM.</v>
          </cell>
          <cell r="G49" t="e">
            <v>#VALUE!</v>
          </cell>
          <cell r="H49" t="str">
            <v>LAUREATE</v>
          </cell>
          <cell r="I49" t="str">
            <v>Humberto Marota - Tecnologías y transformación digital</v>
          </cell>
          <cell r="J49" t="str">
            <v xml:space="preserve">Henry Longa </v>
          </cell>
          <cell r="K49"/>
          <cell r="L49" t="str">
            <v>Ninguno</v>
          </cell>
          <cell r="M49">
            <v>46142</v>
          </cell>
          <cell r="N49" t="str">
            <v>No</v>
          </cell>
          <cell r="O49"/>
          <cell r="P49"/>
          <cell r="Q49" t="str">
            <v>Otro</v>
          </cell>
          <cell r="R49" t="e">
            <v>#VALUE!</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e">
            <v>#VALUE!</v>
          </cell>
          <cell r="Z49" t="e">
            <v>#VALUE!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e">
            <v>#VALUE!</v>
          </cell>
          <cell r="H50" t="str">
            <v>UPC</v>
          </cell>
          <cell r="I50" t="str">
            <v>Milagros Morgan - Rectorado UPC</v>
          </cell>
          <cell r="J50" t="str">
            <v xml:space="preserve">Alice Rodrigues Hoyer </v>
          </cell>
          <cell r="K50"/>
          <cell r="L50" t="str">
            <v>Ángela Lucano</v>
          </cell>
          <cell r="M50">
            <v>46142</v>
          </cell>
          <cell r="N50" t="str">
            <v>No</v>
          </cell>
          <cell r="O50"/>
          <cell r="P50"/>
          <cell r="Q50" t="str">
            <v>Otro</v>
          </cell>
          <cell r="R50" t="e">
            <v>#VALUE!</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e">
            <v>#VALUE!</v>
          </cell>
          <cell r="Z50" t="e">
            <v>#VALUE!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e">
            <v>#VALUE!</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e">
            <v>#VALUE!</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e">
            <v>#VALUE!</v>
          </cell>
          <cell r="Z51" t="e">
            <v>#VALUE!</v>
          </cell>
          <cell r="AA51">
            <v>0.30000000000000004</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e">
            <v>#VALUE!</v>
          </cell>
          <cell r="H52" t="str">
            <v>UPC</v>
          </cell>
          <cell r="I52" t="str">
            <v>Humberto Marota - Tecnologías y transformación digital</v>
          </cell>
          <cell r="J52" t="str">
            <v xml:space="preserve">Henry Logan </v>
          </cell>
          <cell r="K52"/>
          <cell r="L52" t="str">
            <v xml:space="preserve">Luis Almeyda </v>
          </cell>
          <cell r="M52">
            <v>46113</v>
          </cell>
          <cell r="N52" t="str">
            <v>No</v>
          </cell>
          <cell r="O52"/>
          <cell r="P52"/>
          <cell r="Q52" t="str">
            <v>Otro</v>
          </cell>
          <cell r="R52" t="e">
            <v>#VALUE!</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e">
            <v>#VALUE!</v>
          </cell>
          <cell r="Z52" t="e">
            <v>#VALUE!</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e">
            <v>#VALUE!</v>
          </cell>
          <cell r="H53" t="str">
            <v>UPC</v>
          </cell>
          <cell r="I53" t="str">
            <v>Humberto Marota - Tecnologías y transformación digital</v>
          </cell>
          <cell r="J53" t="str">
            <v xml:space="preserve">Henry Logan </v>
          </cell>
          <cell r="K53"/>
          <cell r="L53" t="str">
            <v xml:space="preserve">Luis Almeyda </v>
          </cell>
          <cell r="M53">
            <v>46113</v>
          </cell>
          <cell r="N53" t="str">
            <v>No</v>
          </cell>
          <cell r="O53"/>
          <cell r="P53"/>
          <cell r="Q53" t="str">
            <v>Otro</v>
          </cell>
          <cell r="R53" t="e">
            <v>#VALUE!</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e">
            <v>#VALUE!</v>
          </cell>
          <cell r="Z53" t="e">
            <v>#VALUE!</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e">
            <v>#VALUE!</v>
          </cell>
          <cell r="H54" t="str">
            <v>UPC</v>
          </cell>
          <cell r="I54" t="str">
            <v>Milagros Morgan - Rectorado UPC</v>
          </cell>
          <cell r="J54" t="str">
            <v>Briam Ledesma</v>
          </cell>
          <cell r="K54"/>
          <cell r="L54" t="str">
            <v>Ángela Lucano</v>
          </cell>
          <cell r="M54">
            <v>46238</v>
          </cell>
          <cell r="N54" t="str">
            <v>No</v>
          </cell>
          <cell r="O54"/>
          <cell r="P54"/>
          <cell r="Q54" t="str">
            <v>Otro</v>
          </cell>
          <cell r="R54" t="e">
            <v>#VALUE!</v>
          </cell>
          <cell r="S54"/>
          <cell r="T54" t="str">
            <v>Matrícula de alumnos del Centro de Idiomas para programas de Pregrado y EPE.</v>
          </cell>
          <cell r="U54" t="str">
            <v>Alumnos</v>
          </cell>
          <cell r="V54" t="str">
            <v>Excelencia Operativa</v>
          </cell>
          <cell r="W54" t="str">
            <v>No</v>
          </cell>
          <cell r="X54" t="str">
            <v>No cuantificado o S/0</v>
          </cell>
          <cell r="Y54" t="e">
            <v>#VALUE!</v>
          </cell>
          <cell r="Z54" t="e">
            <v>#VALUE!</v>
          </cell>
          <cell r="AA54">
            <v>1.2000000000000002</v>
          </cell>
        </row>
        <row r="55">
          <cell r="A55">
            <v>77</v>
          </cell>
          <cell r="B55">
            <v>46099.589618055601</v>
          </cell>
          <cell r="C55">
            <v>46099.6251388889</v>
          </cell>
          <cell r="D55" t="str">
            <v>amador.pfuro@laureate.pe</v>
          </cell>
          <cell r="E55" t="str">
            <v>Amador Pfuro Tapia</v>
          </cell>
          <cell r="F55" t="str">
            <v>Mejora en la Plataforma de Sostenibilidad</v>
          </cell>
          <cell r="G55" t="e">
            <v>#VALUE!</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e">
            <v>#VALUE!</v>
          </cell>
          <cell r="S55"/>
          <cell r="T55" t="e">
            <v>#VALUE!</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e">
            <v>#VALUE!</v>
          </cell>
          <cell r="AA55">
            <v>0.45000000000000007</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e">
            <v>#VALUE!</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e">
            <v>#VALUE!</v>
          </cell>
          <cell r="S56"/>
          <cell r="T56" t="e">
            <v>#VALUE!</v>
          </cell>
          <cell r="U56" t="str">
            <v>Administrativos</v>
          </cell>
          <cell r="V56" t="str">
            <v>Excelencia operativa</v>
          </cell>
          <cell r="W56" t="str">
            <v>Si</v>
          </cell>
          <cell r="X56" t="str">
            <v>Menor a S/100,000.00</v>
          </cell>
          <cell r="Y56" t="e">
            <v>#VALUE!</v>
          </cell>
          <cell r="Z56" t="e">
            <v>#VALUE!</v>
          </cell>
          <cell r="AA56">
            <v>0.75000000000000011</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e">
            <v>#VALUE!</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e">
            <v>#VALUE!</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e">
            <v>#VALUE!</v>
          </cell>
          <cell r="AA57">
            <v>0.30000000000000004</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e">
            <v>#VALUE!</v>
          </cell>
          <cell r="S58"/>
          <cell r="T58" t="str">
            <v>Proceso de Gestión de quejas y reclamos de estudiantes.</v>
          </cell>
          <cell r="U58"/>
          <cell r="V58" t="str">
            <v>Excelencia Operativa</v>
          </cell>
          <cell r="W58" t="str">
            <v>No</v>
          </cell>
          <cell r="X58"/>
          <cell r="Y58" t="e">
            <v>#VALUE!</v>
          </cell>
          <cell r="Z58" t="e">
            <v>#VALUE!</v>
          </cell>
          <cell r="AA58">
            <v>0.30000000000000004</v>
          </cell>
        </row>
        <row r="59">
          <cell r="A59">
            <v>81</v>
          </cell>
          <cell r="B59">
            <v>46105.575358796297</v>
          </cell>
          <cell r="C59">
            <v>46105.606215277803</v>
          </cell>
          <cell r="D59" t="str">
            <v>carla.arias@upn.edu.pe</v>
          </cell>
          <cell r="E59" t="str">
            <v>Carla Arias Schreiber Ulloa</v>
          </cell>
          <cell r="F59" t="str">
            <v>Automatización de Programación UPN</v>
          </cell>
          <cell r="G59" t="e">
            <v>#VALUE!</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e">
            <v>#VALUE!</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e">
            <v>#VALUE!</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e">
            <v>#VALUE!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e">
            <v>#VALUE!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e">
            <v>#VALUE!</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e">
            <v>#VALUE!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e">
            <v>#VALUE!</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0.30000000000000004</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Normativa</v>
          </cell>
          <cell r="R64" t="e">
            <v>#VALUE!</v>
          </cell>
          <cell r="S64"/>
          <cell r="T64" t="str">
            <v>Proceso de egreso estudiantes</v>
          </cell>
          <cell r="U64"/>
          <cell r="V64" t="str">
            <v>Excelencia operativa</v>
          </cell>
          <cell r="W64" t="str">
            <v>No</v>
          </cell>
          <cell r="X64"/>
          <cell r="Y64" t="e">
            <v>#VALUE!</v>
          </cell>
          <cell r="Z64" t="e">
            <v>#VALUE!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e">
            <v>#VALUE!</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e">
            <v>#VALUE!</v>
          </cell>
          <cell r="S65"/>
          <cell r="T65" t="str">
            <v>Proceso de matricula de la EPG, habilitación en blackboard, habilitación en Portal docente.</v>
          </cell>
          <cell r="U65"/>
          <cell r="V65" t="str">
            <v>Excelencia Operativa;Calidad Académica;Innovación y Crecimiento</v>
          </cell>
          <cell r="W65" t="str">
            <v>No</v>
          </cell>
          <cell r="X65"/>
          <cell r="Y65" t="e">
            <v>#VALUE!</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e">
            <v>#VALUE!</v>
          </cell>
          <cell r="H66" t="str">
            <v>UPC</v>
          </cell>
          <cell r="I66" t="str">
            <v>Milagros Morgan - Rectorado UPC</v>
          </cell>
          <cell r="J66" t="str">
            <v xml:space="preserve">Maria Cifuentes Ramseyer </v>
          </cell>
          <cell r="K66"/>
          <cell r="L66" t="str">
            <v>Ángela Lucano</v>
          </cell>
          <cell r="M66">
            <v>46129</v>
          </cell>
          <cell r="N66" t="str">
            <v>No</v>
          </cell>
          <cell r="O66"/>
          <cell r="P66"/>
          <cell r="Q66" t="str">
            <v>Otro</v>
          </cell>
          <cell r="R66" t="e">
            <v>#VALUE!</v>
          </cell>
          <cell r="S66"/>
          <cell r="T66" t="e">
            <v>#VALUE!</v>
          </cell>
          <cell r="U66"/>
          <cell r="V66" t="str">
            <v>Excelencia Operativa</v>
          </cell>
          <cell r="W66" t="str">
            <v>No</v>
          </cell>
          <cell r="X66"/>
          <cell r="Y66" t="e">
            <v>#VALUE!</v>
          </cell>
          <cell r="Z66" t="e">
            <v>#VALUE!</v>
          </cell>
          <cell r="AA66">
            <v>0.30000000000000004</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e">
            <v>#VALUE!</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e">
            <v>#VALUE!</v>
          </cell>
          <cell r="S67"/>
          <cell r="T67" t="str">
            <v>Proceso de matrícula</v>
          </cell>
          <cell r="U67"/>
          <cell r="V67" t="str">
            <v>Excelencia Operativa</v>
          </cell>
          <cell r="W67" t="str">
            <v>No</v>
          </cell>
          <cell r="X67"/>
          <cell r="Y67" t="str">
            <v>Mejorar la experiencia del estudiante durante el proceso de matrícula</v>
          </cell>
          <cell r="Z67" t="e">
            <v>#VALUE!</v>
          </cell>
          <cell r="AA67">
            <v>0.30000000000000004</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e">
            <v>#VALUE!</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e">
            <v>#VALUE!</v>
          </cell>
          <cell r="S68"/>
          <cell r="T68" t="e">
            <v>#VALUE!</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e">
            <v>#VALUE!</v>
          </cell>
          <cell r="AA68">
            <v>0.45000000000000007</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e">
            <v>#VALUE!</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e">
            <v>#VALUE!</v>
          </cell>
          <cell r="S69"/>
          <cell r="T69" t="e">
            <v>#VALUE!</v>
          </cell>
          <cell r="U69" t="str">
            <v>Alumnos</v>
          </cell>
          <cell r="V69" t="str">
            <v>Excelencia operativa</v>
          </cell>
          <cell r="W69" t="str">
            <v>Si</v>
          </cell>
          <cell r="X69" t="str">
            <v>No cuantificado o S/0</v>
          </cell>
          <cell r="Y69" t="e">
            <v>#VALUE!</v>
          </cell>
          <cell r="Z69" t="e">
            <v>#VALUE!</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e">
            <v>#VALUE!</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e">
            <v>#VALUE!</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e">
            <v>#VALUE!</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e">
            <v>#VALUE!</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0.45000000000000007</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e">
            <v>#VALUE!</v>
          </cell>
          <cell r="H72" t="str">
            <v>UPN</v>
          </cell>
          <cell r="I72" t="str">
            <v>Martín Santana - Rectorado UPN</v>
          </cell>
          <cell r="J72" t="str">
            <v xml:space="preserve">Denilson Contreras </v>
          </cell>
          <cell r="K72"/>
          <cell r="L72" t="str">
            <v>Ángela Lucano</v>
          </cell>
          <cell r="M72">
            <v>46203</v>
          </cell>
          <cell r="N72" t="str">
            <v>No</v>
          </cell>
          <cell r="O72"/>
          <cell r="P72"/>
          <cell r="Q72" t="str">
            <v>Otro</v>
          </cell>
          <cell r="R72" t="e">
            <v>#VALUE!</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e">
            <v>#VALUE!</v>
          </cell>
          <cell r="AA72">
            <v>0.75000000000000011</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Hugo Vega</v>
          </cell>
          <cell r="K73"/>
          <cell r="L73" t="str">
            <v>Jose Paredes</v>
          </cell>
          <cell r="M73">
            <v>46233</v>
          </cell>
          <cell r="N73" t="str">
            <v>Si</v>
          </cell>
          <cell r="O73" t="str">
            <v>Digital &amp; IA</v>
          </cell>
          <cell r="P73">
            <v>73951</v>
          </cell>
          <cell r="Q73" t="str">
            <v>Otro</v>
          </cell>
          <cell r="R73" t="e">
            <v>#VALUE!</v>
          </cell>
          <cell r="S73"/>
          <cell r="T73" t="str">
            <v>Comercial, Finanzas y Académico.</v>
          </cell>
          <cell r="U73" t="str">
            <v>Administrativos</v>
          </cell>
          <cell r="V73" t="str">
            <v>Crecimiento escalable</v>
          </cell>
          <cell r="W73" t="str">
            <v>No</v>
          </cell>
          <cell r="X73" t="str">
            <v>Mayor a S/500,000.00</v>
          </cell>
          <cell r="Y73" t="str">
            <v xml:space="preserve">Podríamos disponer de un nuevo canal de ventas que ayude a alcanzar la meta comercial, impulsar ventas y aumentar el alcance de la marca UPN a través de estos cursos.
</v>
          </cell>
          <cell r="Z73" t="e">
            <v>#VALUE!</v>
          </cell>
          <cell r="AA73">
            <v>2.9</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Sebastian Lindley - VP Transformación</v>
          </cell>
          <cell r="J74" t="str">
            <v xml:space="preserve">Esther Capcha </v>
          </cell>
          <cell r="K74"/>
          <cell r="L74" t="str">
            <v>Carla Arias-Schreiber</v>
          </cell>
          <cell r="M74">
            <v>46387</v>
          </cell>
          <cell r="N74" t="str">
            <v>Si</v>
          </cell>
          <cell r="O74" t="str">
            <v>G&amp;A</v>
          </cell>
          <cell r="P74">
            <v>77431</v>
          </cell>
          <cell r="Q74" t="str">
            <v>Otro</v>
          </cell>
          <cell r="R74" t="e">
            <v>#VALUE!</v>
          </cell>
          <cell r="S74"/>
          <cell r="T74" t="str">
            <v>Proceso de monitoreo de avance académico del docente</v>
          </cell>
          <cell r="U74" t="str">
            <v>Docentes</v>
          </cell>
          <cell r="V74" t="str">
            <v>Excelencia académica</v>
          </cell>
          <cell r="W74" t="str">
            <v>No</v>
          </cell>
          <cell r="X74" t="str">
            <v>Mayor a S/500,000.00</v>
          </cell>
          <cell r="Y74" t="str">
            <v>Eliminación de actividades manuales
Incremento del NPS docente
Cumplimiento en PO del equipo académico</v>
          </cell>
          <cell r="Z74"/>
          <cell r="AA74">
            <v>3.35</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Sebastian Lindley - VP Transformación</v>
          </cell>
          <cell r="J75" t="str">
            <v xml:space="preserve">Esther Capcha </v>
          </cell>
          <cell r="K75"/>
          <cell r="L75" t="str">
            <v>Carla Arias-Schreiber</v>
          </cell>
          <cell r="M75">
            <v>46387</v>
          </cell>
          <cell r="N75" t="str">
            <v>Si</v>
          </cell>
          <cell r="O75" t="str">
            <v>G&amp;A</v>
          </cell>
          <cell r="P75">
            <v>77431</v>
          </cell>
          <cell r="Q75" t="str">
            <v>Otro</v>
          </cell>
          <cell r="R75" t="e">
            <v>#VALUE!</v>
          </cell>
          <cell r="S75"/>
          <cell r="T75" t="str">
            <v>Elaboración de Planilla Docente.</v>
          </cell>
          <cell r="U75" t="str">
            <v>Docentes</v>
          </cell>
          <cell r="V75" t="str">
            <v>Excelencia operativa</v>
          </cell>
          <cell r="W75" t="str">
            <v>No</v>
          </cell>
          <cell r="X75" t="str">
            <v>Mayor a S/500,000.00</v>
          </cell>
          <cell r="Y75" t="str">
            <v xml:space="preserve">Eliminación del retrabajo por errores manuales
Incremento en NPS del docente
Exactitud en el Cálculo de Novedades
</v>
          </cell>
          <cell r="Z75"/>
          <cell r="AA75">
            <v>3.15</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Sebastian Lindley - VP Transformación</v>
          </cell>
          <cell r="J76" t="str">
            <v xml:space="preserve">Esther Capcha </v>
          </cell>
          <cell r="K76"/>
          <cell r="L76" t="str">
            <v>Carla Arias-Schreiber</v>
          </cell>
          <cell r="M76">
            <v>46387</v>
          </cell>
          <cell r="N76" t="str">
            <v>Si</v>
          </cell>
          <cell r="O76" t="str">
            <v>G&amp;A</v>
          </cell>
          <cell r="P76">
            <v>77431</v>
          </cell>
          <cell r="Q76" t="str">
            <v>Otro</v>
          </cell>
          <cell r="R76" t="e">
            <v>#VALUE!</v>
          </cell>
          <cell r="S76"/>
          <cell r="T76" t="str">
            <v>Proceso de gestión de consultas de docentes</v>
          </cell>
          <cell r="U76" t="str">
            <v>Docentes</v>
          </cell>
          <cell r="V76" t="str">
            <v>Excelencia operativa</v>
          </cell>
          <cell r="W76" t="str">
            <v>No</v>
          </cell>
          <cell r="X76" t="str">
            <v>Mayor a S/500,000.00</v>
          </cell>
          <cell r="Y76" t="str">
            <v>Eliminación de actividades manuales
Mejora en experiencia del Coordinador / Docente TC.
Impacto positivo en NPS del estudiante (indirecto)</v>
          </cell>
          <cell r="Z76"/>
          <cell r="AA76">
            <v>3.15</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e">
            <v>#VALUE!</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Normativa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e">
            <v>#VALUE!</v>
          </cell>
          <cell r="Z77" t="e">
            <v>#VALUE!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e">
            <v>#VALUE!</v>
          </cell>
          <cell r="H78" t="str">
            <v>LAUREATE</v>
          </cell>
          <cell r="I78" t="str">
            <v>Claudia Cabrera - VP Comunicaciones</v>
          </cell>
          <cell r="J78" t="str">
            <v xml:space="preserve">Rubi Fox </v>
          </cell>
          <cell r="K78"/>
          <cell r="L78" t="str">
            <v>Ángela Lucano</v>
          </cell>
          <cell r="M78">
            <v>46152</v>
          </cell>
          <cell r="N78" t="str">
            <v>No</v>
          </cell>
          <cell r="O78"/>
          <cell r="P78"/>
          <cell r="Q78" t="str">
            <v>Otro</v>
          </cell>
          <cell r="R78" t="e">
            <v>#VALUE!</v>
          </cell>
          <cell r="S78"/>
          <cell r="T78" t="e">
            <v>#VALUE!</v>
          </cell>
          <cell r="U78" t="str">
            <v>Administrativos</v>
          </cell>
          <cell r="V78" t="str">
            <v>Excelencia operativa</v>
          </cell>
          <cell r="W78" t="str">
            <v>No</v>
          </cell>
          <cell r="X78" t="str">
            <v>No cuantificado o S/0</v>
          </cell>
          <cell r="Y78" t="e">
            <v>#VALUE!</v>
          </cell>
          <cell r="Z78" t="e">
            <v>#VALUE!</v>
          </cell>
          <cell r="AA78">
            <v>0.45000000000000007</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Sebastian Lindley - VP Transformación</v>
          </cell>
          <cell r="J79" t="str">
            <v xml:space="preserve">Esther Capcha </v>
          </cell>
          <cell r="K79"/>
          <cell r="L79" t="str">
            <v>Carla Arias-Schreiber</v>
          </cell>
          <cell r="M79">
            <v>46387</v>
          </cell>
          <cell r="N79" t="str">
            <v>Si</v>
          </cell>
          <cell r="O79" t="str">
            <v>G&amp;A</v>
          </cell>
          <cell r="P79">
            <v>77431</v>
          </cell>
          <cell r="Q79" t="str">
            <v>Otro</v>
          </cell>
          <cell r="R79" t="e">
            <v>#VALUE!</v>
          </cell>
          <cell r="S79"/>
          <cell r="T79" t="str">
            <v>Proceso de Reclutamiento y selección docente</v>
          </cell>
          <cell r="U79" t="str">
            <v>Alumnos</v>
          </cell>
          <cell r="V79" t="str">
            <v>Excelencia operativa</v>
          </cell>
          <cell r="W79" t="str">
            <v>No</v>
          </cell>
          <cell r="X79" t="str">
            <v>Mayor a S/500,000.00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3.3</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e">
            <v>#VALUE!</v>
          </cell>
          <cell r="H80" t="str">
            <v>UPC</v>
          </cell>
          <cell r="I80" t="str">
            <v>Milagros Morgan - Rectorado UPC</v>
          </cell>
          <cell r="J80" t="str">
            <v xml:space="preserve">Soledad Alfaro Jimenez </v>
          </cell>
          <cell r="K80"/>
          <cell r="L80" t="str">
            <v>Ángela Lucano</v>
          </cell>
          <cell r="M80">
            <v>46204</v>
          </cell>
          <cell r="N80" t="str">
            <v>No</v>
          </cell>
          <cell r="O80"/>
          <cell r="P80"/>
          <cell r="Q80" t="str">
            <v>Otro</v>
          </cell>
          <cell r="R80" t="e">
            <v>#VALUE!</v>
          </cell>
          <cell r="S80"/>
          <cell r="T80" t="str">
            <v>Onboarding, Matrícula, Retención, Acompañamiento</v>
          </cell>
          <cell r="U80" t="str">
            <v>Administrativos</v>
          </cell>
          <cell r="V80" t="str">
            <v>Excelencia operativa</v>
          </cell>
          <cell r="W80" t="str">
            <v>No</v>
          </cell>
          <cell r="X80" t="str">
            <v>Menor a S/100,000.00</v>
          </cell>
          <cell r="Y80" t="e">
            <v>#VALUE!</v>
          </cell>
          <cell r="Z80" t="e">
            <v>#VALUE!</v>
          </cell>
          <cell r="AA80">
            <v>0.75000000000000011</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e">
            <v>#VALUE!</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e">
            <v>#VALUE!</v>
          </cell>
          <cell r="H82" t="str">
            <v>LAUREATE</v>
          </cell>
          <cell r="I82" t="str">
            <v>Humberto Marota - Tecnologías y transformación digital</v>
          </cell>
          <cell r="J82" t="str">
            <v>Carlos Sánchez Rubio</v>
          </cell>
          <cell r="K82"/>
          <cell r="L82" t="str">
            <v>Gerson Vereau</v>
          </cell>
          <cell r="M82">
            <v>46132</v>
          </cell>
          <cell r="N82" t="str">
            <v>No</v>
          </cell>
          <cell r="O82"/>
          <cell r="P82"/>
          <cell r="Q82" t="str">
            <v>Seguridad de la información</v>
          </cell>
          <cell r="R82" t="e">
            <v>#VALUE!</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e">
            <v>#VALUE!</v>
          </cell>
          <cell r="Z82" t="e">
            <v>#VALUE!</v>
          </cell>
          <cell r="AA82">
            <v>1.3499999999999999</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e">
            <v>#VALUE!</v>
          </cell>
          <cell r="H83" t="str">
            <v>UPC</v>
          </cell>
          <cell r="I83" t="str">
            <v>Milagros Morgan - Rectorado UPC</v>
          </cell>
          <cell r="J83" t="str">
            <v xml:space="preserve">Roxana E. Pairazaman Andrade </v>
          </cell>
          <cell r="K83"/>
          <cell r="L83" t="str">
            <v>Ángela Lucano</v>
          </cell>
          <cell r="M83">
            <v>46142</v>
          </cell>
          <cell r="N83" t="str">
            <v>No</v>
          </cell>
          <cell r="O83"/>
          <cell r="P83"/>
          <cell r="Q83" t="str">
            <v>Otro</v>
          </cell>
          <cell r="R83" t="e">
            <v>#VALUE!</v>
          </cell>
          <cell r="S83"/>
          <cell r="T83" t="e">
            <v>#VALUE!</v>
          </cell>
          <cell r="U83" t="str">
            <v>Alumnos</v>
          </cell>
          <cell r="V83" t="str">
            <v>Excelencia académica</v>
          </cell>
          <cell r="W83" t="str">
            <v>Si</v>
          </cell>
          <cell r="X83" t="str">
            <v>No cuantificado o S/0</v>
          </cell>
          <cell r="Y83" t="e">
            <v>#VALUE!</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e">
            <v>#VALUE!</v>
          </cell>
          <cell r="Z84" t="e">
            <v>#VALUE!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e">
            <v>#VALUE!</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e">
            <v>#VALUE!</v>
          </cell>
          <cell r="Z86" t="e">
            <v>#VALUE!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e">
            <v>#VALUE!</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e">
            <v>#VALUE!</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e">
            <v>#VALUE!</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e">
            <v>#VALUE!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e">
            <v>#VALUE!</v>
          </cell>
          <cell r="AA89">
            <v>0.75000000000000011</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LAUREATE</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e">
            <v>#VALUE!</v>
          </cell>
          <cell r="AA90">
            <v>0.45000000000000007</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LAUREATE</v>
          </cell>
          <cell r="I91" t="str">
            <v>Ivan Olivares - VP Marketing y Comercial</v>
          </cell>
          <cell r="J91" t="str">
            <v>Gianfranco Espinoza</v>
          </cell>
          <cell r="K91"/>
          <cell r="L91" t="str">
            <v>Jose Paredes</v>
          </cell>
          <cell r="M91">
            <v>46172</v>
          </cell>
          <cell r="N91" t="str">
            <v>Si</v>
          </cell>
          <cell r="O91" t="str">
            <v>Revenue Growth</v>
          </cell>
          <cell r="P91">
            <v>77760</v>
          </cell>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2.15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 xml:space="preserve">Elian I. Chumbimune Yauri </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e">
            <v>#VALUE!</v>
          </cell>
          <cell r="Z92" t="e">
            <v>#VALUE!</v>
          </cell>
          <cell r="AA92">
            <v>0.45000000000000007</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Legal</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e">
            <v>#VALUE!</v>
          </cell>
          <cell r="AA94">
            <v>0.30000000000000004</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sfafag</v>
          </cell>
          <cell r="K95"/>
          <cell r="L95" t="str">
            <v>Carla Arias-Schreiber</v>
          </cell>
          <cell r="M95">
            <v>46172</v>
          </cell>
          <cell r="N95" t="str">
            <v>No</v>
          </cell>
          <cell r="O95"/>
          <cell r="P95"/>
          <cell r="Q95" t="str">
            <v>Otro</v>
          </cell>
          <cell r="R95" t="e">
            <v>#VALUE!</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e">
            <v>#VALUE!</v>
          </cell>
          <cell r="H96" t="str">
            <v>CIB</v>
          </cell>
          <cell r="I96" t="str">
            <v>Danilo Tauil - GM TecVoc</v>
          </cell>
          <cell r="J96" t="str">
            <v>Davi Paula Lima Goulart</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Mayor a S/500,000.00</v>
          </cell>
          <cell r="Y96" t="str">
            <v>REDUCCIÓN DE ERRORES, CENTRALIZACIÓN Y ESTANDARIZACIÓN, MAYOR EFICIENCIA Y AHORROS, RAPIDEZ, MENOS HEADCOUNT, ​MENOR FRICCIÓN PARA EL ESTUDIANTE</v>
          </cell>
          <cell r="Z96"/>
          <cell r="AA96">
            <v>3.5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e">
            <v>#VALUE!</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e">
            <v>#VALUE!</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e">
            <v>#VALUE!</v>
          </cell>
          <cell r="AA98">
            <v>0.30000000000000004</v>
          </cell>
        </row>
        <row r="99">
          <cell r="A99">
            <v>121</v>
          </cell>
          <cell r="B99">
            <v>46140.764629629601</v>
          </cell>
          <cell r="C99">
            <v>46140.901574074102</v>
          </cell>
          <cell r="D99" t="str">
            <v>javier.santiago@laureate.pe</v>
          </cell>
          <cell r="E99" t="str">
            <v>Javier Santiago Modesto</v>
          </cell>
          <cell r="F99" t="str">
            <v>Implementación de una Api Banner para consultar los asesores de alumnos cachimbo - Onboarding Portal del Estudiante UPN</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Legal</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e">
            <v>#VALUE!</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e">
            <v>#VALUE!</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e">
            <v>#VALUE!</v>
          </cell>
          <cell r="AA101">
            <v>0.30000000000000004</v>
          </cell>
        </row>
        <row r="102">
          <cell r="A102">
            <v>124</v>
          </cell>
          <cell r="B102">
            <v>46141.490138888897</v>
          </cell>
          <cell r="C102">
            <v>46141.504571759302</v>
          </cell>
          <cell r="D102" t="str">
            <v>gerson.vereau@laureate.pe</v>
          </cell>
          <cell r="E102" t="str">
            <v>Gerson Vereau Rosas</v>
          </cell>
          <cell r="F102" t="str">
            <v>Corrección del reporte de Spring UPC</v>
          </cell>
          <cell r="G102" t="e">
            <v>#VALUE!</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e">
            <v>#VALUE!</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e">
            <v>#VALUE!</v>
          </cell>
          <cell r="AA102">
            <v>0.30000000000000004</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e">
            <v>#VALUE!</v>
          </cell>
          <cell r="H103" t="str">
            <v>UPN</v>
          </cell>
          <cell r="I103" t="str">
            <v>Álvaro Valdez - VP Operaciones</v>
          </cell>
          <cell r="J103" t="str">
            <v xml:space="preserve">Sally Vilcapoma </v>
          </cell>
          <cell r="K103"/>
          <cell r="L103"/>
          <cell r="M103">
            <v>46158</v>
          </cell>
          <cell r="N103" t="str">
            <v>No</v>
          </cell>
          <cell r="O103"/>
          <cell r="P103"/>
          <cell r="Q103" t="str">
            <v>Otro</v>
          </cell>
          <cell r="R103" t="e">
            <v>#VALUE!</v>
          </cell>
          <cell r="S103"/>
          <cell r="T103" t="str">
            <v>Proceso de envío de constancias y certificados</v>
          </cell>
          <cell r="U103"/>
          <cell r="V103" t="str">
            <v>Excelencia operativa</v>
          </cell>
          <cell r="W103" t="str">
            <v>No</v>
          </cell>
          <cell r="X103"/>
          <cell r="Y103" t="e">
            <v>#VALUE!</v>
          </cell>
          <cell r="Z103"/>
          <cell r="AA103">
            <v>0.30000000000000004</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e">
            <v>#VALUE!</v>
          </cell>
          <cell r="H104" t="str">
            <v>UPN</v>
          </cell>
          <cell r="I104" t="str">
            <v>Humberto Marota - Tecnologías y transformación digital</v>
          </cell>
          <cell r="J104" t="str">
            <v>Franco Vera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0.30000000000000004</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e">
            <v>#VALUE!</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0.75000000000000011</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 xml:space="preserve">Yna Loussiana Pacheco </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e">
            <v>#VALUE!</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e">
            <v>#VALUE!</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e">
            <v>#VALUE!</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e">
            <v>#VALUE!</v>
          </cell>
          <cell r="AA107">
            <v>0.30000000000000004</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0.45000000000000007</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Legal</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46153.716261574074</v>
          </cell>
          <cell r="C110">
            <v>46153.721655092595</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e">
            <v>#VALUE!</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134</v>
          </cell>
          <cell r="B111">
            <v>46146.699976851902</v>
          </cell>
          <cell r="C111">
            <v>46146.714398148099</v>
          </cell>
          <cell r="D111" t="str">
            <v>jorge.santacruz@laureate.pe</v>
          </cell>
          <cell r="E111" t="str">
            <v>Jorge Santa Cruz Espinoza</v>
          </cell>
          <cell r="F111" t="str">
            <v>Fase 2 Mis Procesos Goldenbelt</v>
          </cell>
          <cell r="G111" t="str">
            <v>Como parte de los acuerdos de continuidad para el proyecto de Mis Procesos Goldenbelt, en esta Fase 2 se requiere incorporar toda la documentación de procesos de Laureate Perú.</v>
          </cell>
          <cell r="H111" t="str">
            <v>LAUREATE</v>
          </cell>
          <cell r="I111" t="str">
            <v>Rossina Caballero - VP Legal</v>
          </cell>
          <cell r="J111" t="str">
            <v xml:space="preserve">Jorge Luis Santa Cruz Espinoza </v>
          </cell>
          <cell r="K111" t="e">
            <v>#VALUE!</v>
          </cell>
          <cell r="L111" t="str">
            <v>Franco Vera</v>
          </cell>
          <cell r="M111">
            <v>46238</v>
          </cell>
          <cell r="N111" t="str">
            <v>No</v>
          </cell>
          <cell r="O111"/>
          <cell r="P111"/>
          <cell r="Q111" t="str">
            <v>Otro</v>
          </cell>
          <cell r="R111" t="str">
            <v>Actualmente contamos con un aplicativo diseñado en PowerApps que gestiona y tiene como repositorio la documentación de Laureate Perú, y se plantea migrar toda información a la plataforma centralizada de Mis Procesos Goldenbelt</v>
          </cell>
          <cell r="S111"/>
          <cell r="T111" t="str">
            <v xml:space="preserve">Todos los procesos centralizados de la organización </v>
          </cell>
          <cell r="U111" t="str">
            <v>Administrativos</v>
          </cell>
          <cell r="V111" t="str">
            <v>Excelencia operativa</v>
          </cell>
          <cell r="W111" t="str">
            <v>No</v>
          </cell>
          <cell r="X111" t="str">
            <v>No cuantificado o S/0</v>
          </cell>
          <cell r="Y111" t="e">
            <v>#VALUE!</v>
          </cell>
          <cell r="Z111" t="str">
            <v>https://educorpperu-my.sharepoint.com/personal/diana_zapata_laureate_pe1/_layouts/15/Doc.aspx?sourcedoc=%7B624F527C-33C1-4CED-9E49-04BF8077595A%7D&amp;file=Goldenbelt_presentaci%C3%B3n_Jorge%20Santa%20Cruz%20Esp.pptx&amp;action=edit&amp;mobileredirect=true</v>
          </cell>
          <cell r="AA111">
            <v>0.45000000000000007</v>
          </cell>
        </row>
        <row r="112">
          <cell r="A112">
            <v>135</v>
          </cell>
          <cell r="B112">
            <v>46148.721481481502</v>
          </cell>
          <cell r="C112">
            <v>46148.761435185203</v>
          </cell>
          <cell r="D112" t="str">
            <v>franco.vera@laureate.pe</v>
          </cell>
          <cell r="E112" t="str">
            <v>Franco Manuel Vera Sanchez</v>
          </cell>
          <cell r="F112" t="str">
            <v xml:space="preserve">Depuración de RPA ineficientes </v>
          </cell>
          <cell r="G112" t="str">
            <v>Necesitamos asegurar el retiro de 10 RPA deficientes, para ejecutar un plan de acción definido (rediseño de procesos, desarrollo, integración), logrando quedarnos sólo con los RPA justificados, según Plan de Trabajo realizado.</v>
          </cell>
          <cell r="H112" t="str">
            <v>LAUREATE</v>
          </cell>
          <cell r="I112" t="str">
            <v>Humberto Marota - Tecnologías y transformación digital</v>
          </cell>
          <cell r="J112" t="str">
            <v xml:space="preserve">Christian Quiroz </v>
          </cell>
          <cell r="K112" t="str">
            <v>https://educorpperu-my.sharepoint.com/:b:/g/personal/franco_vera_laureate_pe/IQAeX2Tg8y1WSYeioPE9dNhYAVKWmQNzPEOjQhlY8RjQY4k?e=bEb9WD</v>
          </cell>
          <cell r="L112" t="str">
            <v>Franco Vera</v>
          </cell>
          <cell r="M112">
            <v>46203</v>
          </cell>
          <cell r="N112" t="str">
            <v>No</v>
          </cell>
          <cell r="O112"/>
          <cell r="P112"/>
          <cell r="Q112" t="str">
            <v>Otro</v>
          </cell>
          <cell r="R112" t="e">
            <v>#VALUE!</v>
          </cell>
          <cell r="S112"/>
          <cell r="T112" t="str">
            <v>Académicos y de operaciones</v>
          </cell>
          <cell r="U112" t="str">
            <v>Ninguno</v>
          </cell>
          <cell r="V112" t="str">
            <v>Excelencia operativa</v>
          </cell>
          <cell r="W112" t="str">
            <v>No</v>
          </cell>
          <cell r="X112" t="str">
            <v>No cuantificado o S/0</v>
          </cell>
          <cell r="Y112" t="str">
            <v>Elevar el grado de alineamiento de los RPA y la optimización del modelo de automatización en UPN y UPC.</v>
          </cell>
          <cell r="Z112" t="str">
            <v>https://educorpperu-my.sharepoint.com/personal/diana_zapata_laureate_pe1/_layouts/15/Doc.aspx?sourcedoc=%7B24A1BDF7-9308-49FC-8068-7E45AEA5D050%7D&amp;file=Status%20RPA%202026-04-01_Franco%20Manuel%20Vera%20S.pptx&amp;action=edit&amp;mobileredirect=true</v>
          </cell>
          <cell r="AA112">
            <v>0.30000000000000004</v>
          </cell>
        </row>
        <row r="113">
          <cell r="A113">
            <v>136</v>
          </cell>
          <cell r="B113">
            <v>46148.807418981502</v>
          </cell>
          <cell r="C113">
            <v>46148.817395833299</v>
          </cell>
          <cell r="D113" t="str">
            <v>jose.herbozo@laureate.pe</v>
          </cell>
          <cell r="E113" t="str">
            <v>José Paredes Herbozo</v>
          </cell>
          <cell r="F113" t="str">
            <v>Admisión Online (Fase 2)</v>
          </cell>
          <cell r="G113" t="e">
            <v>#VALUE!</v>
          </cell>
          <cell r="H113" t="str">
            <v>UPN</v>
          </cell>
          <cell r="I113" t="str">
            <v>Ivan Olivares - VP Marketing y Comercial</v>
          </cell>
          <cell r="J113" t="str">
            <v>Alejandro Tello</v>
          </cell>
          <cell r="K113" t="str">
            <v>https://educorpperu-my.sharepoint.com/personal/diana_zapata_laureate_pe1/Documents/Aplicaciones/Microsoft%20Forms/REGISTRO%20DE%20INICIATIVAS%20-%20GESTI%C3%93N%20DE%20LA%20DEMANDA%20(2%201/Pregunta/olk_GiZq5TaWKA_Jos%C3%A9%20Paredes%20Herbozo.png</v>
          </cell>
          <cell r="L113" t="str">
            <v>Jose Paredes</v>
          </cell>
          <cell r="M113">
            <v>46234</v>
          </cell>
          <cell r="N113" t="str">
            <v>Si</v>
          </cell>
          <cell r="O113" t="str">
            <v>Digital &amp; IA</v>
          </cell>
          <cell r="P113">
            <v>75722</v>
          </cell>
          <cell r="Q113" t="str">
            <v>Otro</v>
          </cell>
          <cell r="R113" t="str">
            <v>Actualmente la operación manual dilata la venta.</v>
          </cell>
          <cell r="S113"/>
          <cell r="T113" t="str">
            <v>Admisión, Marketing</v>
          </cell>
          <cell r="U113" t="str">
            <v>Administrativos</v>
          </cell>
          <cell r="V113" t="str">
            <v>Crecimiento escalable</v>
          </cell>
          <cell r="W113" t="str">
            <v>No</v>
          </cell>
          <cell r="X113" t="str">
            <v>Mayor a S/500,000.00</v>
          </cell>
          <cell r="Y113" t="str">
            <v xml:space="preserve">Desarrollar e implementar una plataforma digital que permita realizar el proceso de admisión de manera completamente online, integrando IA para mejorar la experiencia del prospecto y automatizar procesos operativos.
</v>
          </cell>
          <cell r="Z113" t="e">
            <v>#VALUE!</v>
          </cell>
          <cell r="AA113">
            <v>2.9</v>
          </cell>
        </row>
        <row r="114">
          <cell r="A114">
            <v>137</v>
          </cell>
          <cell r="B114">
            <v>46148.786018518498</v>
          </cell>
          <cell r="C114">
            <v>46148.8413657407</v>
          </cell>
          <cell r="D114" t="str">
            <v>jhoy.vargas@laureate.pe</v>
          </cell>
          <cell r="E114" t="str">
            <v>Jhoy Vargas Fatama</v>
          </cell>
          <cell r="F114" t="str">
            <v>Actualizacion de Árbol de tipificaciones CRM Cibertec</v>
          </cell>
          <cell r="G114" t="e">
            <v>#VALUE!</v>
          </cell>
          <cell r="H114" t="str">
            <v>CIB</v>
          </cell>
          <cell r="I114" t="str">
            <v>Álvaro Valdez - VP Operaciones</v>
          </cell>
          <cell r="J114" t="str">
            <v xml:space="preserve">Jhoy Vargas </v>
          </cell>
          <cell r="K114" t="e">
            <v>#VALUE!</v>
          </cell>
          <cell r="L114" t="str">
            <v>Gerson Vereau</v>
          </cell>
          <cell r="M114">
            <v>46174</v>
          </cell>
          <cell r="N114" t="str">
            <v>No</v>
          </cell>
          <cell r="O114"/>
          <cell r="P114"/>
          <cell r="Q114" t="str">
            <v>Otro</v>
          </cell>
          <cell r="R114" t="e">
            <v>#VALUE!</v>
          </cell>
          <cell r="S114"/>
          <cell r="T114" t="str">
            <v xml:space="preserve">Gestión de seguimiento Intracycle, tipificación y registro de interacciones con estudiantes, control de calidad de datos, campañas de matrícula y recaudación, atención y soporte estudiantil.
</v>
          </cell>
          <cell r="U114" t="str">
            <v>Administrativos</v>
          </cell>
          <cell r="V114" t="str">
            <v>Excelencia operativa</v>
          </cell>
          <cell r="W114" t="str">
            <v>No</v>
          </cell>
          <cell r="X114" t="str">
            <v>No cuantificado o S/0</v>
          </cell>
          <cell r="Y114" t="str">
            <v xml:space="preserve">Impacta en los controles de cumplimiento normativo (protección de datos personales), control de calidad de datos, control de acceso y seguridad de la información, y control operativo de campañas de seguimiento Intracycle.
</v>
          </cell>
          <cell r="Z114" t="e">
            <v>#VALUE!</v>
          </cell>
          <cell r="AA114">
            <v>0.45000000000000007</v>
          </cell>
        </row>
        <row r="115">
          <cell r="A115">
            <v>138</v>
          </cell>
          <cell r="B115">
            <v>46149.350358796299</v>
          </cell>
          <cell r="C115">
            <v>46149.484409722201</v>
          </cell>
          <cell r="D115" t="str">
            <v>javier.santiago@laureate.pe</v>
          </cell>
          <cell r="E115" t="str">
            <v>Javier Santiago Modesto</v>
          </cell>
          <cell r="F115" t="str">
            <v>Implementación de nueva API Banner de validación de solicitud de Constancia de Matricula simple y con cursos incluidos</v>
          </cell>
          <cell r="G115" t="str">
            <v>Necesitamos validar el proceso de solicitud de constancia de matricula, para garantizar la integridad de la información de los estudiantes solicitantes, logrando que el 100% de solicitudes se apliquen correctamente.</v>
          </cell>
          <cell r="H115" t="str">
            <v>UPC</v>
          </cell>
          <cell r="I115" t="str">
            <v>Mónica García - VP Operaciones Digitales y Online</v>
          </cell>
          <cell r="J115" t="str">
            <v>Janny Nicasio - Aceleradora Digital</v>
          </cell>
          <cell r="K115" t="str">
            <v>https://educorpperu-my.sharepoint.com/personal/diana_zapata_laureate_pe1/_layouts/15/Doc.aspx?sourcedoc=%7B291EB381-3170-4446-8D73-91136D380F38%7D&amp;file=Aprobacion-VP-11-05-2026_Javier%20Santiago%20Mode.docx&amp;action=default&amp;mobileredirect=true</v>
          </cell>
          <cell r="L115" t="str">
            <v>Ninguno</v>
          </cell>
          <cell r="M115">
            <v>46172</v>
          </cell>
          <cell r="N115" t="str">
            <v>No</v>
          </cell>
          <cell r="O115"/>
          <cell r="P115"/>
          <cell r="Q115" t="str">
            <v>Otro</v>
          </cell>
          <cell r="R115" t="str">
            <v>El proceso de solicitud de constancia de matricula se consultan cuatro distintas APIs para validar la información del estudiante solicitante, afectando la performance de la respuesta y generando errores de consistencia de datos.</v>
          </cell>
          <cell r="S115" t="str">
            <v>Tener una unica API que valide la elegibilidad de constancia de matrícula.</v>
          </cell>
          <cell r="T115" t="str">
            <v>Proceso de solicitud de constancia de matricula simple y con cursos incluidos</v>
          </cell>
          <cell r="U115" t="str">
            <v>Alumnos</v>
          </cell>
          <cell r="V115" t="str">
            <v>Experiencia</v>
          </cell>
          <cell r="W115" t="str">
            <v>No</v>
          </cell>
          <cell r="X115" t="str">
            <v>No cuantificado o S/0</v>
          </cell>
          <cell r="Y115" t="str">
            <v>Mejora la experiencia del estudiante en la solicitud de la constancia de matricula.</v>
          </cell>
          <cell r="Z115" t="e">
            <v>#VALUE!</v>
          </cell>
          <cell r="AA115">
            <v>1.3</v>
          </cell>
        </row>
        <row r="116">
          <cell r="A116">
            <v>139</v>
          </cell>
          <cell r="B116">
            <v>46149.750567129602</v>
          </cell>
          <cell r="C116">
            <v>46149.757731481499</v>
          </cell>
          <cell r="D116" t="str">
            <v>johnny.rodriguez@laureate.pe</v>
          </cell>
          <cell r="E116" t="str">
            <v>Johnny Rodríguez Godos</v>
          </cell>
          <cell r="F116" t="str">
            <v>Estimación de cambios para liberación de Backfill - Área de Experiencia</v>
          </cell>
          <cell r="G116"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6" t="str">
            <v>UPC</v>
          </cell>
          <cell r="I116" t="str">
            <v>Mónica García - VP Operaciones Digitales y Online</v>
          </cell>
          <cell r="J116" t="str">
            <v>Luis Roncal</v>
          </cell>
          <cell r="K116" t="e">
            <v>#VALUE!</v>
          </cell>
          <cell r="L116" t="str">
            <v>Carla Arias-Schreiber</v>
          </cell>
          <cell r="M116">
            <v>46265</v>
          </cell>
          <cell r="N116" t="str">
            <v>No</v>
          </cell>
          <cell r="O116"/>
          <cell r="P116"/>
          <cell r="Q116" t="str">
            <v>Otro</v>
          </cell>
          <cell r="R116" t="str">
            <v>Estimación para liberar backfills</v>
          </cell>
          <cell r="S116"/>
          <cell r="T116" t="str">
            <v>Trámites, Balckboard, MiUPC</v>
          </cell>
          <cell r="U116" t="str">
            <v>Ninguno</v>
          </cell>
          <cell r="V116" t="str">
            <v>Excelencia operativa</v>
          </cell>
          <cell r="W116" t="str">
            <v>No</v>
          </cell>
          <cell r="X116" t="str">
            <v>Mayor a S/500,000.00</v>
          </cell>
          <cell r="Y116" t="str">
            <v>Mejor servicio a los alumnos</v>
          </cell>
          <cell r="Z116" t="e">
            <v>#VALUE!</v>
          </cell>
          <cell r="AA116">
            <v>1.05</v>
          </cell>
        </row>
        <row r="117">
          <cell r="A117">
            <v>140</v>
          </cell>
          <cell r="B117">
            <v>46150.379953703698</v>
          </cell>
          <cell r="C117">
            <v>46150.452800925901</v>
          </cell>
          <cell r="D117" t="str">
            <v>franco.vera@laureate.pe</v>
          </cell>
          <cell r="E117" t="str">
            <v>Franco Manuel Vera Sanchez</v>
          </cell>
          <cell r="F117" t="str">
            <v>Requerimiento reporte CB008 en BI - Compra de carpetas de becas socioeconómicas</v>
          </cell>
          <cell r="G117" t="str">
            <v>Este se requiere para identificar a estudiantes que han adquirido su carpeta para postular a esta beca e iniciar su postulación para el 2026-2.</v>
          </cell>
          <cell r="H117" t="str">
            <v>UPN</v>
          </cell>
          <cell r="I117" t="str">
            <v>Alex Pendavis - VP Finanzas</v>
          </cell>
          <cell r="J117" t="str">
            <v>Loussiana Pacheco</v>
          </cell>
          <cell r="K117" t="e">
            <v>#VALUE!</v>
          </cell>
          <cell r="L117" t="str">
            <v>Franco Vera</v>
          </cell>
          <cell r="M117">
            <v>46153</v>
          </cell>
          <cell r="N117" t="str">
            <v>No</v>
          </cell>
          <cell r="O117"/>
          <cell r="P117"/>
          <cell r="Q117" t="str">
            <v>Otro</v>
          </cell>
          <cell r="R117" t="str">
            <v xml:space="preserve">No se cuenta con un reporte de compra de becas socioeconómicas, lo cual genera un trabajo manual y por lo tanto, demora en las comunicaciones hacia el estudiante.
</v>
          </cell>
          <cell r="S117"/>
          <cell r="T117" t="str">
            <v>Compra de becas socioeconómicas.</v>
          </cell>
          <cell r="U117" t="str">
            <v>Administrativos</v>
          </cell>
          <cell r="V117" t="str">
            <v>Excelencia operativa</v>
          </cell>
          <cell r="W117" t="str">
            <v>No</v>
          </cell>
          <cell r="X117" t="str">
            <v>No cuantificado o S/0</v>
          </cell>
          <cell r="Y117" t="str">
            <v>Integración, automatización y mejora de la experiencia del estudiante.</v>
          </cell>
          <cell r="Z117" t="e">
            <v>#VALUE!</v>
          </cell>
          <cell r="AA117">
            <v>0.45000000000000007</v>
          </cell>
        </row>
        <row r="118">
          <cell r="A118">
            <v>141</v>
          </cell>
          <cell r="B118">
            <v>46153.3528703704</v>
          </cell>
          <cell r="C118">
            <v>46153.391863425903</v>
          </cell>
          <cell r="D118" t="str">
            <v>angela.lucano@laureate.pe</v>
          </cell>
          <cell r="E118" t="str">
            <v>Angela Lucano Carranza</v>
          </cell>
          <cell r="F118" t="str">
            <v>Implementación del Portal Web de Course Catalog UPC</v>
          </cell>
          <cell r="G118" t="e">
            <v>#VALUE!</v>
          </cell>
          <cell r="H118" t="str">
            <v>UPC</v>
          </cell>
          <cell r="I118" t="str">
            <v>Milagros Morgan - Rectorado UPC</v>
          </cell>
          <cell r="J118" t="str">
            <v xml:space="preserve">Daniel Ticona </v>
          </cell>
          <cell r="K118" t="e">
            <v>#VALUE!</v>
          </cell>
          <cell r="L118" t="str">
            <v>Gerson Vereau</v>
          </cell>
          <cell r="M118">
            <v>46234</v>
          </cell>
          <cell r="N118" t="str">
            <v>No</v>
          </cell>
          <cell r="O118"/>
          <cell r="P118"/>
          <cell r="Q118" t="str">
            <v>Otro</v>
          </cell>
          <cell r="R118" t="e">
            <v>#VALUE!</v>
          </cell>
          <cell r="S118"/>
          <cell r="T118" t="str">
            <v>Atender las necesidades de información y consultas académicas, sobre la información de las asignaturas que se ofrecen en UPC, requeridas por estudiantes, docentes y staff.</v>
          </cell>
          <cell r="U118" t="str">
            <v>Ninguno</v>
          </cell>
          <cell r="V118" t="str">
            <v>Excelencia operativa</v>
          </cell>
          <cell r="W118" t="str">
            <v>No</v>
          </cell>
          <cell r="X118" t="str">
            <v>No cuantificado o S/0</v>
          </cell>
          <cell r="Y118" t="e">
            <v>#VALUE!</v>
          </cell>
          <cell r="Z118" t="e">
            <v>#VALUE!</v>
          </cell>
          <cell r="AA118">
            <v>0.30000000000000004</v>
          </cell>
        </row>
        <row r="119">
          <cell r="A119">
            <v>142</v>
          </cell>
          <cell r="B119">
            <v>46153.365740740701</v>
          </cell>
          <cell r="C119">
            <v>46153.404918981498</v>
          </cell>
          <cell r="D119" t="str">
            <v>angela.lucano@laureate.pe</v>
          </cell>
          <cell r="E119" t="str">
            <v>Angela Lucano Carranza</v>
          </cell>
          <cell r="F119" t="str">
            <v>Implementación de WEB SICA 2.0: Plataforma Centralizada de Gestión y Consulta de Documentación Oficial UPC</v>
          </cell>
          <cell r="G119" t="e">
            <v>#VALUE!</v>
          </cell>
          <cell r="H119" t="str">
            <v>UPC</v>
          </cell>
          <cell r="I119" t="str">
            <v>Milagros Morgan - Rectorado UPC</v>
          </cell>
          <cell r="J119" t="str">
            <v xml:space="preserve">Daniel Ticona </v>
          </cell>
          <cell r="K119" t="e">
            <v>#VALUE!</v>
          </cell>
          <cell r="L119" t="str">
            <v>Gerson Vereau</v>
          </cell>
          <cell r="M119">
            <v>46249</v>
          </cell>
          <cell r="N119" t="str">
            <v>No</v>
          </cell>
          <cell r="O119"/>
          <cell r="P119"/>
          <cell r="Q119" t="str">
            <v>Seguridad de la información</v>
          </cell>
          <cell r="R119" t="e">
            <v>#VALUE!</v>
          </cell>
          <cell r="S119"/>
          <cell r="T119" t="str">
            <v>Mapa de procesos de la UPC (SICA)</v>
          </cell>
          <cell r="U119" t="str">
            <v>Administrativos</v>
          </cell>
          <cell r="V119" t="str">
            <v>Excelencia operativa</v>
          </cell>
          <cell r="W119" t="str">
            <v>No</v>
          </cell>
          <cell r="X119" t="str">
            <v>No cuantificado o S/0</v>
          </cell>
          <cell r="Y119" t="e">
            <v>#VALUE!</v>
          </cell>
          <cell r="Z119" t="e">
            <v>#VALUE!</v>
          </cell>
          <cell r="AA119">
            <v>1.3499999999999999</v>
          </cell>
        </row>
        <row r="120">
          <cell r="A120">
            <v>133</v>
          </cell>
          <cell r="B120">
            <v>46153.365740740701</v>
          </cell>
          <cell r="C120">
            <v>46153.404918981498</v>
          </cell>
          <cell r="D120" t="str">
            <v>ethel.sotomayor@laureate.pe</v>
          </cell>
          <cell r="E120" t="str">
            <v xml:space="preserve">
Ethel Lorena Guerrero Sotomayor</v>
          </cell>
          <cell r="F120" t="str">
            <v>New Campus UPN Lima Sur - Nueva Sede UPN San Juan de Miraflores</v>
          </cell>
          <cell r="G120" t="str">
            <v>Expansión: Implementación de la nueva sede UPN Lima Sur (SJM).</v>
          </cell>
          <cell r="H120" t="str">
            <v>UPN</v>
          </cell>
          <cell r="I120" t="str">
            <v>Alvaro Valdez</v>
          </cell>
          <cell r="J120" t="str">
            <v xml:space="preserve">Sharon Chou </v>
          </cell>
          <cell r="K120"/>
          <cell r="L120"/>
          <cell r="M120">
            <v>46447</v>
          </cell>
          <cell r="N120" t="str">
            <v>Si</v>
          </cell>
          <cell r="O120" t="str">
            <v>Campus Expansion &amp; Operation Optimization</v>
          </cell>
          <cell r="P120">
            <v>77465</v>
          </cell>
          <cell r="Q120" t="str">
            <v>Otro</v>
          </cell>
          <cell r="R120" t="str">
            <v>Nueva sede</v>
          </cell>
          <cell r="T120"/>
          <cell r="V120" t="str">
            <v>Crecimiento Escalable</v>
          </cell>
          <cell r="W120" t="str">
            <v>No</v>
          </cell>
          <cell r="Y120"/>
          <cell r="Z120"/>
          <cell r="AA120">
            <v>2</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e">
            <v>#VALUE!</v>
          </cell>
          <cell r="H121" t="str">
            <v>UPC</v>
          </cell>
          <cell r="I121" t="str">
            <v>Milagros Morgan - Rectorado UPC</v>
          </cell>
          <cell r="J121" t="str">
            <v xml:space="preserve">Mónica Villegas </v>
          </cell>
          <cell r="K121" t="e">
            <v>#VALUE!</v>
          </cell>
          <cell r="L121" t="str">
            <v>Ángela Lucano</v>
          </cell>
          <cell r="M121">
            <v>46356</v>
          </cell>
          <cell r="N121" t="str">
            <v>No</v>
          </cell>
          <cell r="O121"/>
          <cell r="P121"/>
          <cell r="Q121" t="str">
            <v>Otro</v>
          </cell>
          <cell r="R121" t="e">
            <v>#VALUE!</v>
          </cell>
          <cell r="T121" t="e">
            <v>#VALUE!</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e">
            <v>#VALUE!</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e">
            <v>#VALUE!</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e">
            <v>#VALUE!</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e">
            <v>#VALUE!</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CIBERTEC</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LAUREATE</v>
          </cell>
          <cell r="I124"/>
          <cell r="J124" t="str">
            <v>.</v>
          </cell>
          <cell r="K124"/>
          <cell r="L124" t="str">
            <v>Bruno Chiappe </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CIBERTEC</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LAUREATE</v>
          </cell>
          <cell r="I127"/>
          <cell r="J127" t="str">
            <v>.</v>
          </cell>
          <cell r="K127"/>
          <cell r="L127" t="str">
            <v>Bruno Chiappe </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V130" t="str">
            <v>.</v>
          </cell>
          <cell r="W130" t="str">
            <v>No</v>
          </cell>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e">
            <v>#VALUE!</v>
          </cell>
          <cell r="H131" t="str">
            <v>UPN</v>
          </cell>
          <cell r="I131" t="str">
            <v>Martín Santana - Rectorado UPN</v>
          </cell>
          <cell r="J131" t="str">
            <v xml:space="preserve">Robinson Amaya </v>
          </cell>
          <cell r="K131" t="e">
            <v>#VALUE!</v>
          </cell>
          <cell r="L131" t="str">
            <v>Ángela Lucano</v>
          </cell>
          <cell r="M131">
            <v>46162</v>
          </cell>
          <cell r="N131" t="str">
            <v>No</v>
          </cell>
          <cell r="O131"/>
          <cell r="P131"/>
          <cell r="Q131" t="str">
            <v>Otro</v>
          </cell>
          <cell r="R131" t="e">
            <v>#VALUE!</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e">
            <v>#VALUE!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e">
            <v>#VALUE!</v>
          </cell>
          <cell r="H134" t="str">
            <v>UPN</v>
          </cell>
          <cell r="I134" t="str">
            <v>Martín Santana - Rectorado UPN</v>
          </cell>
          <cell r="J134" t="str">
            <v xml:space="preserve">Robinson Amaya </v>
          </cell>
          <cell r="K134" t="e">
            <v>#VALUE!</v>
          </cell>
          <cell r="L134" t="str">
            <v>Ángela Lucano</v>
          </cell>
          <cell r="M134">
            <v>46162</v>
          </cell>
          <cell r="N134" t="str">
            <v>No</v>
          </cell>
          <cell r="O134"/>
          <cell r="P134"/>
          <cell r="Q134" t="str">
            <v>Otro</v>
          </cell>
          <cell r="R134" t="e">
            <v>#VALUE!</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e">
            <v>#VALUE!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 </v>
          </cell>
          <cell r="M135">
            <v>46153</v>
          </cell>
          <cell r="N135" t="str">
            <v>Si</v>
          </cell>
          <cell r="O135"/>
          <cell r="P135">
            <v>74996</v>
          </cell>
          <cell r="Q135" t="str">
            <v>Otro</v>
          </cell>
          <cell r="R135" t="str">
            <v>.</v>
          </cell>
          <cell r="T135" t="str">
            <v>.</v>
          </cell>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e">
            <v>#VALUE!</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e">
            <v>#VALUE!</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e">
            <v>#VALUE!</v>
          </cell>
          <cell r="AA136">
            <v>0.45000000000000007</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e">
            <v>#VALUE!</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 </v>
          </cell>
          <cell r="M137">
            <v>46173</v>
          </cell>
          <cell r="N137" t="str">
            <v>No</v>
          </cell>
          <cell r="O137"/>
          <cell r="P137"/>
          <cell r="Q137" t="str">
            <v>Otro</v>
          </cell>
          <cell r="R137" t="e">
            <v>#VALUE!</v>
          </cell>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e">
            <v>#VALUE!</v>
          </cell>
          <cell r="AA137">
            <v>0.45000000000000007</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e">
            <v>#VALUE!</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e">
            <v>#VALUE!</v>
          </cell>
          <cell r="AA138">
            <v>0.45000000000000007</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e">
            <v>#VALUE!</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 </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e">
            <v>#VALUE!</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e">
            <v>#VALUE!</v>
          </cell>
          <cell r="AA139">
            <v>0.45000000000000007</v>
          </cell>
        </row>
        <row r="140">
          <cell r="A140">
            <v>162</v>
          </cell>
          <cell r="B140">
            <v>46160.441956018498</v>
          </cell>
          <cell r="C140">
            <v>46160.457743055602</v>
          </cell>
          <cell r="D140" t="str">
            <v>franco.vera@laureate.pe</v>
          </cell>
          <cell r="E140" t="str">
            <v>Franco Manuel Vera Sanchez</v>
          </cell>
          <cell r="F140" t="str">
            <v>Modelo de Ocupabilidad</v>
          </cell>
          <cell r="G140" t="e">
            <v>#VALUE!</v>
          </cell>
          <cell r="H140" t="str">
            <v>LAUREATE</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e">
            <v>#VALUE!</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e">
            <v>#VALUE!</v>
          </cell>
          <cell r="Z140" t="e">
            <v>#VALUE!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e">
            <v>#VALUE!</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 </v>
          </cell>
          <cell r="M141">
            <v>46164</v>
          </cell>
          <cell r="N141" t="str">
            <v>No</v>
          </cell>
          <cell r="O141"/>
          <cell r="P141"/>
          <cell r="Q141" t="str">
            <v>Otro</v>
          </cell>
          <cell r="R141" t="e">
            <v>#VALUE!</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e">
            <v>#VALUE!</v>
          </cell>
          <cell r="AA141">
            <v>0.60000000000000009</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e">
            <v>#VALUE!</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 </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e">
            <v>#VALUE!</v>
          </cell>
          <cell r="Z142" t="e">
            <v>#VALUE!</v>
          </cell>
          <cell r="AA142">
            <v>1.2000000000000002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e">
            <v>#VALUE!</v>
          </cell>
          <cell r="H143" t="str">
            <v>UPN</v>
          </cell>
          <cell r="I143" t="str">
            <v>Humberto Marota - Tecnologías y transformación digital</v>
          </cell>
          <cell r="J143" t="str">
            <v>Roberto Yepez</v>
          </cell>
          <cell r="K143" t="e">
            <v>#VALUE!</v>
          </cell>
          <cell r="L143" t="str">
            <v>Carla Arias-Schreiber</v>
          </cell>
          <cell r="M143">
            <v>46199</v>
          </cell>
          <cell r="N143" t="str">
            <v>Si</v>
          </cell>
          <cell r="O143" t="str">
            <v>Revenue Growth</v>
          </cell>
          <cell r="P143">
            <v>7541</v>
          </cell>
          <cell r="Q143" t="str">
            <v>Otro</v>
          </cell>
          <cell r="R143" t="e">
            <v>#VALUE!</v>
          </cell>
          <cell r="S143" t="str">
            <v xml:space="preserve">Se espera contar con una plataforma digital que permita realizar una convalidación automática desde generar el resultado de convalidación hasta llevar su registro a Banner, sin que pase por atención de asesores </v>
          </cell>
          <cell r="T143" t="e">
            <v>#VALUE!</v>
          </cell>
          <cell r="U143" t="str">
            <v>Administrativos</v>
          </cell>
          <cell r="V143" t="str">
            <v>Crecimiento escalable</v>
          </cell>
          <cell r="W143" t="str">
            <v>No</v>
          </cell>
          <cell r="X143" t="str">
            <v>Mayor a S/500,000.00</v>
          </cell>
          <cell r="Y143" t="e">
            <v>#VALUE!</v>
          </cell>
          <cell r="Z143" t="e">
            <v>#VALUE!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e">
            <v>#VALUE!</v>
          </cell>
          <cell r="H144" t="str">
            <v>UPN</v>
          </cell>
          <cell r="I144" t="str">
            <v>Humberto Marota - Tecnologías y transformación digital</v>
          </cell>
          <cell r="J144" t="str">
            <v>Iván Rengifo - Data &amp; BI</v>
          </cell>
          <cell r="K144" t="e">
            <v>#VALUE!</v>
          </cell>
          <cell r="L144" t="str">
            <v>Franco Vera</v>
          </cell>
          <cell r="M144">
            <v>46192</v>
          </cell>
          <cell r="N144" t="str">
            <v>No</v>
          </cell>
          <cell r="O144"/>
          <cell r="P144"/>
          <cell r="Q144" t="str">
            <v>Otro</v>
          </cell>
          <cell r="R144" t="e">
            <v>#VALUE!</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0.60000000000000009</v>
          </cell>
        </row>
        <row r="145">
          <cell r="A145">
            <v>171</v>
          </cell>
          <cell r="B145">
            <v>46167.515682870398</v>
          </cell>
          <cell r="C145">
            <v>46167.642662036997</v>
          </cell>
          <cell r="D145" t="str">
            <v>angela.lucano@laureate.pe</v>
          </cell>
          <cell r="E145" t="str">
            <v>Angela Lucano Carranza</v>
          </cell>
          <cell r="F145" t="str">
            <v>Activación Copilot en CRM</v>
          </cell>
          <cell r="G145" t="e">
            <v>#VALUE!</v>
          </cell>
          <cell r="H145" t="str">
            <v>LAUREATE</v>
          </cell>
          <cell r="I145" t="str">
            <v>Mónica García - VP Operaciones Digitales y Online</v>
          </cell>
          <cell r="J145" t="str">
            <v>Lizbeth Bautista - Gerente de Canales Inbound</v>
          </cell>
          <cell r="K145" t="e">
            <v>#VALUE!</v>
          </cell>
          <cell r="L145" t="str">
            <v>Ángela Lucano</v>
          </cell>
          <cell r="M145">
            <v>46203</v>
          </cell>
          <cell r="N145" t="str">
            <v>No</v>
          </cell>
          <cell r="O145"/>
          <cell r="P145"/>
          <cell r="Q145" t="str">
            <v>Otro</v>
          </cell>
          <cell r="R145" t="e">
            <v>#VALUE!</v>
          </cell>
          <cell r="S145" t="e">
            <v>#VALUE!</v>
          </cell>
          <cell r="T145" t="str">
            <v>Todas las áreas que interactúan en Contacto UPN (13 áreas) y alumnos.</v>
          </cell>
          <cell r="U145" t="str">
            <v>Alumnos</v>
          </cell>
          <cell r="V145" t="str">
            <v>Experiencia</v>
          </cell>
          <cell r="W145" t="str">
            <v>No</v>
          </cell>
          <cell r="X145" t="str">
            <v>No cuantificado o S/0</v>
          </cell>
          <cell r="Y145" t="e">
            <v>#VALUE!</v>
          </cell>
          <cell r="Z145" t="e">
            <v>#VALUE!</v>
          </cell>
          <cell r="AA145">
            <v>1.3</v>
          </cell>
        </row>
        <row r="146">
          <cell r="A146">
            <v>172</v>
          </cell>
          <cell r="B146">
            <v>46167.646388888897</v>
          </cell>
          <cell r="C146">
            <v>46167.6551273148</v>
          </cell>
          <cell r="D146" t="str">
            <v>angela.lucano@laureate.pe</v>
          </cell>
          <cell r="E146" t="str">
            <v>Angela Lucano Carranza</v>
          </cell>
          <cell r="F146" t="str">
            <v>Integración de Microsoft Teams con el CRM Institucional</v>
          </cell>
          <cell r="G146" t="e">
            <v>#VALUE!</v>
          </cell>
          <cell r="H146" t="str">
            <v>CORPORATIVO</v>
          </cell>
          <cell r="I146" t="str">
            <v>Mónica García - VP Operaciones Digitales y Online</v>
          </cell>
          <cell r="J146" t="str">
            <v>Lizbeth Bautista - Gerente Canales Inbound</v>
          </cell>
          <cell r="K146" t="e">
            <v>#VALUE!</v>
          </cell>
          <cell r="L146" t="str">
            <v>Ángela Lucano</v>
          </cell>
          <cell r="M146">
            <v>46203</v>
          </cell>
          <cell r="N146" t="str">
            <v>No</v>
          </cell>
          <cell r="O146"/>
          <cell r="P146"/>
          <cell r="Q146" t="str">
            <v>Otro</v>
          </cell>
          <cell r="R146" t="e">
            <v>#VALUE!</v>
          </cell>
          <cell r="S146" t="e">
            <v>#VALUE!</v>
          </cell>
          <cell r="T146" t="str">
            <v>Todas las áreas que interactúan en Contacto UPN (13 áreas) y alumnos.</v>
          </cell>
          <cell r="U146" t="str">
            <v>Alumnos</v>
          </cell>
          <cell r="V146" t="str">
            <v>Excelencia operativa</v>
          </cell>
          <cell r="W146" t="str">
            <v>No</v>
          </cell>
          <cell r="X146" t="str">
            <v>No cuantificado o S/0</v>
          </cell>
          <cell r="Y146" t="e">
            <v>#VALUE!</v>
          </cell>
          <cell r="Z146" t="e">
            <v>#VALUE!</v>
          </cell>
          <cell r="AA146">
            <v>1.2000000000000002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e">
            <v>#VALUE!</v>
          </cell>
          <cell r="H147" t="str">
            <v>UPN</v>
          </cell>
          <cell r="I147" t="str">
            <v>Mónica García - VP Operaciones Digitales y Online</v>
          </cell>
          <cell r="J147" t="str">
            <v>Lizbeth Bautista - Gerente de Canales Inbound</v>
          </cell>
          <cell r="K147" t="e">
            <v>#VALUE!</v>
          </cell>
          <cell r="L147" t="str">
            <v>Ángela Lucano</v>
          </cell>
          <cell r="M147">
            <v>46188</v>
          </cell>
          <cell r="N147" t="str">
            <v>No</v>
          </cell>
          <cell r="O147"/>
          <cell r="P147"/>
          <cell r="Q147" t="str">
            <v>Seguridad de la información</v>
          </cell>
          <cell r="R147" t="e">
            <v>#VALUE!</v>
          </cell>
          <cell r="S147" t="e">
            <v>#VALUE!</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e">
            <v>#VALUE!</v>
          </cell>
          <cell r="Z147" t="str">
            <v>https://educorpperu-my.sharepoint.com/personal/diana_zapata_laureate_pe1/_layouts/15/Doc.aspx?sourcedoc=%7B67F35B33-82A6-4B61-B1DB-6F15D08C5F8D%7D&amp;file=REVISI%C3%93N%20DATA%20DE%20EPEC_Angela%20Lucano%20Carran.pptx&amp;action=edit&amp;mobileredirect=true</v>
          </cell>
          <cell r="AA147">
            <v>2.1999999999999997</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e">
            <v>#VALUE!</v>
          </cell>
          <cell r="H148" t="str">
            <v>UPN</v>
          </cell>
          <cell r="I148" t="str">
            <v>Mónica García - VP Operaciones Digitales y Online</v>
          </cell>
          <cell r="J148" t="str">
            <v>Lizbeth Bautista - Gerente de Canales Inbound</v>
          </cell>
          <cell r="K148" t="e">
            <v>#VALUE!</v>
          </cell>
          <cell r="L148" t="str">
            <v>Ángela Lucano</v>
          </cell>
          <cell r="M148">
            <v>46203</v>
          </cell>
          <cell r="N148" t="str">
            <v>No</v>
          </cell>
          <cell r="O148"/>
          <cell r="P148"/>
          <cell r="Q148" t="str">
            <v>Otro</v>
          </cell>
          <cell r="R148" t="e">
            <v>#VALUE!</v>
          </cell>
          <cell r="S148" t="e">
            <v>#VALUE!</v>
          </cell>
          <cell r="T148" t="e">
            <v>#VALUE!</v>
          </cell>
          <cell r="U148" t="str">
            <v>Alumnos</v>
          </cell>
          <cell r="V148" t="str">
            <v>Experiencia</v>
          </cell>
          <cell r="W148" t="str">
            <v>No</v>
          </cell>
          <cell r="X148" t="str">
            <v>No cuantificado o S/0</v>
          </cell>
          <cell r="Y148" t="e">
            <v>#VALUE!</v>
          </cell>
          <cell r="Z148" t="e">
            <v>#VALUE!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e">
            <v>#VALUE!</v>
          </cell>
          <cell r="H149" t="str">
            <v>UPC</v>
          </cell>
          <cell r="I149" t="str">
            <v>Mónica García - VP Operaciones Digitales y Online</v>
          </cell>
          <cell r="J149" t="str">
            <v>Jose Horna - Jefe de Trámites, Quejas y Reclamos</v>
          </cell>
          <cell r="K149" t="e">
            <v>#VALUE!</v>
          </cell>
          <cell r="L149" t="str">
            <v>Ángela Lucano</v>
          </cell>
          <cell r="M149">
            <v>46178</v>
          </cell>
          <cell r="N149" t="str">
            <v>No</v>
          </cell>
          <cell r="O149"/>
          <cell r="P149"/>
          <cell r="Q149" t="str">
            <v>Normativa</v>
          </cell>
          <cell r="R149" t="e">
            <v>#VALUE!</v>
          </cell>
          <cell r="S149" t="e">
            <v>#VALUE!</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e">
            <v>#VALUE!</v>
          </cell>
          <cell r="Z149" t="e">
            <v>#VALUE!</v>
          </cell>
          <cell r="AA149">
            <v>2.35</v>
          </cell>
        </row>
        <row r="150">
          <cell r="A150">
            <v>176</v>
          </cell>
          <cell r="B150">
            <v>46168.397800925901</v>
          </cell>
          <cell r="C150">
            <v>46168.905185185198</v>
          </cell>
          <cell r="D150" t="str">
            <v>nicolas.morales@laureate.pe</v>
          </cell>
          <cell r="E150" t="str">
            <v>Nicolas Morales Chumpitaz</v>
          </cell>
          <cell r="F150" t="str">
            <v xml:space="preserve">Optimización del proceso del relevamiento de la necesidad del cliente interno con protocolos de comunicación; y Producción y difusión de piezas de contenido para comunicación </v>
          </cell>
          <cell r="G150" t="e">
            <v>#VALUE!</v>
          </cell>
          <cell r="H150" t="str">
            <v>LAUREATE</v>
          </cell>
          <cell r="I150" t="str">
            <v>Tairi Ruillier- VP Personas y Cultura</v>
          </cell>
          <cell r="J150" t="str">
            <v>Alfredo Ávalos</v>
          </cell>
          <cell r="K150" t="e">
            <v>#VALUE!</v>
          </cell>
          <cell r="L150" t="str">
            <v>Carla Arias-Schreiber</v>
          </cell>
          <cell r="M150">
            <v>46387</v>
          </cell>
          <cell r="N150" t="str">
            <v>Si</v>
          </cell>
          <cell r="O150" t="str">
            <v>G&amp;A</v>
          </cell>
          <cell r="P150" t="str">
            <v>77432</v>
          </cell>
          <cell r="Q150" t="str">
            <v>Otro</v>
          </cell>
          <cell r="R150" t="e">
            <v>#VALUE!</v>
          </cell>
          <cell r="S150" t="e">
            <v>#VALUE!</v>
          </cell>
          <cell r="T150" t="str">
            <v>GTH - Comunicación Interna</v>
          </cell>
          <cell r="U150" t="str">
            <v>Administrativos</v>
          </cell>
          <cell r="V150" t="str">
            <v>Excelencia operativa</v>
          </cell>
          <cell r="W150" t="str">
            <v>No</v>
          </cell>
          <cell r="X150" t="str">
            <v>Mayor a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2.6999999999999997</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LAUREATE</v>
          </cell>
          <cell r="I151" t="str">
            <v>Tairi Ruillier- VP Personas y Cultura</v>
          </cell>
          <cell r="J151" t="str">
            <v>Alfredo Ávalos</v>
          </cell>
          <cell r="K151" t="e">
            <v>#VALUE!</v>
          </cell>
          <cell r="L151" t="str">
            <v>Carla Arias-Schreiber</v>
          </cell>
          <cell r="M151">
            <v>46387</v>
          </cell>
          <cell r="N151" t="str">
            <v>Si</v>
          </cell>
          <cell r="O151" t="str">
            <v>G&amp;A</v>
          </cell>
          <cell r="P151" t="str">
            <v>77432</v>
          </cell>
          <cell r="Q151" t="str">
            <v>Otro</v>
          </cell>
          <cell r="R151" t="e">
            <v>#VALUE!</v>
          </cell>
          <cell r="S151" t="e">
            <v>#VALUE!</v>
          </cell>
          <cell r="T151" t="str">
            <v>Atención de consultas de colaboradores - GTH</v>
          </cell>
          <cell r="U151" t="str">
            <v>Administrativos</v>
          </cell>
          <cell r="V151" t="str">
            <v>Excelencia operativa</v>
          </cell>
          <cell r="W151" t="str">
            <v>No</v>
          </cell>
          <cell r="X151" t="str">
            <v>Mayor a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2.6999999999999997</v>
          </cell>
        </row>
        <row r="152">
          <cell r="A152">
            <v>178</v>
          </cell>
          <cell r="B152">
            <v>46168.908391203702</v>
          </cell>
          <cell r="C152">
            <v>46168.918738425898</v>
          </cell>
          <cell r="D152" t="str">
            <v>nicolas.morales@laureate.pe</v>
          </cell>
          <cell r="E152" t="str">
            <v>Nicolas Morales Chumpitaz</v>
          </cell>
          <cell r="F152" t="e">
            <v>#VALUE!</v>
          </cell>
          <cell r="G152" t="e">
            <v>#VALUE!</v>
          </cell>
          <cell r="H152" t="str">
            <v>UPC</v>
          </cell>
          <cell r="I152" t="str">
            <v>Milagros Morgan - Rectorado UPC</v>
          </cell>
          <cell r="J152" t="str">
            <v>SARA MARIE MILLER</v>
          </cell>
          <cell r="K152" t="e">
            <v>#VALUE!</v>
          </cell>
          <cell r="L152" t="str">
            <v>Carla Arias-Schreiber</v>
          </cell>
          <cell r="M152">
            <v>46387</v>
          </cell>
          <cell r="N152" t="str">
            <v>Si</v>
          </cell>
          <cell r="O152" t="str">
            <v>G&amp;A</v>
          </cell>
          <cell r="P152" t="str">
            <v>77544</v>
          </cell>
          <cell r="Q152" t="str">
            <v>Otro</v>
          </cell>
          <cell r="R152" t="e">
            <v>#VALUE!</v>
          </cell>
          <cell r="S152" t="e">
            <v>#VALUE!</v>
          </cell>
          <cell r="T152" t="str">
            <v>Programación Horaria WeTalk</v>
          </cell>
          <cell r="U152" t="str">
            <v>Todos</v>
          </cell>
          <cell r="V152" t="str">
            <v>Excelencia operativa</v>
          </cell>
          <cell r="W152" t="str">
            <v>No</v>
          </cell>
          <cell r="X152" t="str">
            <v>Mayor a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MARIE MILLER</v>
          </cell>
          <cell r="K153" t="e">
            <v>#VALUE!</v>
          </cell>
          <cell r="L153" t="str">
            <v>Carla Arias-Schreiber</v>
          </cell>
          <cell r="M153">
            <v>46387</v>
          </cell>
          <cell r="N153" t="str">
            <v>Si</v>
          </cell>
          <cell r="O153" t="str">
            <v>G&amp;A</v>
          </cell>
          <cell r="P153" t="str">
            <v>77545</v>
          </cell>
          <cell r="Q153" t="str">
            <v>Otro</v>
          </cell>
          <cell r="R153" t="e">
            <v>#VALUE!</v>
          </cell>
          <cell r="S153" t="e">
            <v>#VALUE!</v>
          </cell>
          <cell r="T153" t="str">
            <v>Gestión del Placement Test - WeTalk</v>
          </cell>
          <cell r="U153" t="str">
            <v>Alumnos</v>
          </cell>
          <cell r="V153" t="str">
            <v>Excelencia operativa</v>
          </cell>
          <cell r="W153" t="str">
            <v>No</v>
          </cell>
          <cell r="X153" t="str">
            <v>Mayor a S/500,000.00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3.3</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MARIE MILLER</v>
          </cell>
          <cell r="K154" t="e">
            <v>#VALUE!</v>
          </cell>
          <cell r="L154" t="str">
            <v>Carla Arias-Schreiber</v>
          </cell>
          <cell r="M154">
            <v>46387</v>
          </cell>
          <cell r="N154" t="str">
            <v>Si</v>
          </cell>
          <cell r="O154" t="str">
            <v>G&amp;A</v>
          </cell>
          <cell r="P154" t="str">
            <v>77546</v>
          </cell>
          <cell r="Q154" t="str">
            <v>Otro</v>
          </cell>
          <cell r="R154" t="e">
            <v>#VALUE!</v>
          </cell>
          <cell r="S154" t="e">
            <v>#VALUE!</v>
          </cell>
          <cell r="T154" t="str">
            <v>Reclutamiento y Selección Docente - WeTalk</v>
          </cell>
          <cell r="U154" t="str">
            <v>Administrativos</v>
          </cell>
          <cell r="V154" t="str">
            <v>Excelencia operativa</v>
          </cell>
          <cell r="W154" t="str">
            <v>No</v>
          </cell>
          <cell r="X154" t="str">
            <v>Mayor a S/500,000.00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2.6999999999999997</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e">
            <v>#VALUE!</v>
          </cell>
          <cell r="H155" t="str">
            <v>CORPORATIVO</v>
          </cell>
          <cell r="I155" t="str">
            <v>Martin Fienkeng - CISO/CIO Corp</v>
          </cell>
          <cell r="J155" t="str">
            <v>Carlos Sanchez Rubio</v>
          </cell>
          <cell r="K155" t="e">
            <v>#VALUE!</v>
          </cell>
          <cell r="L155" t="str">
            <v>Ninguno</v>
          </cell>
          <cell r="M155">
            <v>46356</v>
          </cell>
          <cell r="N155" t="str">
            <v>No</v>
          </cell>
          <cell r="O155"/>
          <cell r="P155"/>
          <cell r="Q155" t="str">
            <v>Seguridad de la información</v>
          </cell>
          <cell r="R155" t="e">
            <v>#VALUE!</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e">
            <v>#VALUE!</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e">
            <v>#VALUE!</v>
          </cell>
          <cell r="H156" t="str">
            <v>CORPORATIVO</v>
          </cell>
          <cell r="I156" t="str">
            <v>Martin Fienkeng - CISO/CIO Corp</v>
          </cell>
          <cell r="J156" t="str">
            <v>Carlos Sanchez Rubio</v>
          </cell>
          <cell r="K156" t="e">
            <v>#VALUE!</v>
          </cell>
          <cell r="L156" t="str">
            <v>Ninguno</v>
          </cell>
          <cell r="M156">
            <v>46356</v>
          </cell>
          <cell r="N156" t="str">
            <v>No</v>
          </cell>
          <cell r="O156"/>
          <cell r="P156"/>
          <cell r="Q156" t="str">
            <v>Seguridad de la información</v>
          </cell>
          <cell r="R156" t="e">
            <v>#VALUE!</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e">
            <v>#VALUE!</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e">
            <v>#VALUE!</v>
          </cell>
          <cell r="H157" t="str">
            <v>CORPORATIVO</v>
          </cell>
          <cell r="I157" t="str">
            <v>Martin Fienkeng - CISO/CIO Corp</v>
          </cell>
          <cell r="J157" t="str">
            <v>Carlos Sanchez Rubio</v>
          </cell>
          <cell r="K157" t="e">
            <v>#VALUE!</v>
          </cell>
          <cell r="L157" t="str">
            <v>Ninguno</v>
          </cell>
          <cell r="M157">
            <v>46356</v>
          </cell>
          <cell r="N157" t="str">
            <v>No</v>
          </cell>
          <cell r="O157"/>
          <cell r="P157"/>
          <cell r="Q157" t="str">
            <v>Seguridad de la información</v>
          </cell>
          <cell r="R157" t="e">
            <v>#VALUE!</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e">
            <v>#VALUE!</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e">
            <v>#VALUE!</v>
          </cell>
          <cell r="H158" t="str">
            <v>CORPORATIVO</v>
          </cell>
          <cell r="I158" t="str">
            <v>Martin Fienkeng - CISO/CIO Corp</v>
          </cell>
          <cell r="J158" t="str">
            <v>Carlos Sanchez Rubio</v>
          </cell>
          <cell r="K158" t="e">
            <v>#VALUE!</v>
          </cell>
          <cell r="L158" t="str">
            <v>Ninguno</v>
          </cell>
          <cell r="M158">
            <v>46356</v>
          </cell>
          <cell r="N158" t="str">
            <v>No</v>
          </cell>
          <cell r="O158"/>
          <cell r="P158"/>
          <cell r="Q158" t="str">
            <v>Seguridad de la información</v>
          </cell>
          <cell r="R158" t="e">
            <v>#VALUE!</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e">
            <v>#VALUE!</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e">
            <v>#VALUE!</v>
          </cell>
          <cell r="H159" t="str">
            <v>CORPORATIVO</v>
          </cell>
          <cell r="I159" t="str">
            <v>Martin Fienkeng - CISO/CIO Corp</v>
          </cell>
          <cell r="J159" t="str">
            <v>Carlos Sanchez Rubio</v>
          </cell>
          <cell r="K159" t="e">
            <v>#VALUE!</v>
          </cell>
          <cell r="L159" t="str">
            <v>Ninguno</v>
          </cell>
          <cell r="M159">
            <v>46356</v>
          </cell>
          <cell r="N159" t="str">
            <v>No</v>
          </cell>
          <cell r="O159"/>
          <cell r="P159"/>
          <cell r="Q159" t="str">
            <v>Seguridad de la información</v>
          </cell>
          <cell r="R159" t="e">
            <v>#VALUE!</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e">
            <v>#VALUE!</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e">
            <v>#VALUE!</v>
          </cell>
          <cell r="H160" t="str">
            <v>CORPORATIVO</v>
          </cell>
          <cell r="I160" t="str">
            <v>Martin Fienkeng - CISO/CIO Corp</v>
          </cell>
          <cell r="J160" t="str">
            <v>Carlos Sanchez Rubio</v>
          </cell>
          <cell r="K160" t="e">
            <v>#VALUE!</v>
          </cell>
          <cell r="L160" t="str">
            <v>Ninguno</v>
          </cell>
          <cell r="M160">
            <v>46356</v>
          </cell>
          <cell r="N160" t="str">
            <v>No</v>
          </cell>
          <cell r="O160"/>
          <cell r="P160"/>
          <cell r="Q160" t="str">
            <v>Seguridad de la información</v>
          </cell>
          <cell r="R160" t="e">
            <v>#VALUE!</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e">
            <v>#VALUE!</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e">
            <v>#VALUE!</v>
          </cell>
          <cell r="H161" t="str">
            <v>UPC</v>
          </cell>
          <cell r="I161" t="str">
            <v>Milagros Morgan - Rectorado UPC</v>
          </cell>
          <cell r="J161" t="str">
            <v>Miguel Chang</v>
          </cell>
          <cell r="K161" t="e">
            <v>#VALUE!</v>
          </cell>
          <cell r="L161" t="str">
            <v>Ninguno</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e">
            <v>#VALUE!</v>
          </cell>
          <cell r="Z161" t="e">
            <v>#VALUE!</v>
          </cell>
          <cell r="AA161">
            <v>1.2000000000000002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e">
            <v>#VALUE!</v>
          </cell>
          <cell r="H162" t="str">
            <v>LAUREATE</v>
          </cell>
          <cell r="I162" t="str">
            <v>Rossina Caballero - VP Legal</v>
          </cell>
          <cell r="J162" t="str">
            <v>Pamela Espinoza Tavera</v>
          </cell>
          <cell r="K162" t="e">
            <v>#VALUE!</v>
          </cell>
          <cell r="L162" t="str">
            <v>Franco Vera</v>
          </cell>
          <cell r="M162">
            <v>46203</v>
          </cell>
          <cell r="N162" t="str">
            <v>No</v>
          </cell>
          <cell r="O162"/>
          <cell r="P162"/>
          <cell r="Q162" t="str">
            <v>Compliance</v>
          </cell>
          <cell r="R162" t="e">
            <v>#VALUE!</v>
          </cell>
          <cell r="S162" t="e">
            <v>#VALUE!</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e">
            <v>#VALUE!</v>
          </cell>
          <cell r="Z162" t="e">
            <v>#VALUE!</v>
          </cell>
          <cell r="AA162">
            <v>2.0999999999999996</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e">
            <v>#VALUE!</v>
          </cell>
          <cell r="H163" t="str">
            <v>UPC</v>
          </cell>
          <cell r="I163" t="str">
            <v>Milagros Morgan - Rectorado UPC</v>
          </cell>
          <cell r="J163" t="str">
            <v>Diego Vega Casto - Sayan</v>
          </cell>
          <cell r="K163" t="e">
            <v>#VALUE!</v>
          </cell>
          <cell r="L163" t="str">
            <v>Ninguno</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e">
            <v>#VALUE!</v>
          </cell>
          <cell r="Z163" t="e">
            <v>#VALUE!</v>
          </cell>
          <cell r="AA163">
            <v>1.2000000000000002</v>
          </cell>
        </row>
        <row r="164">
          <cell r="A164">
            <v>190</v>
          </cell>
          <cell r="B164">
            <v>46169.652569444399</v>
          </cell>
          <cell r="C164">
            <v>46169.658240740697</v>
          </cell>
          <cell r="D164" t="str">
            <v>renzo.saenz@laureate.pe</v>
          </cell>
          <cell r="E164" t="str">
            <v>Renzo Sáenz Dávila</v>
          </cell>
          <cell r="F164" t="str">
            <v>[47] Finanzas: Proceso de reversas</v>
          </cell>
          <cell r="G164" t="e">
            <v>#VALUE!</v>
          </cell>
          <cell r="H164" t="str">
            <v>UPC</v>
          </cell>
          <cell r="I164" t="str">
            <v>Alex Pendavis - VP Finanzas</v>
          </cell>
          <cell r="J164" t="str">
            <v>Rafael Andrade</v>
          </cell>
          <cell r="K164" t="e">
            <v>#VALUE!</v>
          </cell>
          <cell r="L164" t="str">
            <v>Ninguno</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e">
            <v>#VALUE!</v>
          </cell>
          <cell r="Z164" t="e">
            <v>#VALUE!</v>
          </cell>
          <cell r="AA164">
            <v>1.2000000000000002</v>
          </cell>
        </row>
        <row r="165">
          <cell r="A165">
            <v>191</v>
          </cell>
          <cell r="B165">
            <v>46169.658587963</v>
          </cell>
          <cell r="C165">
            <v>46169.661851851903</v>
          </cell>
          <cell r="D165" t="str">
            <v>renzo.saenz@laureate.pe</v>
          </cell>
          <cell r="E165" t="str">
            <v>Renzo Sáenz Dávila</v>
          </cell>
          <cell r="F165" t="str">
            <v>[281] Pago por crédito / curso (PxC)</v>
          </cell>
          <cell r="G165" t="e">
            <v>#VALUE!</v>
          </cell>
          <cell r="H165" t="str">
            <v>UPC</v>
          </cell>
          <cell r="I165" t="str">
            <v>Alex Pendavis - VP Finanzas</v>
          </cell>
          <cell r="J165" t="str">
            <v>Rafael Andrade</v>
          </cell>
          <cell r="K165" t="e">
            <v>#VALUE!</v>
          </cell>
          <cell r="L165" t="str">
            <v>Ninguno</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e">
            <v>#VALUE!</v>
          </cell>
          <cell r="Z165" t="e">
            <v>#VALUE!</v>
          </cell>
          <cell r="AA165">
            <v>1.2000000000000002</v>
          </cell>
        </row>
        <row r="166">
          <cell r="A166">
            <v>192</v>
          </cell>
          <cell r="B166">
            <v>46169.662511574097</v>
          </cell>
          <cell r="C166">
            <v>46169.665196759299</v>
          </cell>
          <cell r="D166" t="str">
            <v>renzo.saenz@laureate.pe</v>
          </cell>
          <cell r="E166" t="str">
            <v>Renzo Sáenz Dávila</v>
          </cell>
          <cell r="F166" t="str">
            <v>[282] Recálculo de cuotas</v>
          </cell>
          <cell r="G166" t="e">
            <v>#VALUE!</v>
          </cell>
          <cell r="H166" t="str">
            <v>UPC</v>
          </cell>
          <cell r="I166" t="str">
            <v>Alex Pendavis - VP Finanzas</v>
          </cell>
          <cell r="J166" t="str">
            <v>Rafael Andrade</v>
          </cell>
          <cell r="K166" t="e">
            <v>#VALUE!</v>
          </cell>
          <cell r="L166" t="str">
            <v>Ninguno</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e">
            <v>#VALUE!</v>
          </cell>
          <cell r="Z166" t="e">
            <v>#VALUE!</v>
          </cell>
          <cell r="AA166">
            <v>1.2000000000000002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e">
            <v>#VALUE!</v>
          </cell>
          <cell r="H167" t="str">
            <v>UPC</v>
          </cell>
          <cell r="I167" t="str">
            <v>Alex Pendavis - VP Finanzas</v>
          </cell>
          <cell r="J167" t="str">
            <v>Rafael Andrade</v>
          </cell>
          <cell r="K167" t="e">
            <v>#VALUE!</v>
          </cell>
          <cell r="L167" t="str">
            <v>Ninguno</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e">
            <v>#VALUE!</v>
          </cell>
          <cell r="Z167" t="e">
            <v>#VALUE!</v>
          </cell>
          <cell r="AA167">
            <v>1.2000000000000002</v>
          </cell>
        </row>
        <row r="168">
          <cell r="A168">
            <v>194</v>
          </cell>
          <cell r="B168">
            <v>46169.667824074102</v>
          </cell>
          <cell r="C168">
            <v>46169.671122685198</v>
          </cell>
          <cell r="D168" t="str">
            <v>renzo.saenz@laureate.pe</v>
          </cell>
          <cell r="E168" t="str">
            <v>Renzo Sáenz Dávila</v>
          </cell>
          <cell r="F168" t="str">
            <v>[65] Clonación manual de cursos master</v>
          </cell>
          <cell r="G168" t="e">
            <v>#VALUE!</v>
          </cell>
          <cell r="H168" t="str">
            <v>UPC</v>
          </cell>
          <cell r="I168" t="str">
            <v>Milagros Morgan - Rectorado UPC</v>
          </cell>
          <cell r="J168" t="str">
            <v>Hector Viale</v>
          </cell>
          <cell r="K168" t="e">
            <v>#VALUE!</v>
          </cell>
          <cell r="L168" t="str">
            <v>Ninguno</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e">
            <v>#VALUE!</v>
          </cell>
          <cell r="Z168" t="e">
            <v>#VALUE!</v>
          </cell>
          <cell r="AA168">
            <v>1.2000000000000002</v>
          </cell>
        </row>
        <row r="169">
          <cell r="A169">
            <v>195</v>
          </cell>
          <cell r="B169">
            <v>46169.671412037002</v>
          </cell>
          <cell r="C169">
            <v>46169.673622685201</v>
          </cell>
          <cell r="D169" t="str">
            <v>renzo.saenz@laureate.pe</v>
          </cell>
          <cell r="E169" t="str">
            <v>Renzo Sáenz Dávila</v>
          </cell>
          <cell r="F169" t="str">
            <v>[284] Reportes y controles de Finanzas SOX</v>
          </cell>
          <cell r="G169" t="e">
            <v>#VALUE!</v>
          </cell>
          <cell r="H169" t="str">
            <v>UPC</v>
          </cell>
          <cell r="I169" t="str">
            <v>Alex Pendavis - VP Finanzas</v>
          </cell>
          <cell r="J169" t="str">
            <v>Rafael Andrade</v>
          </cell>
          <cell r="K169" t="e">
            <v>#VALUE!</v>
          </cell>
          <cell r="L169" t="str">
            <v>Ninguno</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e">
            <v>#VALUE!</v>
          </cell>
          <cell r="Z169" t="e">
            <v>#VALUE!</v>
          </cell>
          <cell r="AA169">
            <v>1.2000000000000002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e">
            <v>#VALUE!</v>
          </cell>
          <cell r="H170" t="str">
            <v>UPC</v>
          </cell>
          <cell r="I170" t="str">
            <v>Milagros Morgan - Rectorado UPC</v>
          </cell>
          <cell r="J170" t="str">
            <v>Manuel Cortez Fontcuberta</v>
          </cell>
          <cell r="K170" t="e">
            <v>#VALUE!</v>
          </cell>
          <cell r="L170" t="str">
            <v>Ninguno</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e">
            <v>#VALUE!</v>
          </cell>
          <cell r="Z170" t="e">
            <v>#VALUE!</v>
          </cell>
          <cell r="AA170">
            <v>1.2000000000000002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e">
            <v>#VALUE!</v>
          </cell>
          <cell r="H171" t="str">
            <v>UPC</v>
          </cell>
          <cell r="I171" t="str">
            <v>Milagros Morgan - Rectorado UPC</v>
          </cell>
          <cell r="J171" t="str">
            <v>Javiera Alcazar</v>
          </cell>
          <cell r="K171" t="e">
            <v>#VALUE!</v>
          </cell>
          <cell r="L171" t="str">
            <v>Ninguno</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e">
            <v>#VALUE!</v>
          </cell>
          <cell r="Z171" t="e">
            <v>#VALUE!</v>
          </cell>
          <cell r="AA171">
            <v>1.2000000000000002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e">
            <v>#VALUE!</v>
          </cell>
          <cell r="H172" t="str">
            <v>UPC</v>
          </cell>
          <cell r="I172" t="str">
            <v>Milagros Morgan - Rectorado UPC</v>
          </cell>
          <cell r="J172" t="str">
            <v>Javiera Alcazar</v>
          </cell>
          <cell r="K172" t="e">
            <v>#VALUE!</v>
          </cell>
          <cell r="L172" t="str">
            <v>Ninguno</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e">
            <v>#VALUE!</v>
          </cell>
          <cell r="Z172" t="e">
            <v>#VALUE!</v>
          </cell>
          <cell r="AA172">
            <v>1.2000000000000002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e">
            <v>#VALUE!</v>
          </cell>
          <cell r="H173" t="str">
            <v>UPC</v>
          </cell>
          <cell r="I173" t="str">
            <v>Milagros Morgan - Rectorado UPC</v>
          </cell>
          <cell r="J173" t="str">
            <v>Javiera Alcazar</v>
          </cell>
          <cell r="K173" t="e">
            <v>#VALUE!</v>
          </cell>
          <cell r="L173" t="str">
            <v>Ninguno</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e">
            <v>#VALUE!</v>
          </cell>
          <cell r="Z173" t="e">
            <v>#VALUE!</v>
          </cell>
          <cell r="AA173">
            <v>1.2000000000000002</v>
          </cell>
        </row>
        <row r="174">
          <cell r="A174">
            <v>200</v>
          </cell>
          <cell r="B174">
            <v>46169.686944444402</v>
          </cell>
          <cell r="C174">
            <v>46169.690324074101</v>
          </cell>
          <cell r="D174" t="str">
            <v>renzo.saenz@laureate.pe</v>
          </cell>
          <cell r="E174" t="str">
            <v>Renzo Sáenz Dávila</v>
          </cell>
          <cell r="F174" t="e">
            <v>#VALUE!</v>
          </cell>
          <cell r="G174" t="e">
            <v>#VALUE!</v>
          </cell>
          <cell r="H174" t="str">
            <v>UPC</v>
          </cell>
          <cell r="I174" t="str">
            <v>Milagros Morgan - Rectorado UPC</v>
          </cell>
          <cell r="J174" t="str">
            <v>Manuel Cortéz Fontcuberta</v>
          </cell>
          <cell r="K174" t="e">
            <v>#VALUE!</v>
          </cell>
          <cell r="L174" t="str">
            <v>Ninguno</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e">
            <v>#VALUE!</v>
          </cell>
          <cell r="Z174" t="e">
            <v>#VALUE!</v>
          </cell>
          <cell r="AA174">
            <v>1.2000000000000002</v>
          </cell>
        </row>
        <row r="175">
          <cell r="A175">
            <v>201</v>
          </cell>
          <cell r="B175">
            <v>46169.649259259299</v>
          </cell>
          <cell r="C175">
            <v>46169.741365740701</v>
          </cell>
          <cell r="D175" t="str">
            <v>davies.galdos@laureate.pe</v>
          </cell>
          <cell r="E175" t="str">
            <v>Davies Galdos Yactayo</v>
          </cell>
          <cell r="F175" t="str">
            <v>[194] - Reanudación de estudios</v>
          </cell>
          <cell r="G175" t="e">
            <v>#VALUE!</v>
          </cell>
          <cell r="H175" t="str">
            <v>UPC</v>
          </cell>
          <cell r="I175" t="str">
            <v>Milagros Morgan - Rectorado UPC</v>
          </cell>
          <cell r="J175" t="str">
            <v>Miguel Chang</v>
          </cell>
          <cell r="K175" t="e">
            <v>#VALUE!</v>
          </cell>
          <cell r="L175" t="str">
            <v>Ninguno</v>
          </cell>
          <cell r="M175">
            <v>46387</v>
          </cell>
          <cell r="N175" t="str">
            <v>No</v>
          </cell>
          <cell r="O175"/>
          <cell r="P175"/>
          <cell r="Q175" t="str">
            <v>Otro</v>
          </cell>
          <cell r="R175" t="e">
            <v>#VALUE!</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e">
            <v>#VALUE!</v>
          </cell>
          <cell r="Z175" t="e">
            <v>#VALUE!</v>
          </cell>
          <cell r="AA175">
            <v>1.2000000000000002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e">
            <v>#VALUE!</v>
          </cell>
          <cell r="H176" t="str">
            <v>UPC</v>
          </cell>
          <cell r="I176" t="str">
            <v>Milagros Morgan - Rectorado UPC</v>
          </cell>
          <cell r="J176" t="str">
            <v>Javiera Alcazar</v>
          </cell>
          <cell r="K176" t="e">
            <v>#VALUE!</v>
          </cell>
          <cell r="L176" t="str">
            <v>Ninguno</v>
          </cell>
          <cell r="M176">
            <v>46387</v>
          </cell>
          <cell r="N176" t="str">
            <v>No</v>
          </cell>
          <cell r="O176"/>
          <cell r="P176"/>
          <cell r="Q176" t="str">
            <v>Otro</v>
          </cell>
          <cell r="R176" t="e">
            <v>#VALUE!</v>
          </cell>
          <cell r="S176" t="str">
            <v>Ver archivo adjunto con información del requerimiento. Link: https://educorpperu-my.sharepoint.com/:x:/g/personal/diana_zapata_laureate_pe1/IQA4jws3Zxk9RI9Zb6WbpNsKAcXE0uImyxpnyZg5Gbjzhbs?e=3Ggumx</v>
          </cell>
          <cell r="T176" t="e">
            <v>#VALUE!</v>
          </cell>
          <cell r="U176" t="str">
            <v>Alumnos</v>
          </cell>
          <cell r="V176" t="str">
            <v>Excelencia operativa</v>
          </cell>
          <cell r="W176" t="str">
            <v>Si</v>
          </cell>
          <cell r="X176" t="str">
            <v>No cuantificado o S/0</v>
          </cell>
          <cell r="Y176" t="e">
            <v>#VALUE!</v>
          </cell>
          <cell r="Z176" t="e">
            <v>#VALUE!</v>
          </cell>
          <cell r="AA176">
            <v>1.2000000000000002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e">
            <v>#VALUE!</v>
          </cell>
          <cell r="H177" t="str">
            <v>UPC</v>
          </cell>
          <cell r="I177" t="str">
            <v>Milagros Morgan - Rectorado UPC</v>
          </cell>
          <cell r="J177" t="str">
            <v>Miguel Chang</v>
          </cell>
          <cell r="K177" t="e">
            <v>#VALUE!</v>
          </cell>
          <cell r="L177" t="str">
            <v>Ninguno</v>
          </cell>
          <cell r="M177">
            <v>46387</v>
          </cell>
          <cell r="N177" t="str">
            <v>No</v>
          </cell>
          <cell r="O177"/>
          <cell r="P177"/>
          <cell r="Q177" t="str">
            <v>Otro</v>
          </cell>
          <cell r="R177" t="e">
            <v>#VALUE!</v>
          </cell>
          <cell r="S177" t="str">
            <v>Ver archivo adjunto con información del requerimiento. Link: https://educorpperu-my.sharepoint.com/:x:/g/personal/diana_zapata_laureate_pe1/IQA4jws3Zxk9RI9Zb6WbpNsKAcXE0uImyxpnyZg5Gbjzhbs?e=3Ggumx</v>
          </cell>
          <cell r="T177" t="e">
            <v>#VALUE!</v>
          </cell>
          <cell r="U177" t="str">
            <v>Alumnos</v>
          </cell>
          <cell r="V177" t="str">
            <v>Excelencia operativa</v>
          </cell>
          <cell r="W177" t="str">
            <v>Si</v>
          </cell>
          <cell r="X177" t="str">
            <v>No cuantificado o S/0</v>
          </cell>
          <cell r="Y177" t="e">
            <v>#VALUE!</v>
          </cell>
          <cell r="Z177" t="e">
            <v>#VALUE!</v>
          </cell>
          <cell r="AA177">
            <v>1.2000000000000002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e">
            <v>#VALUE!</v>
          </cell>
          <cell r="H178" t="str">
            <v>UPC</v>
          </cell>
          <cell r="I178" t="str">
            <v>Milagros Morgan - Rectorado UPC</v>
          </cell>
          <cell r="J178" t="str">
            <v>Miguel Chang</v>
          </cell>
          <cell r="K178" t="e">
            <v>#VALUE!</v>
          </cell>
          <cell r="L178" t="str">
            <v>Ninguno</v>
          </cell>
          <cell r="M178">
            <v>46387</v>
          </cell>
          <cell r="N178" t="str">
            <v>No</v>
          </cell>
          <cell r="O178"/>
          <cell r="P178"/>
          <cell r="Q178" t="str">
            <v>Otro</v>
          </cell>
          <cell r="R178" t="e">
            <v>#VALUE!</v>
          </cell>
          <cell r="S178" t="str">
            <v>Ver archivo adjunto con información del requerimiento. Link: https://educorpperu-my.sharepoint.com/:x:/g/personal/diana_zapata_laureate_pe1/IQA4jws3Zxk9RI9Zb6WbpNsKAcXE0uImyxpnyZg5Gbjzhbs?e=3Ggumx</v>
          </cell>
          <cell r="T178" t="e">
            <v>#VALUE!</v>
          </cell>
          <cell r="U178" t="str">
            <v>Alumnos</v>
          </cell>
          <cell r="V178" t="str">
            <v>Excelencia operativa</v>
          </cell>
          <cell r="W178" t="str">
            <v>Si</v>
          </cell>
          <cell r="X178" t="str">
            <v>No cuantificado o S/0</v>
          </cell>
          <cell r="Y178" t="e">
            <v>#VALUE!</v>
          </cell>
          <cell r="Z178" t="e">
            <v>#VALUE!</v>
          </cell>
          <cell r="AA178">
            <v>1.2000000000000002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e">
            <v>#VALUE!</v>
          </cell>
          <cell r="H179" t="str">
            <v>UPC</v>
          </cell>
          <cell r="I179" t="str">
            <v>Milagros Morgan - Rectorado UPC</v>
          </cell>
          <cell r="J179" t="str">
            <v>Miguel Chang</v>
          </cell>
          <cell r="K179" t="e">
            <v>#VALUE!</v>
          </cell>
          <cell r="L179" t="str">
            <v>Ninguno</v>
          </cell>
          <cell r="M179">
            <v>46387</v>
          </cell>
          <cell r="N179" t="str">
            <v>No</v>
          </cell>
          <cell r="O179"/>
          <cell r="P179"/>
          <cell r="Q179" t="str">
            <v>Otro</v>
          </cell>
          <cell r="R179" t="e">
            <v>#VALUE!</v>
          </cell>
          <cell r="S179" t="str">
            <v>Ver archivo adjunto con información del requerimiento. Link: https://educorpperu-my.sharepoint.com/:x:/g/personal/diana_zapata_laureate_pe1/IQA4jws3Zxk9RI9Zb6WbpNsKAcXE0uImyxpnyZg5Gbjzhbs?e=3Ggumx</v>
          </cell>
          <cell r="T179" t="e">
            <v>#VALUE!</v>
          </cell>
          <cell r="U179" t="str">
            <v>Alumnos</v>
          </cell>
          <cell r="V179" t="str">
            <v>Excelencia operativa</v>
          </cell>
          <cell r="W179" t="str">
            <v>Si</v>
          </cell>
          <cell r="X179" t="str">
            <v>No cuantificado o S/0</v>
          </cell>
          <cell r="Y179" t="e">
            <v>#VALUE!</v>
          </cell>
          <cell r="Z179" t="e">
            <v>#VALUE!</v>
          </cell>
          <cell r="AA179">
            <v>1.2000000000000002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e">
            <v>#VALUE!</v>
          </cell>
          <cell r="H180" t="str">
            <v>UPC</v>
          </cell>
          <cell r="I180" t="str">
            <v>Milagros Morgan - Rectorado UPC</v>
          </cell>
          <cell r="J180" t="str">
            <v>Miguel Chang</v>
          </cell>
          <cell r="K180" t="e">
            <v>#VALUE!</v>
          </cell>
          <cell r="L180" t="str">
            <v>Ninguno</v>
          </cell>
          <cell r="M180">
            <v>46387</v>
          </cell>
          <cell r="N180" t="str">
            <v>No</v>
          </cell>
          <cell r="O180"/>
          <cell r="P180"/>
          <cell r="Q180" t="str">
            <v>Otro</v>
          </cell>
          <cell r="R180" t="e">
            <v>#VALUE!</v>
          </cell>
          <cell r="S180" t="str">
            <v>Ver archivo adjunto con información del requerimiento. Link: https://educorpperu-my.sharepoint.com/:x:/g/personal/diana_zapata_laureate_pe1/IQA4jws3Zxk9RI9Zb6WbpNsKAcXE0uImyxpnyZg5Gbjzhbs?e=3Ggumx</v>
          </cell>
          <cell r="T180" t="e">
            <v>#VALUE!</v>
          </cell>
          <cell r="U180" t="str">
            <v>Alumnos</v>
          </cell>
          <cell r="V180" t="str">
            <v>Excelencia operativa</v>
          </cell>
          <cell r="W180" t="str">
            <v>Si</v>
          </cell>
          <cell r="X180" t="str">
            <v>No cuantificado o S/0</v>
          </cell>
          <cell r="Y180" t="e">
            <v>#VALUE!</v>
          </cell>
          <cell r="Z180" t="e">
            <v>#VALUE!</v>
          </cell>
          <cell r="AA180">
            <v>1.2000000000000002</v>
          </cell>
        </row>
        <row r="181">
          <cell r="A181">
            <v>207</v>
          </cell>
          <cell r="B181">
            <v>46169.7590277778</v>
          </cell>
          <cell r="C181">
            <v>46169.760717592602</v>
          </cell>
          <cell r="D181" t="str">
            <v>davies.galdos@laureate.pe</v>
          </cell>
          <cell r="E181" t="str">
            <v>Davies Galdos Yactayo</v>
          </cell>
          <cell r="F181" t="str">
            <v>[36] - Convalidación PPP</v>
          </cell>
          <cell r="G181" t="e">
            <v>#VALUE!</v>
          </cell>
          <cell r="H181" t="str">
            <v>UPC</v>
          </cell>
          <cell r="I181" t="str">
            <v>Milagros Morgan - Rectorado UPC</v>
          </cell>
          <cell r="J181" t="str">
            <v>Mónica Villegas</v>
          </cell>
          <cell r="K181" t="e">
            <v>#VALUE!</v>
          </cell>
          <cell r="L181" t="str">
            <v>Ninguno</v>
          </cell>
          <cell r="M181">
            <v>46387</v>
          </cell>
          <cell r="N181" t="str">
            <v>No</v>
          </cell>
          <cell r="O181"/>
          <cell r="P181"/>
          <cell r="Q181" t="str">
            <v>Otro</v>
          </cell>
          <cell r="R181" t="e">
            <v>#VALUE!</v>
          </cell>
          <cell r="S181" t="str">
            <v>Ver archivo adjunto con información del requerimiento. Link: https://educorpperu-my.sharepoint.com/:x:/g/personal/diana_zapata_laureate_pe1/IQA4jws3Zxk9RI9Zb6WbpNsKAcXE0uImyxpnyZg5Gbjzhbs?e=3Ggumx</v>
          </cell>
          <cell r="T181" t="e">
            <v>#VALUE!</v>
          </cell>
          <cell r="U181" t="str">
            <v>Alumnos</v>
          </cell>
          <cell r="V181" t="str">
            <v>Excelencia operativa</v>
          </cell>
          <cell r="W181" t="str">
            <v>Si</v>
          </cell>
          <cell r="X181" t="str">
            <v>No cuantificado o S/0</v>
          </cell>
          <cell r="Y181" t="e">
            <v>#VALUE!</v>
          </cell>
          <cell r="Z181" t="e">
            <v>#VALUE!</v>
          </cell>
          <cell r="AA181">
            <v>1.2000000000000002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e">
            <v>#VALUE!</v>
          </cell>
          <cell r="H182" t="str">
            <v>UPC</v>
          </cell>
          <cell r="I182" t="str">
            <v>Milagros Morgan - Rectorado UPC</v>
          </cell>
          <cell r="J182" t="str">
            <v>Maria Isabel Cifuentes</v>
          </cell>
          <cell r="K182" t="e">
            <v>#VALUE!</v>
          </cell>
          <cell r="L182" t="str">
            <v>Ninguno</v>
          </cell>
          <cell r="M182">
            <v>46387</v>
          </cell>
          <cell r="N182" t="str">
            <v>No</v>
          </cell>
          <cell r="O182"/>
          <cell r="P182"/>
          <cell r="Q182" t="str">
            <v>Otro</v>
          </cell>
          <cell r="R182" t="e">
            <v>#VALUE!</v>
          </cell>
          <cell r="S182" t="str">
            <v>Ver archivo adjunto con información del requerimiento. Link: https://educorpperu-my.sharepoint.com/:x:/g/personal/diana_zapata_laureate_pe1/IQA4jws3Zxk9RI9Zb6WbpNsKAcXE0uImyxpnyZg5Gbjzhbs?e=3Ggumx</v>
          </cell>
          <cell r="T182" t="e">
            <v>#VALUE!</v>
          </cell>
          <cell r="U182" t="str">
            <v>Alumnos</v>
          </cell>
          <cell r="V182" t="str">
            <v>Excelencia operativa</v>
          </cell>
          <cell r="W182" t="str">
            <v>Si</v>
          </cell>
          <cell r="X182" t="str">
            <v>No cuantificado o S/0</v>
          </cell>
          <cell r="Y182" t="e">
            <v>#VALUE!</v>
          </cell>
          <cell r="Z182" t="e">
            <v>#VALUE!</v>
          </cell>
          <cell r="AA182">
            <v>1.2000000000000002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Humberto Marota - Tecnologías y transformación digital</v>
          </cell>
          <cell r="J183" t="str">
            <v>Danilo Nogueira Tauil</v>
          </cell>
          <cell r="K183" t="e">
            <v>#VALUE!</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e">
            <v>#VALUE!</v>
          </cell>
          <cell r="AA183">
            <v>0.60000000000000009</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Humberto Marota - Tecnologías y transformación digital</v>
          </cell>
          <cell r="J184" t="str">
            <v>Danilo Nogueira Tauil</v>
          </cell>
          <cell r="K184" t="e">
            <v>#VALUE!</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0.60000000000000009</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e">
            <v>#VALUE!</v>
          </cell>
          <cell r="H185" t="str">
            <v>UPC</v>
          </cell>
          <cell r="I185" t="str">
            <v>Milagros Morgan - Rectorado UPC</v>
          </cell>
          <cell r="J185" t="str">
            <v>Miguel Chang</v>
          </cell>
          <cell r="K185" t="e">
            <v>#VALUE!</v>
          </cell>
          <cell r="L185" t="str">
            <v>Ninguno</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e">
            <v>#VALUE!</v>
          </cell>
          <cell r="Z185" t="e">
            <v>#VALUE!</v>
          </cell>
          <cell r="AA185">
            <v>1.2000000000000002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e">
            <v>#VALUE!</v>
          </cell>
          <cell r="H186" t="str">
            <v>UPC</v>
          </cell>
          <cell r="I186" t="str">
            <v>Milagros Morgan - Rectorado UPC</v>
          </cell>
          <cell r="J186" t="str">
            <v>Miguel Chang</v>
          </cell>
          <cell r="K186" t="e">
            <v>#VALUE!</v>
          </cell>
          <cell r="L186" t="str">
            <v>Ninguno</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e">
            <v>#VALUE!</v>
          </cell>
          <cell r="Z186" t="e">
            <v>#VALUE!</v>
          </cell>
          <cell r="AA186">
            <v>1.2000000000000002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e">
            <v>#VALUE!</v>
          </cell>
          <cell r="H187" t="str">
            <v>UPC</v>
          </cell>
          <cell r="I187" t="str">
            <v>Milagros Morgan - Rectorado UPC</v>
          </cell>
          <cell r="J187" t="str">
            <v>Miguel Chang</v>
          </cell>
          <cell r="K187" t="e">
            <v>#VALUE!</v>
          </cell>
          <cell r="L187" t="str">
            <v>Ninguno</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e">
            <v>#VALUE!</v>
          </cell>
          <cell r="Z187" t="e">
            <v>#VALUE!</v>
          </cell>
          <cell r="AA187">
            <v>1.2000000000000002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e">
            <v>#VALUE!</v>
          </cell>
          <cell r="H188" t="str">
            <v>UPC</v>
          </cell>
          <cell r="I188" t="str">
            <v>Milagros Morgan - Rectorado UPC</v>
          </cell>
          <cell r="J188" t="str">
            <v>Miguel Chang</v>
          </cell>
          <cell r="K188" t="e">
            <v>#VALUE!</v>
          </cell>
          <cell r="L188" t="str">
            <v>Ninguno</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e">
            <v>#VALUE!</v>
          </cell>
          <cell r="Z188" t="e">
            <v>#VALUE!</v>
          </cell>
          <cell r="AA188">
            <v>1.2000000000000002</v>
          </cell>
        </row>
        <row r="189">
          <cell r="A189">
            <v>215</v>
          </cell>
          <cell r="B189">
            <v>46169.997152777803</v>
          </cell>
          <cell r="C189">
            <v>46169.999085648145</v>
          </cell>
          <cell r="D189" t="str">
            <v>carla.arias@laureate.pe</v>
          </cell>
          <cell r="E189" t="str">
            <v>Carla Arias Schreiber Ulloa</v>
          </cell>
          <cell r="F189" t="str">
            <v>[209] Implementación de Plataforma de Gestión de Cambios y Asignación docente de la Programación Horaria.</v>
          </cell>
          <cell r="G189" t="e">
            <v>#VALUE!</v>
          </cell>
          <cell r="H189" t="str">
            <v>UPC</v>
          </cell>
          <cell r="I189" t="str">
            <v>Milagros Morgan - Rectorado UPC</v>
          </cell>
          <cell r="J189" t="str">
            <v>Miguel Chang</v>
          </cell>
          <cell r="K189" t="e">
            <v>#VALUE!</v>
          </cell>
          <cell r="L189" t="str">
            <v>Ninguno</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e">
            <v>#VALUE!</v>
          </cell>
          <cell r="Z189" t="e">
            <v>#VALUE!</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e">
            <v>#VALUE!</v>
          </cell>
          <cell r="H190" t="str">
            <v>UPC</v>
          </cell>
          <cell r="I190" t="str">
            <v>Milagros Morgan - Rectorado UPC</v>
          </cell>
          <cell r="J190" t="str">
            <v>Miguel Chang</v>
          </cell>
          <cell r="K190" t="e">
            <v>#VALUE!</v>
          </cell>
          <cell r="L190" t="str">
            <v>Ninguno</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e">
            <v>#VALUE!</v>
          </cell>
          <cell r="Z190" t="e">
            <v>#VALUE!</v>
          </cell>
          <cell r="AA190">
            <v>1.2000000000000002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e">
            <v>#VALUE!</v>
          </cell>
          <cell r="H191" t="str">
            <v>UPC</v>
          </cell>
          <cell r="I191" t="str">
            <v>Milagros Morgan - Rectorado UPC</v>
          </cell>
          <cell r="J191" t="str">
            <v>Miguel Chang</v>
          </cell>
          <cell r="K191" t="e">
            <v>#VALUE!</v>
          </cell>
          <cell r="L191" t="str">
            <v>Ninguno</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e">
            <v>#VALUE!</v>
          </cell>
          <cell r="Z191" t="e">
            <v>#VALUE!</v>
          </cell>
          <cell r="AA191">
            <v>0.60000000000000009</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e">
            <v>#VALUE!</v>
          </cell>
          <cell r="H192" t="str">
            <v>UPC</v>
          </cell>
          <cell r="I192" t="str">
            <v>Milagros Morgan - Rectorado UPC</v>
          </cell>
          <cell r="J192" t="str">
            <v>Miguel Chang</v>
          </cell>
          <cell r="K192" t="e">
            <v>#VALUE!</v>
          </cell>
          <cell r="L192" t="str">
            <v>Ninguno</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e">
            <v>#VALUE!</v>
          </cell>
          <cell r="Z192" t="e">
            <v>#VALUE!</v>
          </cell>
          <cell r="AA192">
            <v>1.2000000000000002</v>
          </cell>
        </row>
        <row r="193">
          <cell r="A193">
            <v>219</v>
          </cell>
          <cell r="B193">
            <v>46170.004328703697</v>
          </cell>
          <cell r="C193">
            <v>46170.005775463003</v>
          </cell>
          <cell r="D193" t="str">
            <v>carla.arias@laureate.pe</v>
          </cell>
          <cell r="E193" t="str">
            <v>Carla Arias Schreiber Ulloa</v>
          </cell>
          <cell r="F193" t="str">
            <v>[257] Reporte alumnos reanudantes</v>
          </cell>
          <cell r="G193" t="e">
            <v>#VALUE!</v>
          </cell>
          <cell r="H193" t="str">
            <v>UPC</v>
          </cell>
          <cell r="I193" t="str">
            <v>Milagros Morgan - Rectorado UPC</v>
          </cell>
          <cell r="J193" t="str">
            <v>Miguel Chang</v>
          </cell>
          <cell r="K193" t="e">
            <v>#VALUE!</v>
          </cell>
          <cell r="L193" t="str">
            <v>Ninguno</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e">
            <v>#VALUE!</v>
          </cell>
          <cell r="Z193" t="e">
            <v>#VALUE!</v>
          </cell>
          <cell r="AA193">
            <v>1.2000000000000002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e">
            <v>#VALUE!</v>
          </cell>
          <cell r="H194" t="str">
            <v>UPC</v>
          </cell>
          <cell r="I194" t="str">
            <v>Milagros Morgan - Rectorado UPC</v>
          </cell>
          <cell r="J194" t="str">
            <v>Miguel Chang</v>
          </cell>
          <cell r="K194" t="e">
            <v>#VALUE!</v>
          </cell>
          <cell r="L194" t="str">
            <v>Ninguno</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e">
            <v>#VALUE!</v>
          </cell>
          <cell r="Z194" t="e">
            <v>#VALUE!</v>
          </cell>
          <cell r="AA194">
            <v>1.2000000000000002</v>
          </cell>
        </row>
        <row r="195">
          <cell r="A195">
            <v>221</v>
          </cell>
          <cell r="B195">
            <v>46170.006446759297</v>
          </cell>
          <cell r="C195">
            <v>46170.007523148102</v>
          </cell>
          <cell r="D195" t="str">
            <v>carla.arias@laureate.pe</v>
          </cell>
          <cell r="E195" t="str">
            <v>Carla Arias Schreiber Ulloa</v>
          </cell>
          <cell r="F195" t="str">
            <v>[263] MDUU CAMBIO_PERIODO_CTLG</v>
          </cell>
          <cell r="G195" t="e">
            <v>#VALUE!</v>
          </cell>
          <cell r="H195" t="str">
            <v>UPC</v>
          </cell>
          <cell r="I195" t="str">
            <v>Milagros Morgan - Rectorado UPC</v>
          </cell>
          <cell r="J195" t="str">
            <v>Miguel Chang</v>
          </cell>
          <cell r="K195" t="e">
            <v>#VALUE!</v>
          </cell>
          <cell r="L195" t="str">
            <v>Ninguno</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e">
            <v>#VALUE!</v>
          </cell>
          <cell r="Z195" t="e">
            <v>#VALUE!</v>
          </cell>
          <cell r="AA195">
            <v>1.2000000000000002</v>
          </cell>
        </row>
        <row r="196">
          <cell r="A196">
            <v>222</v>
          </cell>
          <cell r="B196">
            <v>46170.377951388902</v>
          </cell>
          <cell r="C196">
            <v>46170.668530092596</v>
          </cell>
          <cell r="D196" t="str">
            <v>angela.lucano@laureate.pe</v>
          </cell>
          <cell r="E196" t="str">
            <v>Angela Lucano Carranza</v>
          </cell>
          <cell r="F196" t="str">
            <v>UPC - Modernización y continuidad operativa del Repositorio Académico</v>
          </cell>
          <cell r="G196" t="e">
            <v>#VALUE!</v>
          </cell>
          <cell r="H196" t="str">
            <v>UPC</v>
          </cell>
          <cell r="I196" t="str">
            <v>Milagros Morgan - Rectorado UPC</v>
          </cell>
          <cell r="J196" t="str">
            <v>Cecilia Justino - Director de Gestión del Conocimiento</v>
          </cell>
          <cell r="K196" t="e">
            <v>#VALUE!</v>
          </cell>
          <cell r="L196" t="str">
            <v>Ángela Lucano</v>
          </cell>
          <cell r="M196">
            <v>46356</v>
          </cell>
          <cell r="N196" t="str">
            <v>No</v>
          </cell>
          <cell r="O196"/>
          <cell r="P196"/>
          <cell r="Q196" t="str">
            <v>Otro</v>
          </cell>
          <cell r="R196" t="str">
            <v>El repositorio opera sobre una versión antigua de DSpace sin soporte oficial ni actualizaciones, lo que genera riesgos operativos altos y observaciones de seguridad, además de ofrecer una interfaz rígida y estadísticas limitadas.</v>
          </cell>
          <cell r="S196" t="str">
            <v>Migrar a una infraestructura robusta de última generación (DSpace 7+) con soporte experto 24/7, que resuelva de inmediato las brechas de seguridad, ofrezca una experiencia de usuario intuitiva y moderna, e implemente un módulo de analítica avanzada.</v>
          </cell>
          <cell r="T196" t="e">
            <v>#VALUE!</v>
          </cell>
          <cell r="U196" t="str">
            <v>Todos</v>
          </cell>
          <cell r="V196" t="str">
            <v>Excelencia operativa</v>
          </cell>
          <cell r="W196" t="str">
            <v>No</v>
          </cell>
          <cell r="X196" t="str">
            <v>No cuantificado o S/0</v>
          </cell>
          <cell r="Y196" t="e">
            <v>#VALUE!</v>
          </cell>
          <cell r="Z196" t="e">
            <v>#VALUE!</v>
          </cell>
          <cell r="AA196">
            <v>1.2000000000000002</v>
          </cell>
        </row>
        <row r="197">
          <cell r="A197">
            <v>223</v>
          </cell>
          <cell r="B197">
            <v>46170.759953703702</v>
          </cell>
          <cell r="C197">
            <v>46170.7745138889</v>
          </cell>
          <cell r="D197" t="str">
            <v>carla.arias@laureate.pe</v>
          </cell>
          <cell r="E197" t="str">
            <v>Carla Arias Schreiber Ulloa</v>
          </cell>
          <cell r="F197" t="str">
            <v>Modificación de query de RPA de Horarios Convalidantes [urgente]</v>
          </cell>
          <cell r="G197" t="e">
            <v>#VALUE!</v>
          </cell>
          <cell r="H197" t="str">
            <v>UPN</v>
          </cell>
          <cell r="I197" t="str">
            <v>Martín Santana - Rectorado UPN</v>
          </cell>
          <cell r="J197" t="str">
            <v>Adolfo Correa</v>
          </cell>
          <cell r="K197" t="e">
            <v>#VALUE!</v>
          </cell>
          <cell r="L197" t="str">
            <v>Carla Arias-Schreiber</v>
          </cell>
          <cell r="M197">
            <v>46185</v>
          </cell>
          <cell r="N197" t="str">
            <v>No</v>
          </cell>
          <cell r="O197"/>
          <cell r="P197"/>
          <cell r="Q197" t="str">
            <v>Otro</v>
          </cell>
          <cell r="R197" t="e">
            <v>#VALUE!</v>
          </cell>
          <cell r="S197" t="str">
            <v>Que la query incluya criterios de ordenamiento de clases, validados con las áreas académicas, a fin de asegurar una mayor efectividad y registro de matrículas.</v>
          </cell>
          <cell r="T197" t="str">
            <v>Admisión y matrícula de estudiantes nuevos</v>
          </cell>
          <cell r="U197" t="str">
            <v>Alumnos</v>
          </cell>
          <cell r="V197" t="str">
            <v>Crecimiento escalable</v>
          </cell>
          <cell r="W197" t="str">
            <v>No</v>
          </cell>
          <cell r="X197" t="str">
            <v>Entre S/100,000.00 y S/500,000.00</v>
          </cell>
          <cell r="Y197" t="str">
            <v>Impacto aproximado en 1000 NE sin horarios.
Sin horarios, hay gran posibilidad de deserción y no pago de la CM (promedio S/. 750 por estudiante)</v>
          </cell>
          <cell r="Z197" t="str">
            <v>https://educorpperu-my.sharepoint.com/personal/diana_zapata_laureate_pe1/_layouts/15/Doc.aspx?sourcedoc=%7B45E01FAF-19EF-4B31-AA5C-E27A0AF53719%7D&amp;file=Reglas%20RPA%20Convalidaci%C3%B3n_Carla%20Arias%20Schreibe.xlsx&amp;action=default&amp;mobileredirect=true</v>
          </cell>
          <cell r="AA197">
            <v>1.7</v>
          </cell>
        </row>
        <row r="198">
          <cell r="A198">
            <v>224</v>
          </cell>
          <cell r="B198">
            <v>46175.551284722198</v>
          </cell>
          <cell r="C198">
            <v>46175.568969907399</v>
          </cell>
          <cell r="D198" t="str">
            <v>carla.arias@laureate.pe</v>
          </cell>
          <cell r="E198" t="str">
            <v>Carla Arias Schreiber Ulloa</v>
          </cell>
          <cell r="F198" t="str">
            <v>[Urgente] Subsanar impacto en Retiro de Cursos</v>
          </cell>
          <cell r="G198" t="e">
            <v>#VALUE!</v>
          </cell>
          <cell r="H198" t="str">
            <v>UPN</v>
          </cell>
          <cell r="I198" t="str">
            <v>Martín Santana - Rectorado UPN</v>
          </cell>
          <cell r="J198" t="str">
            <v>Luz Marina Flores</v>
          </cell>
          <cell r="K198" t="e">
            <v>#VALUE!</v>
          </cell>
          <cell r="L198" t="str">
            <v>Carla Arias-Schreiber</v>
          </cell>
          <cell r="M198">
            <v>46178</v>
          </cell>
          <cell r="N198" t="str">
            <v>No</v>
          </cell>
          <cell r="O198"/>
          <cell r="P198"/>
          <cell r="Q198" t="str">
            <v>Normativa</v>
          </cell>
          <cell r="R198" t="str">
            <v xml:space="preserve">Los estudiantes pueden retirarse de en cursos están finalizados, incumpliendo nuestro reglamento de estudios.
</v>
          </cell>
          <cell r="S198" t="str">
            <v>Asegurar que las solicitudes de retiro de cursos solo permitan seleccionar los cursos habilitados, es decir, que a la fecha de la solicitud el curso no haya culminado.</v>
          </cell>
          <cell r="T198" t="str">
            <v>Retiro de Curso</v>
          </cell>
          <cell r="U198" t="str">
            <v>Alumnos</v>
          </cell>
          <cell r="V198" t="str">
            <v>Excelencia académica</v>
          </cell>
          <cell r="W198" t="str">
            <v>No</v>
          </cell>
          <cell r="X198" t="str">
            <v>No cuantificado o S/0</v>
          </cell>
          <cell r="Y198" t="str">
            <v>Cumplimiento de reglamento de estudios</v>
          </cell>
          <cell r="Z198" t="e">
            <v>#VALUE!</v>
          </cell>
          <cell r="AA198">
            <v>2.9</v>
          </cell>
        </row>
      </sheetData>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94" dataDxfId="93">
  <autoFilter ref="A1:AM62" xr:uid="{00000000-0009-0000-0100-000001000000}"/>
  <tableColumns count="39">
    <tableColumn id="1" xr3:uid="{4A683C2A-AC54-420A-9DB3-F3F03BF5BBE4}" name="Id" dataDxfId="92"/>
    <tableColumn id="2" xr3:uid="{F0F768EC-80AA-4BA1-8B70-05645D19063E}" name="Hora de inicio" dataDxfId="91"/>
    <tableColumn id="3" xr3:uid="{EA28C657-795C-412F-971D-6B20CA01F44C}" name="Hora de finalización" dataDxfId="90"/>
    <tableColumn id="4" xr3:uid="{03B1A565-83D7-4086-9D58-734955641E05}" name="Correo electrónico" dataDxfId="89"/>
    <tableColumn id="5" xr3:uid="{399ECA28-258B-4A15-AB90-2D3B53778637}" name="Nombre" dataDxfId="88"/>
    <tableColumn id="6" xr3:uid="{BF75C2E9-BCAF-4A38-9C60-EE3D3E308FB8}" name="Título de la INICIATIVA" dataDxfId="87"/>
    <tableColumn id="7" xr3:uid="{9E0A594A-0158-4908-9738-F9F780754B3D}" name="Institución" dataDxfId="86"/>
    <tableColumn id="34" xr3:uid="{62942DD0-71AE-4388-B1E0-E21978870DF0}" name="VP del área solicitante" dataDxfId="85"/>
    <tableColumn id="35" xr3:uid="{E31E4D86-F382-49EA-8F4F-8712F808E807}" name="Usuario - Gerencia, Área solicitante" dataDxfId="84"/>
    <tableColumn id="8" xr3:uid="{199ADA45-AAA7-4CA1-920F-FD9DE0D49522}" name="Usuario - VP, Gerencia, Área solicitante  - NO UTILIZAR" dataDxfId="83"/>
    <tableColumn id="27" xr3:uid="{71E74F3C-7829-4FC0-9EB1-13B5123A0F01}" name="BRM   - NO UTILIZAR" dataDxfId="82"/>
    <tableColumn id="31" xr3:uid="{F83AC330-A3DA-4311-98E3-9AB03CFB9813}" name="BRM UPC" dataDxfId="81"/>
    <tableColumn id="33" xr3:uid="{76DDED6C-C9B7-4F81-8228-377441584411}" name="BRM CIB" dataDxfId="80"/>
    <tableColumn id="32" xr3:uid="{BE61020B-CA01-499E-A5AB-F4592239B434}" name="BRM UPN" dataDxfId="79"/>
    <tableColumn id="9" xr3:uid="{5CAA60E1-FBF4-4C50-A40C-9A3092FFF9BA}" name="Gerente de BRM" dataDxfId="78"/>
    <tableColumn id="10" xr3:uid="{C09AA396-0532-40DD-99BA-B1EAC6F73CB9}" name="Nro de ticket de service now (RIT) - NO UTILIZAR" dataDxfId="77"/>
    <tableColumn id="11" xr3:uid="{F79C4863-61D2-44CB-837C-F78C7244CD2B}" name="Cuando se necesita  - NO UTILIZAR" dataDxfId="76"/>
    <tableColumn id="36" xr3:uid="{FADA7662-5227-45E3-A8D8-AC0963C31495}" name="Proyecto SPO" dataDxfId="75"/>
    <tableColumn id="38" xr3:uid="{881C29A3-B0D8-4FAA-8C07-30D1434E2A8A}" name="Seleccionar el workstream del proyecto SPO" dataDxfId="74"/>
    <tableColumn id="39" xr3:uid="{DCFF65CF-77B7-4552-B8C1-2185A011F61D}" name="Iniciativa de seguridad de la información" dataDxfId="73"/>
    <tableColumn id="37" xr3:uid="{6CB31A4A-179C-409A-9EBD-77EF615D9AB0}" name="Indicar id del proyecto SPO - NO UTILIZAR" dataDxfId="72"/>
    <tableColumn id="28" xr3:uid="{A70B5D42-FB8C-4BF8-9280-F017D473DB72}" name="Para cuando se necesita?" dataDxfId="71"/>
    <tableColumn id="12" xr3:uid="{62F0451A-D198-42EF-8A9F-B7C3D2D11934}" name="Presupuesto " dataDxfId="70"/>
    <tableColumn id="13" xr3:uid="{35B2183E-0256-49B3-940C-56A589574ABA}" name="Proyecto SPO (Oficina Proyectos Estrategicos) - NO UTILIZAR" dataDxfId="69"/>
    <tableColumn id="14" xr3:uid="{641B86AE-97BC-48C5-A9B2-CBA336317344}" name="Descripción del problema o desafío" dataDxfId="68"/>
    <tableColumn id="15" xr3:uid="{08812FD5-895D-4CC1-934D-64437D13FF61}" name="Procesos impactados" dataDxfId="67"/>
    <tableColumn id="29" xr3:uid="{289E3FB4-593F-4206-BF5B-F966AA22AD45}" name="Situación deseada" dataDxfId="66"/>
    <tableColumn id="16" xr3:uid="{3957924E-3F85-4620-A067-BB449AD46736}" name="Situación actual " dataDxfId="65"/>
    <tableColumn id="17" xr3:uid="{0CCC7449-A3F0-42DD-9334-436B92CADA96}" name="Origen - Causa Raiz" dataDxfId="64"/>
    <tableColumn id="30" xr3:uid="{3B92662F-226F-474D-B210-C6DB7424FCD2}" name="Otros usuarios que deben ser considerados" dataDxfId="63"/>
    <tableColumn id="18" xr3:uid="{1A35CA55-D2CA-4D17-90EC-D2A3AE986F48}" name="Usuarios afectados" dataDxfId="62"/>
    <tableColumn id="19" xr3:uid="{60950DF5-931D-48E9-9592-A8E066D478A3}" name="Impacto en el negocio" dataDxfId="61"/>
    <tableColumn id="20" xr3:uid="{5F8CCD7D-A404-4351-83FF-1FB68757F275}" name="Objetivo" dataDxfId="60"/>
    <tableColumn id="21" xr3:uid="{D9AD8BC8-B7BF-4F73-BFA1-10DD4D56D291}" name="Pilar estratégico" dataDxfId="59"/>
    <tableColumn id="22" xr3:uid="{6097867D-78A7-4803-A799-F12AE152B955}" name="Forma parte de la estabilización de procesos  SIS" dataDxfId="58"/>
    <tableColumn id="23" xr3:uid="{85412C1A-8853-4727-8140-2458326990FF}" name="Impacto SOX" dataDxfId="57"/>
    <tableColumn id="24" xr3:uid="{3ED96E13-09EB-434A-BD0B-EC3907D12440}" name="Beneficio cuantitativo" dataDxfId="56"/>
    <tableColumn id="25" xr3:uid="{C6580178-8849-42F6-95C0-609316E4CFC7}" name="Beneficios cualitativos" dataDxfId="55"/>
    <tableColumn id="26" xr3:uid="{85E5E21A-3EC9-4208-9A2B-C240C2F2C4B2}" name="Adjuntar sustentos que ayuden al entendimiento de la necesidad ( Correos de aprobación VP, Lineamientos Corporativos, Nuevas regulaciones , Cartas de aplicación de multas, informes SOX, etc)" dataDxfId="5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53" dataDxfId="52">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51"/>
    <tableColumn id="2" xr3:uid="{C8548EDF-A475-4D47-826C-8F637EACFC74}" name="Moneda" dataDxfId="50"/>
    <tableColumn id="3" xr3:uid="{9ADE5808-4A4A-46DE-BB03-B62DF03D589E}" name="Costo estimado" dataDxfId="49"/>
    <tableColumn id="4" xr3:uid="{4354C3C3-A87D-41D0-BF2B-85CA0C22F486}" name="Complejidad" dataDxfId="48"/>
    <tableColumn id="5" xr3:uid="{A1E42836-4A3C-453F-A595-C14A6858A715}" name="Asunciones" dataDxfId="47"/>
    <tableColumn id="6" xr3:uid="{7B15762D-7488-4D4E-9D59-7F4E369CE9C4}" name="Recursos internos o externos" dataDxfId="46"/>
    <tableColumn id="7" xr3:uid="{0B05F230-0D16-4565-A140-10AFD04D1B61}" name="Líder de Dominio" dataDxfId="45"/>
    <tableColumn id="8" xr3:uid="{9F3D0FB0-7EC8-493D-8E99-29F1E48A3273}" name="Estatus Estimación" dataDxfId="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43" dataDxfId="42">
  <autoFilter ref="AV1:AX58" xr:uid="{9A5036D7-6020-4A8D-8204-D507FBD7A5FC}"/>
  <tableColumns count="3">
    <tableColumn id="1" xr3:uid="{9278904A-D846-4E7F-8963-B676B5DBDBAB}" name=" Acción (Atender, desestimar o backlog)" dataDxfId="41"/>
    <tableColumn id="2" xr3:uid="{92541C75-B2C6-4B82-BB06-D756CD1302F4}" name="Priorización de atención (A, B, C)" dataDxfId="40"/>
    <tableColumn id="3" xr3:uid="{EF2BBEBA-C812-4E12-81C2-B811C7D930B9}" name="Comentarios BRM" dataDxfId="39"/>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F6C58F-6CD7-45E1-8951-94298CC0FB35}" name="OfficeForms.Table3" displayName="OfficeForms.Table3" ref="A1:AK6" totalsRowShown="0" headerRowDxfId="38" dataDxfId="37">
  <autoFilter ref="A1:AK6" xr:uid="{00000000-0009-0000-0100-000001000000}"/>
  <tableColumns count="37">
    <tableColumn id="1" xr3:uid="{89AD058B-81AE-4654-992C-501A1359D5B6}" name="Id" dataDxfId="36"/>
    <tableColumn id="2" xr3:uid="{6FBB7EF9-B3EF-4288-B25E-31D4BD1A9C4B}" name="Hora de inicio" dataDxfId="35"/>
    <tableColumn id="3" xr3:uid="{3C3BD559-14A0-4379-9CF2-90563F52A03D}" name="Hora de finalización" dataDxfId="34"/>
    <tableColumn id="4" xr3:uid="{F7ADC3EC-13F8-4A7E-8E88-F0DF5170B190}" name="Correo electrónico" dataDxfId="33"/>
    <tableColumn id="5" xr3:uid="{8DDBC418-6118-4404-A66C-17469259E489}" name="Nombre" dataDxfId="32"/>
    <tableColumn id="6" xr3:uid="{0A7EB3C7-21B1-4A38-993B-1FF4B8811D9C}" name="Título de la INICIATIVA" dataDxfId="31"/>
    <tableColumn id="7" xr3:uid="{FA8F6B92-281C-4549-B51F-658ED65232F3}" name="Institución" dataDxfId="30"/>
    <tableColumn id="34" xr3:uid="{FE60C90E-6204-4919-8C9C-C246A613F60B}" name="VP del área solicitante" dataDxfId="29"/>
    <tableColumn id="35" xr3:uid="{23DF0CFE-5156-49CB-AD03-BF0423C3ED61}" name="Usuario - Gerencia, Área solicitante" dataDxfId="28"/>
    <tableColumn id="8" xr3:uid="{818B26B4-6110-42A7-9F04-C6446500588F}" name="Usuario - VP, Gerencia, Área solicitante" dataDxfId="27"/>
    <tableColumn id="27" xr3:uid="{A87DA350-7C1D-4F27-B766-40F9DEBEABF6}" name="BRM " dataDxfId="26"/>
    <tableColumn id="31" xr3:uid="{96AAB0CC-8DA8-4006-91C8-946E3BFE504D}" name="BRM UPC" dataDxfId="25"/>
    <tableColumn id="33" xr3:uid="{DFC411C2-230E-4CD2-B2CE-D0E2E8C7B8F3}" name="BRM CIB" dataDxfId="24"/>
    <tableColumn id="32" xr3:uid="{C5C6682B-9C56-49FA-86D8-FD940CB46237}" name="BRM UPN" dataDxfId="23"/>
    <tableColumn id="9" xr3:uid="{316DE177-09A0-4D74-B94B-11F7490F2859}" name="Gerente de BRM" dataDxfId="22"/>
    <tableColumn id="10" xr3:uid="{B1B33E2A-EAEC-4C7E-8387-6F8BD18197F9}" name="Nro de ticket de service now (RIT)" dataDxfId="21"/>
    <tableColumn id="11" xr3:uid="{125A59CC-5B12-4116-95FA-1B48A04E3AFA}" name="Cuando se necesita " dataDxfId="20"/>
    <tableColumn id="36" xr3:uid="{9C5DA83A-7801-44F6-A8ED-5369F64A4AAD}" name="Proyecto SPO" dataDxfId="19"/>
    <tableColumn id="37" xr3:uid="{AF1701E8-2F4C-4B08-853E-9C606A32F1DD}" name="Indicar id del proyecto SPO" dataDxfId="18"/>
    <tableColumn id="28" xr3:uid="{C76B0C1F-1A65-40E1-851D-DF4B1D879B1A}" name="Para cuando se necesita?" dataDxfId="17"/>
    <tableColumn id="12" xr3:uid="{32913E45-28A8-4F31-BFA3-F69E5FA8BA2F}" name="Presupuesto " dataDxfId="16"/>
    <tableColumn id="13" xr3:uid="{8950FBCF-F16B-4700-A2E7-3FE55C3CD528}" name="Proyecto SPO (Oficina Proyectos Estrategicos)" dataDxfId="15"/>
    <tableColumn id="14" xr3:uid="{F46BDA5D-D77B-4E0A-94E6-F328EF40A3D5}" name="Descripción del problema o desafío" dataDxfId="14"/>
    <tableColumn id="15" xr3:uid="{074B2AA9-64EF-49CA-9BF7-89FC9540313A}" name="Procesos impactados" dataDxfId="13"/>
    <tableColumn id="29" xr3:uid="{2ED60112-F3FF-4DB8-8B1D-5FA0C79DC1C0}" name="Situación deseada" dataDxfId="12"/>
    <tableColumn id="16" xr3:uid="{6677B329-BF3F-4C88-8F81-5492DC197C49}" name="Situación actual " dataDxfId="11"/>
    <tableColumn id="17" xr3:uid="{BC620522-3FBE-4F3E-BAAB-758EFC4FEFEE}" name="Origen - Causa Raiz" dataDxfId="10"/>
    <tableColumn id="30" xr3:uid="{55BE6407-32C0-458E-826D-1B23BD2820CA}" name="Otros usuarios que deben ser considerados" dataDxfId="9"/>
    <tableColumn id="18" xr3:uid="{798C0273-A0F5-499C-A307-12BEB1AE8954}" name="Usuarios afectados" dataDxfId="8"/>
    <tableColumn id="19" xr3:uid="{3B0087CA-77DA-4CD2-B033-033DA8883051}" name="Impacto en el negocio" dataDxfId="7"/>
    <tableColumn id="20" xr3:uid="{1D33AA4F-C512-4490-860D-E33A7FBD509C}" name="Objetivo" dataDxfId="6"/>
    <tableColumn id="21" xr3:uid="{8481CC59-BCD0-48F4-9577-278F2BB13436}" name="Pilar estratégico" dataDxfId="5"/>
    <tableColumn id="22" xr3:uid="{A4ED4265-71E4-478C-B140-7EB48BC9E06F}" name="Forma parte de la estabilización de procesos  SIS" dataDxfId="4"/>
    <tableColumn id="23" xr3:uid="{614CA6E5-4248-42DD-B825-CCC387E5E390}" name="Impacto SOX" dataDxfId="3"/>
    <tableColumn id="24" xr3:uid="{F8494C97-B03B-46BD-AE9E-03CD2647C298}" name="Beneficio cuantitativo" dataDxfId="2"/>
    <tableColumn id="25" xr3:uid="{3859FA7D-A1E0-40C7-8C1F-5B3DBAADB313}" name="Beneficios cualitativos" dataDxfId="1"/>
    <tableColumn id="26" xr3:uid="{A9F082BE-2BBC-46D0-880B-9065FC93708A}" name="Adjuntar sustentos que ayuden al entendimiento de la necesidad ( Correos de aprobación VP, Lineamientos Corporativos, Nuevas regulaciones , Cartas de aplicación de multas, informes SOX, et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educorpperu-my.sharepoint.com/personal/diana_zapata_laureate_pe1/Documents/Aplicaciones/Microsoft%20Forms/REGISTRO%20DE%20INICIATIVAS%20-%20GESTI%C3%93N%20DE%20LA%20DEMANDA%20(2%201/Pregunta/RV_RITM0615294-Problemas%20en%20Portal_Angela%20Lucano%20Carran%201.pdf" TargetMode="External"/><Relationship Id="rId3" Type="http://schemas.openxmlformats.org/officeDocument/2006/relationships/hyperlink" Target="https://educorpperu-my.sharepoint.com/personal/diana_zapata_laureate_pe1/_layouts/15/Doc.aspx?sourcedoc=%7BA0EE780B-D66F-42EC-83A6-4E699CDA9EE9%7D&amp;file=Solicitud%20de%20requerimientos%20Idea%20nueva%20y%20mejo_Angela%20Lucano%20Carran%203.pptx&amp;action=edit&amp;mobileredirect=true" TargetMode="External"/><Relationship Id="rId7" Type="http://schemas.openxmlformats.org/officeDocument/2006/relationships/hyperlink" Target="https://educorpperu-my.sharepoint.com/personal/diana_zapata_laureate_pe1/Documents/Aplicaciones/Microsoft%20Forms/REGISTRO%20DE%20INICIATIVAS%20-%20GESTI%C3%93N%20DE%20LA%20DEMANDA%20(2%201/Pregunta/RV_RITM0615294-Problemas%20en%20Portal_Angela%20Lucano%20Carran.pdf" TargetMode="External"/><Relationship Id="rId2" Type="http://schemas.openxmlformats.org/officeDocument/2006/relationships/hyperlink" Target="https://educorpperu-my.sharepoint.com/personal/diana_zapata_laureate_pe1/_layouts/15/Doc.aspx?sourcedoc=%7BB39AC545-1870-4154-8454-CF4F59F2FC26%7D&amp;file=Resultados%20de%20la%20prefactibilidad_Angela%20Lucano%20Carran.pptx&amp;action=edit&amp;mobileredirect=true;%20https://educorpperu-my.sharepoint.com/personal/diana_zapata_laureate_pe1/_layouts/15/Doc.aspx?sourcedoc=%7BF57DEFCE-DDA7-445C-AFEB-EADF4F637CAB%7D&amp;file=Presentaci%C3%B3n%20de%20Business%20Case%20V02_Angela%20Lucano%20Carran.pptx&amp;action=edit&amp;mobileredirect=true" TargetMode="External"/><Relationship Id="rId1" Type="http://schemas.openxmlformats.org/officeDocument/2006/relationships/hyperlink" Target="https://educorpperu-my.sharepoint.com/personal/diana_zapata_laureate_pe1/_layouts/15/Doc.aspx?sourcedoc=%7B624F527C-33C1-4CED-9E49-04BF8077595A%7D&amp;file=Goldenbelt_presentaci%C3%B3n_Jorge%20Santa%20Cruz%20Esp.pptx&amp;action=edit&amp;mobileredirect=true" TargetMode="External"/><Relationship Id="rId6"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11" Type="http://schemas.openxmlformats.org/officeDocument/2006/relationships/printerSettings" Target="../printerSettings/printerSettings2.bin"/><Relationship Id="rId5" Type="http://schemas.openxmlformats.org/officeDocument/2006/relationships/hyperlink" Target="https://educorpperu-my.sharepoint.com/personal/diana_zapata_laureate_pe1/Documents/Aplicaciones/Microsoft%20Forms/REGISTRO%20DE%20INICIATIVAS%20-%20GESTI%C3%93N%20DE%20LA%20DEMANDA%20(2%201/Pregunta/RE_%20Requerimiento%20-%20Soporte%20para%20despliegue%20d_Angela%20Lucano%20Carran.pdf" TargetMode="External"/><Relationship Id="rId10" Type="http://schemas.openxmlformats.org/officeDocument/2006/relationships/hyperlink" Target="https://educorpperu-my.sharepoint.com/personal/diana_zapata_laureate_pe1/_layouts/15/Doc.aspx?sourcedoc=%7BD89DCF38-9B8C-468D-88D9-0CA782BE04B7%7D&amp;file=Solicitud%20de%20Requerimiento%20-%20Teams%20en%20CRM_Angela%20Lucano%20Carran.pptx&amp;action=edit&amp;mobileredirect=true" TargetMode="External"/><Relationship Id="rId4"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 Id="rId9"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educorpperu-my.sharepoint.com/personal/diana_zapata_laureate_pe1/_layouts/15/Doc.aspx?sourcedoc=%7B7C53894D-03AA-42F5-A4BD-49E3C8456DE1%7D&amp;file=Formato%20Solicitud%20de%20Requerimientos%201_Eduardo%20Paul%20Aguilar.pptx&amp;action=edit&amp;mobileredirect=true" TargetMode="External"/><Relationship Id="rId7" Type="http://schemas.openxmlformats.org/officeDocument/2006/relationships/comments" Target="../comments1.xml"/><Relationship Id="rId2" Type="http://schemas.openxmlformats.org/officeDocument/2006/relationships/hyperlink" Target="https://educorpperu-my.sharepoint.com/personal/diana_zapata_laureate_pe1/_layouts/15/Doc.aspx?sourcedoc=%7B7C571A66-11AC-480F-B19C-571BDF070428%7D&amp;file=Implementaci%C3%B3n%20de%20informacion%20en%20CRM_Variable_Jose%20Paredes%20Herbozo.pptx&amp;action=edit&amp;mobileredirect=true" TargetMode="External"/><Relationship Id="rId1" Type="http://schemas.openxmlformats.org/officeDocument/2006/relationships/hyperlink" Target="mailto:daniel.cino@upc.pe" TargetMode="External"/><Relationship Id="rId6" Type="http://schemas.openxmlformats.org/officeDocument/2006/relationships/vmlDrawing" Target="../drawings/vmlDrawing1.vml"/><Relationship Id="rId5" Type="http://schemas.openxmlformats.org/officeDocument/2006/relationships/hyperlink" Target="https://educorpperu-my.sharepoint.com/personal/diana_zapata_laureate_pe1/_layouts/15/Doc.aspx?sourcedoc=%7BDFC21620-6800-4A8A-BA6E-F348AECF7EBE%7D&amp;file=Solicitud%20de%20requerimientos_Mejora%20para%20la%20Pl_Giancarlo%20Villacorta.pptx&amp;action=edit&amp;mobileredirect=true" TargetMode="External"/><Relationship Id="rId4"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2.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1.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2.vml"/><Relationship Id="rId5" Type="http://schemas.openxmlformats.org/officeDocument/2006/relationships/hyperlink" Target="javascript:void(0)" TargetMode="External"/><Relationship Id="rId15" Type="http://schemas.openxmlformats.org/officeDocument/2006/relationships/comments" Target="../comments2.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hyperlink" Target="../../../_layouts/15/Doc.aspx?sourcedoc=%7B1182D8E1-CAEE-4FFB-A8A2-B813699EFD86%7D&amp;file=DP-02-Formato_Petici%C3%B3n_de_cambio_Tr%C3%A1mite%20Tras_Angela%20Lucano%20Carran.docx&amp;action=default&amp;mobileredirect=true"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FCF2BAF2-A2BE-40AB-B859-1D5B92387773%7D&amp;file=Solicitud%20de%20query%20retiros%20formales%20-%20ACT_Luis%20Alberto%20Almeyda.pptx&amp;action=edit&amp;mobileredirect=true"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4.4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20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28"/>
  <sheetViews>
    <sheetView zoomScale="54" zoomScaleNormal="54" workbookViewId="0">
      <pane xSplit="6" ySplit="1" topLeftCell="J190" activePane="bottomRight" state="frozen"/>
      <selection pane="bottomRight" activeCell="J162" sqref="J162"/>
      <selection pane="bottomLeft" activeCell="A2" sqref="A2"/>
      <selection pane="topRight" activeCell="F1" sqref="F1"/>
    </sheetView>
  </sheetViews>
  <sheetFormatPr defaultColWidth="115.42578125" defaultRowHeight="260.25" customHeight="1"/>
  <cols>
    <col min="1" max="1" width="6.140625" style="59" customWidth="1"/>
    <col min="2" max="3" width="10.42578125" style="207" customWidth="1"/>
    <col min="4" max="4" width="26.42578125" style="59" customWidth="1"/>
    <col min="5" max="5" width="8.28515625" style="59" customWidth="1"/>
    <col min="6" max="6" width="58.42578125" style="59" customWidth="1"/>
    <col min="7" max="7" width="72.85546875" style="59" customWidth="1"/>
    <col min="8" max="8" width="29.140625" style="59" customWidth="1"/>
    <col min="9" max="9" width="32.85546875" style="59" customWidth="1"/>
    <col min="10" max="11" width="42" style="59" customWidth="1"/>
    <col min="12" max="12" width="21.85546875" style="59" customWidth="1"/>
    <col min="13" max="13" width="18.42578125" style="68" customWidth="1"/>
    <col min="14" max="14" width="19" style="68" customWidth="1"/>
    <col min="15" max="16" width="19" style="59" customWidth="1"/>
    <col min="17" max="17" width="22.140625" style="59" customWidth="1"/>
    <col min="18" max="18" width="43.140625" style="59" customWidth="1"/>
    <col min="19" max="19" width="38.42578125" style="59" customWidth="1"/>
    <col min="20" max="20" width="61.42578125" style="59" customWidth="1"/>
    <col min="21" max="28" width="31.85546875" style="59" customWidth="1"/>
    <col min="29" max="134" width="115.42578125" style="59" bestFit="1" customWidth="1"/>
    <col min="135" max="16322" width="115.42578125" style="59"/>
    <col min="16323" max="16323" width="115.42578125" style="59" bestFit="1"/>
    <col min="16324" max="16384" width="115.42578125" style="59"/>
  </cols>
  <sheetData>
    <row r="1" spans="1:125" ht="45.95" customHeight="1">
      <c r="A1" s="230" t="s">
        <v>5</v>
      </c>
      <c r="B1" s="231" t="s">
        <v>6</v>
      </c>
      <c r="C1" s="231" t="s">
        <v>7</v>
      </c>
      <c r="D1" s="231" t="s">
        <v>8</v>
      </c>
      <c r="E1" s="231" t="s">
        <v>9</v>
      </c>
      <c r="F1" s="231" t="s">
        <v>10</v>
      </c>
      <c r="G1" s="231" t="s">
        <v>11</v>
      </c>
      <c r="H1" s="231" t="s">
        <v>12</v>
      </c>
      <c r="I1" s="231" t="s">
        <v>13</v>
      </c>
      <c r="J1" s="231" t="s">
        <v>14</v>
      </c>
      <c r="K1" s="231" t="s">
        <v>15</v>
      </c>
      <c r="L1" s="231" t="s">
        <v>16</v>
      </c>
      <c r="M1" s="231" t="s">
        <v>17</v>
      </c>
      <c r="N1" s="231" t="s">
        <v>18</v>
      </c>
      <c r="O1" s="231" t="s">
        <v>19</v>
      </c>
      <c r="P1" s="231" t="s">
        <v>20</v>
      </c>
      <c r="Q1" s="231" t="s">
        <v>21</v>
      </c>
      <c r="R1" s="231" t="s">
        <v>22</v>
      </c>
      <c r="S1" s="326" t="s">
        <v>23</v>
      </c>
      <c r="T1" s="231" t="s">
        <v>24</v>
      </c>
      <c r="U1" s="231" t="s">
        <v>25</v>
      </c>
      <c r="V1" s="231" t="s">
        <v>26</v>
      </c>
      <c r="W1" s="231" t="s">
        <v>27</v>
      </c>
      <c r="X1" s="231" t="s">
        <v>28</v>
      </c>
      <c r="Y1" s="231" t="s">
        <v>29</v>
      </c>
      <c r="Z1" s="232" t="s">
        <v>30</v>
      </c>
      <c r="AA1" s="232" t="s">
        <v>31</v>
      </c>
    </row>
    <row r="2" spans="1:125" s="206" customFormat="1" ht="45.95" customHeight="1">
      <c r="A2" s="59">
        <f>[1]Sheet1!A2</f>
        <v>15</v>
      </c>
      <c r="B2" s="220">
        <f>[1]Sheet1!B2</f>
        <v>46006.494444444441</v>
      </c>
      <c r="C2" s="220">
        <f>[1]Sheet1!C2</f>
        <v>46008.702777777777</v>
      </c>
      <c r="D2" s="59" t="str">
        <f>[1]Sheet1!D2</f>
        <v>luis.almeyda@upc.pe</v>
      </c>
      <c r="E2" s="59" t="str">
        <f>[1]Sheet1!E2</f>
        <v>Luis Alberto Almeyda Porras</v>
      </c>
      <c r="F2" s="59" t="str">
        <f>[1]Sheet1!F2</f>
        <v>Mejoras en SPRING - Facturación por nuevo registro de Ventas SIRE</v>
      </c>
      <c r="G2" s="59"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59" t="str">
        <f>[1]Sheet1!H2</f>
        <v>UPC</v>
      </c>
      <c r="I2" s="59" t="str">
        <f>[1]Sheet1!I2</f>
        <v>Alex Pendavis - VP Finanzas</v>
      </c>
      <c r="J2" s="59" t="str">
        <f>[1]Sheet1!J2</f>
        <v xml:space="preserve">Karol Espinoza </v>
      </c>
      <c r="K2" s="59">
        <f>[1]Sheet1!K2</f>
        <v>0</v>
      </c>
      <c r="L2" s="59" t="str">
        <f>[1]Sheet1!L2</f>
        <v>Gerson Vereau</v>
      </c>
      <c r="M2" s="68">
        <f>[1]Sheet1!M2</f>
        <v>46057</v>
      </c>
      <c r="N2" s="68" t="str">
        <f>[1]Sheet1!N2</f>
        <v>No</v>
      </c>
      <c r="O2" s="59" t="str">
        <f>[1]Sheet1!O2</f>
        <v> </v>
      </c>
      <c r="P2" s="59">
        <f>[1]Sheet1!P2</f>
        <v>0</v>
      </c>
      <c r="Q2" s="59" t="str">
        <f>[1]Sheet1!Q2</f>
        <v>Normativa</v>
      </c>
      <c r="R2" s="59"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59">
        <f>[1]Sheet1!S2</f>
        <v>0</v>
      </c>
      <c r="T2" s="59" t="str">
        <f>[1]Sheet1!T2</f>
        <v>Proceso de emisión comprobantes fiscales, Proceso de conversión de comprobantes y proceso de declaración del registro de ventas SUNAT.</v>
      </c>
      <c r="U2" s="59" t="str">
        <f>[1]Sheet1!U2</f>
        <v>Administrativos</v>
      </c>
      <c r="V2" s="59" t="str">
        <f>[1]Sheet1!V2</f>
        <v>Excelencia Operativa</v>
      </c>
      <c r="W2" s="59" t="str">
        <f>[1]Sheet1!W2</f>
        <v>No</v>
      </c>
      <c r="X2" s="59" t="str">
        <f>[1]Sheet1!X2</f>
        <v>Entre S/100,000.00 y S/500,000.00</v>
      </c>
      <c r="Y2" s="59" t="str">
        <f>[1]Sheet1!Y2</f>
        <v>Mejorar el enrolamiento del alumno para el pago durante el proceso de matrícula.
Reducción de horas hombre en trabajo manual para realizar las conversiones de los documentos temporales a fiscales.</v>
      </c>
      <c r="Z2" s="59" t="str">
        <f>[1]Sheet1!Z2</f>
        <v>https://educorpperu-my.sharepoint.com/personal/diana_zapata_laureate_pe1/_layouts/15/Doc.aspx?sourcedoc=%7B5D74949E-141D-42A9-BFEB-1A2662F16C98%7D&amp;file=Solicitud%20de%20Mejoras%20en%20SPRING%20-%20Facturaci%C3%B3n_Luis%20Alberto%20Almeyda.pptx&amp;action=edit&amp;mobileredirect=true</v>
      </c>
      <c r="AA2" s="59">
        <f>[1]Sheet1!AA2</f>
        <v>2.4</v>
      </c>
      <c r="AB2" s="69"/>
      <c r="AC2" s="69"/>
      <c r="AD2" s="69"/>
      <c r="AE2" s="69"/>
      <c r="AF2" s="69"/>
      <c r="AG2" s="69"/>
      <c r="AH2" s="69"/>
      <c r="AI2" s="69"/>
      <c r="AJ2" s="69"/>
      <c r="AK2" s="69"/>
      <c r="AL2" s="69"/>
      <c r="AM2" s="69"/>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c r="CV2" s="69"/>
      <c r="CW2" s="69"/>
      <c r="CX2" s="69"/>
      <c r="CY2" s="69"/>
      <c r="CZ2" s="69"/>
      <c r="DA2" s="69"/>
      <c r="DB2" s="69"/>
      <c r="DC2" s="69"/>
      <c r="DD2" s="69"/>
      <c r="DE2" s="69"/>
      <c r="DF2" s="69"/>
      <c r="DG2" s="69"/>
      <c r="DH2" s="69"/>
      <c r="DI2" s="69"/>
      <c r="DJ2" s="69"/>
      <c r="DK2" s="69"/>
      <c r="DL2" s="69"/>
      <c r="DM2" s="69"/>
      <c r="DN2" s="69"/>
      <c r="DO2" s="69"/>
      <c r="DP2" s="69"/>
      <c r="DQ2" s="69"/>
      <c r="DR2" s="69"/>
      <c r="DS2" s="69"/>
      <c r="DT2" s="69"/>
      <c r="DU2" s="69"/>
    </row>
    <row r="3" spans="1:125" s="206" customFormat="1" ht="45.95" customHeight="1">
      <c r="A3" s="59">
        <f>[1]Sheet1!A3</f>
        <v>16</v>
      </c>
      <c r="B3" s="220">
        <f>[1]Sheet1!B3</f>
        <v>46036.439583333333</v>
      </c>
      <c r="C3" s="220">
        <f>[1]Sheet1!C3</f>
        <v>46036.443055555559</v>
      </c>
      <c r="D3" s="59" t="str">
        <f>[1]Sheet1!D3</f>
        <v>giancarlo.villacorta@upc.pe</v>
      </c>
      <c r="E3" s="59" t="str">
        <f>[1]Sheet1!E3</f>
        <v>Giancarlo Villacorta Quiñones</v>
      </c>
      <c r="F3" s="59" t="str">
        <f>[1]Sheet1!F3</f>
        <v>Mejoras en trámites de retiro de ciclo</v>
      </c>
      <c r="G3" s="59"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59" t="str">
        <f>[1]Sheet1!H3</f>
        <v>UPC</v>
      </c>
      <c r="I3" s="59" t="str">
        <f>[1]Sheet1!I3</f>
        <v>Álvaro Valdez - VP Operaciones</v>
      </c>
      <c r="J3" s="59" t="str">
        <f>[1]Sheet1!J3</f>
        <v>Martha Apaza</v>
      </c>
      <c r="K3" s="59">
        <f>[1]Sheet1!K3</f>
        <v>0</v>
      </c>
      <c r="L3" s="59" t="str">
        <f>[1]Sheet1!L3</f>
        <v>Giancarlo Villacorta</v>
      </c>
      <c r="M3" s="68">
        <f>[1]Sheet1!M3</f>
        <v>46045</v>
      </c>
      <c r="N3" s="68" t="str">
        <f>[1]Sheet1!N3</f>
        <v>No</v>
      </c>
      <c r="O3" s="59" t="str">
        <f>[1]Sheet1!O3</f>
        <v> </v>
      </c>
      <c r="P3" s="59">
        <f>[1]Sheet1!P3</f>
        <v>0</v>
      </c>
      <c r="Q3" s="59" t="str">
        <f>[1]Sheet1!Q3</f>
        <v>Otro</v>
      </c>
      <c r="R3" s="59"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59">
        <f>[1]Sheet1!S3</f>
        <v>0</v>
      </c>
      <c r="T3" s="59" t="str">
        <f>[1]Sheet1!T3</f>
        <v>Retiro de ciclo</v>
      </c>
      <c r="U3" s="59">
        <f>[1]Sheet1!U3</f>
        <v>0</v>
      </c>
      <c r="V3" s="59" t="str">
        <f>[1]Sheet1!V3</f>
        <v>Excelencia Operativa</v>
      </c>
      <c r="W3" s="59" t="str">
        <f>[1]Sheet1!W3</f>
        <v>No</v>
      </c>
      <c r="X3" s="59">
        <f>[1]Sheet1!X3</f>
        <v>0</v>
      </c>
      <c r="Y3" s="59" t="str">
        <f>[1]Sheet1!Y3</f>
        <v>Mitigación de riesgos reputacionales y reclamos hacia la universidad.</v>
      </c>
      <c r="Z3" s="59" t="str">
        <f>[1]Sheet1!Z3</f>
        <v>https://educorpperu-my.sharepoint.com/personal/diana_zapata_laureate_pe1/_layouts/15/Doc.aspx?sourcedoc=%7B951FD7E4-9B48-4809-A091-06F4F7996B32%7D&amp;file=Solicitud%20de%20requerimientos%20Mejoras%20tramite%20d_Giancarlo%20Villacorta.pptx&amp;action=edit&amp;mobileredirect=true</v>
      </c>
      <c r="AA3" s="59">
        <f>[1]Sheet1!AA3</f>
        <v>0.30000000000000004</v>
      </c>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c r="CV3" s="69"/>
      <c r="CW3" s="69"/>
      <c r="CX3" s="69"/>
      <c r="CY3" s="69"/>
      <c r="CZ3" s="69"/>
      <c r="DA3" s="69"/>
      <c r="DB3" s="69"/>
      <c r="DC3" s="69"/>
      <c r="DD3" s="69"/>
      <c r="DE3" s="69"/>
      <c r="DF3" s="69"/>
      <c r="DG3" s="69"/>
      <c r="DH3" s="69"/>
      <c r="DI3" s="69"/>
      <c r="DJ3" s="69"/>
      <c r="DK3" s="69"/>
      <c r="DL3" s="69"/>
      <c r="DM3" s="69"/>
      <c r="DN3" s="69"/>
      <c r="DO3" s="69"/>
      <c r="DP3" s="69"/>
      <c r="DQ3" s="69"/>
      <c r="DR3" s="69"/>
      <c r="DS3" s="69"/>
      <c r="DT3" s="69"/>
      <c r="DU3" s="69"/>
    </row>
    <row r="4" spans="1:125" s="69" customFormat="1" ht="45.95" customHeight="1">
      <c r="A4" s="59">
        <f>[1]Sheet1!A4</f>
        <v>22</v>
      </c>
      <c r="B4" s="220">
        <f>[1]Sheet1!B4</f>
        <v>46042.586111111108</v>
      </c>
      <c r="C4" s="220">
        <f>[1]Sheet1!C4</f>
        <v>46042.665277777778</v>
      </c>
      <c r="D4" s="59" t="str">
        <f>[1]Sheet1!D4</f>
        <v>alejandro.tello@laureate.pe</v>
      </c>
      <c r="E4" s="59" t="str">
        <f>[1]Sheet1!E4</f>
        <v>Alejandro Tello Llosa</v>
      </c>
      <c r="F4" s="59" t="str">
        <f>[1]Sheet1!F4</f>
        <v>Requerimiento de servicios de CRM para el desarrollo de la plataforma de Admisión Online</v>
      </c>
      <c r="G4" s="59"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59" t="str">
        <f>[1]Sheet1!H4</f>
        <v>UPN</v>
      </c>
      <c r="I4" s="59" t="str">
        <f>[1]Sheet1!I4</f>
        <v>Humberto Marota - Tecnologías y transformación digital</v>
      </c>
      <c r="J4" s="59" t="str">
        <f>[1]Sheet1!J4</f>
        <v xml:space="preserve">Alejandro Tello Llosa </v>
      </c>
      <c r="K4" s="59">
        <f>[1]Sheet1!K4</f>
        <v>0</v>
      </c>
      <c r="L4" s="59" t="str">
        <f>[1]Sheet1!L4</f>
        <v>Jose Paredes</v>
      </c>
      <c r="M4" s="68">
        <f>[1]Sheet1!M4</f>
        <v>46063</v>
      </c>
      <c r="N4" s="68" t="str">
        <f>[1]Sheet1!N4</f>
        <v>Si</v>
      </c>
      <c r="O4" s="59">
        <f>[1]Sheet1!O4</f>
        <v>0</v>
      </c>
      <c r="P4" s="59">
        <f>[1]Sheet1!P4</f>
        <v>75411</v>
      </c>
      <c r="Q4" s="59" t="str">
        <f>[1]Sheet1!Q4</f>
        <v>Otro</v>
      </c>
      <c r="R4" s="59"/>
      <c r="S4" s="59">
        <f>[1]Sheet1!S4</f>
        <v>0</v>
      </c>
      <c r="T4" s="59" t="str">
        <f>[1]Sheet1!T4</f>
        <v>Proceso de Admisión</v>
      </c>
      <c r="U4" s="59">
        <f>[1]Sheet1!U4</f>
        <v>0</v>
      </c>
      <c r="V4" s="59" t="str">
        <f>[1]Sheet1!V4</f>
        <v>Transformación Digital</v>
      </c>
      <c r="W4" s="59" t="str">
        <f>[1]Sheet1!W4</f>
        <v>No</v>
      </c>
      <c r="X4" s="59">
        <f>[1]Sheet1!X4</f>
        <v>0</v>
      </c>
      <c r="Y4" s="59" t="str">
        <f>[1]Sheet1!Y4</f>
        <v>Mejorar la experiencia del prospecto, reducir la operatividad del equipo de admisión, reducción los tiempos de matrícula en al menos 48 hrs</v>
      </c>
      <c r="Z4" s="59" t="str">
        <f>[1]Sheet1!Z4</f>
        <v>https://educorpperu-my.sharepoint.com/personal/diana_zapata_laureate_pe1/Documents/Aplicaciones/Microsoft%20Forms/REGISTRO%20DE%20INICIATIVAS/Pregunta/funnel-de-desercion-carreras-a-distancia-UPN_Alejandro%20Tello%20Llos.png</v>
      </c>
      <c r="AA4" s="59">
        <f>[1]Sheet1!AA4</f>
        <v>1.5</v>
      </c>
    </row>
    <row r="5" spans="1:125" s="69" customFormat="1" ht="45.95" customHeight="1">
      <c r="A5" s="59">
        <f>[1]Sheet1!A5</f>
        <v>23</v>
      </c>
      <c r="B5" s="220">
        <f>[1]Sheet1!B5</f>
        <v>46042.744444444441</v>
      </c>
      <c r="C5" s="220">
        <f>[1]Sheet1!C5</f>
        <v>46042.760416666664</v>
      </c>
      <c r="D5" s="59" t="str">
        <f>[1]Sheet1!D5</f>
        <v>luis.almeyda@upc.pe</v>
      </c>
      <c r="E5" s="59" t="str">
        <f>[1]Sheet1!E5</f>
        <v>Luis Alberto Almeyda Porras</v>
      </c>
      <c r="F5" s="59" t="str">
        <f>[1]Sheet1!F5</f>
        <v>Reporte para Seguimiento de Retiros de Ciclo formales</v>
      </c>
      <c r="G5" s="59"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59" t="str">
        <f>[1]Sheet1!H5</f>
        <v>UPC</v>
      </c>
      <c r="I5" s="59" t="str">
        <f>[1]Sheet1!I5</f>
        <v>Alex Pendavis - VP Finanzas</v>
      </c>
      <c r="J5" s="59" t="str">
        <f>[1]Sheet1!J5</f>
        <v>Jose Luis Ramos Adrianzen</v>
      </c>
      <c r="K5" s="59">
        <f>[1]Sheet1!K5</f>
        <v>0</v>
      </c>
      <c r="L5" s="59" t="str">
        <f>[1]Sheet1!L5</f>
        <v>Gerson Vereau</v>
      </c>
      <c r="M5" s="68">
        <f>[1]Sheet1!M5</f>
        <v>46112</v>
      </c>
      <c r="N5" s="68" t="str">
        <f>[1]Sheet1!N5</f>
        <v>No</v>
      </c>
      <c r="O5" s="59">
        <f>[1]Sheet1!O5</f>
        <v>0</v>
      </c>
      <c r="P5" s="59" t="str">
        <f>[1]Sheet1!P5</f>
        <v> </v>
      </c>
      <c r="Q5" s="59" t="str">
        <f>[1]Sheet1!Q5</f>
        <v>Otro</v>
      </c>
      <c r="R5" s="59"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59">
        <f>[1]Sheet1!S5</f>
        <v>0</v>
      </c>
      <c r="T5" s="59" t="str">
        <f>[1]Sheet1!T5</f>
        <v>Proceso Retiros de Ciclos y Proceso de Recaudación.</v>
      </c>
      <c r="U5" s="59" t="str">
        <f>[1]Sheet1!U5</f>
        <v>Alumnos</v>
      </c>
      <c r="V5" s="59" t="str">
        <f>[1]Sheet1!V5</f>
        <v>Excelencia Operativa</v>
      </c>
      <c r="W5" s="59" t="str">
        <f>[1]Sheet1!W5</f>
        <v>No</v>
      </c>
      <c r="X5" s="59" t="str">
        <f>[1]Sheet1!X5</f>
        <v>No cuantificado o S/0</v>
      </c>
      <c r="Y5" s="59" t="str">
        <f>[1]Sheet1!Y5</f>
        <v>Asegurar la integridad de toda la población de alumnos que cuentan con retiros de ciclos aprobados.</v>
      </c>
      <c r="Z5" s="59" t="str">
        <f>[1]Sheet1!Z5</f>
        <v>https://educorpperu-my.sharepoint.com/personal/diana_zapata_laureate_pe1/_layouts/15/Doc.aspx?sourcedoc=%7BFCF2BAF2-A2BE-40AB-B859-1D5B92387773%7D&amp;file=Solicitud%20de%20query%20retiros%20formales%20-%20ACT_Luis%20Alberto%20Almeyda.pptx&amp;action=edit&amp;mobileredirect=true</v>
      </c>
      <c r="AA5" s="59">
        <f>[1]Sheet1!AA5</f>
        <v>1.2000000000000002</v>
      </c>
    </row>
    <row r="6" spans="1:125" s="69" customFormat="1" ht="45.95" customHeight="1">
      <c r="A6" s="59">
        <f>[1]Sheet1!A6</f>
        <v>24</v>
      </c>
      <c r="B6" s="220">
        <f>[1]Sheet1!B6</f>
        <v>46043.46875</v>
      </c>
      <c r="C6" s="220">
        <f>[1]Sheet1!C6</f>
        <v>46043.536805555559</v>
      </c>
      <c r="D6" s="59" t="str">
        <f>[1]Sheet1!D6</f>
        <v>liz.medina@upc.pe</v>
      </c>
      <c r="E6" s="59" t="str">
        <f>[1]Sheet1!E6</f>
        <v>Carolina Medina Suarez</v>
      </c>
      <c r="F6" s="59" t="str">
        <f>[1]Sheet1!F6</f>
        <v xml:space="preserve">Mejora del Reporte de Matriculados de Licencias Coursera </v>
      </c>
      <c r="G6" s="59"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59" t="str">
        <f>[1]Sheet1!H6</f>
        <v>UPC</v>
      </c>
      <c r="I6" s="59" t="str">
        <f>[1]Sheet1!I6</f>
        <v>Mónica García - VP Operaciones Digitales y Online</v>
      </c>
      <c r="J6" s="59" t="str">
        <f>[1]Sheet1!J6</f>
        <v xml:space="preserve">Soledad Alfaro </v>
      </c>
      <c r="K6" s="59">
        <f>[1]Sheet1!K6</f>
        <v>0</v>
      </c>
      <c r="L6" s="59" t="str">
        <f>[1]Sheet1!L6</f>
        <v>Ángela Lucano</v>
      </c>
      <c r="M6" s="68">
        <f>[1]Sheet1!M6</f>
        <v>46087</v>
      </c>
      <c r="N6" s="68" t="str">
        <f>[1]Sheet1!N6</f>
        <v>No</v>
      </c>
      <c r="O6" s="59">
        <f>[1]Sheet1!O6</f>
        <v>0</v>
      </c>
      <c r="P6" s="59" t="str">
        <f>[1]Sheet1!P6</f>
        <v> </v>
      </c>
      <c r="Q6" s="59" t="str">
        <f>[1]Sheet1!Q6</f>
        <v>Otro</v>
      </c>
      <c r="R6" s="59"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59">
        <f>[1]Sheet1!S6</f>
        <v>0</v>
      </c>
      <c r="T6" s="59"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59">
        <f>[1]Sheet1!U6</f>
        <v>0</v>
      </c>
      <c r="V6" s="59" t="str">
        <f>[1]Sheet1!V6</f>
        <v>Excelencia Operativa</v>
      </c>
      <c r="W6" s="59" t="str">
        <f>[1]Sheet1!W6</f>
        <v>Si</v>
      </c>
      <c r="X6" s="59">
        <f>[1]Sheet1!X6</f>
        <v>0</v>
      </c>
      <c r="Y6" s="59"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59"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59">
        <f>[1]Sheet1!AA6</f>
        <v>0.30000000000000004</v>
      </c>
    </row>
    <row r="7" spans="1:125" ht="45.95" customHeight="1">
      <c r="A7" s="59">
        <f>[1]Sheet1!A7</f>
        <v>25</v>
      </c>
      <c r="B7" s="220">
        <f>[1]Sheet1!B7</f>
        <v>46048.588194444441</v>
      </c>
      <c r="C7" s="220">
        <f>[1]Sheet1!C7</f>
        <v>46048.615277777775</v>
      </c>
      <c r="D7" s="59" t="str">
        <f>[1]Sheet1!D7</f>
        <v>makarena.ramos@laureate.pe</v>
      </c>
      <c r="E7" s="59" t="str">
        <f>[1]Sheet1!E7</f>
        <v>Makarena Ramos Aleman</v>
      </c>
      <c r="F7" s="59" t="str">
        <f>[1]Sheet1!F7</f>
        <v>Modificación de MDUU de elegibles en Banner.</v>
      </c>
      <c r="G7" s="59"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59" t="str">
        <f>[1]Sheet1!H7</f>
        <v>UPN</v>
      </c>
      <c r="I7" s="59" t="str">
        <f>[1]Sheet1!I7</f>
        <v>Tairi Ruillier - VP Transformación</v>
      </c>
      <c r="J7" s="59" t="str">
        <f>[1]Sheet1!J7</f>
        <v xml:space="preserve">Janeth Albujar Rodriguez </v>
      </c>
      <c r="K7" s="59">
        <f>[1]Sheet1!K7</f>
        <v>0</v>
      </c>
      <c r="L7" s="59" t="str">
        <f>[1]Sheet1!L7</f>
        <v>Carla Arias-Schreiber</v>
      </c>
      <c r="M7" s="68">
        <f>[1]Sheet1!M7</f>
        <v>46083</v>
      </c>
      <c r="N7" s="68" t="str">
        <f>[1]Sheet1!N7</f>
        <v>No</v>
      </c>
      <c r="O7" s="59">
        <f>[1]Sheet1!O7</f>
        <v>0</v>
      </c>
      <c r="P7" s="59">
        <f>[1]Sheet1!P7</f>
        <v>76553</v>
      </c>
      <c r="Q7" s="59" t="str">
        <f>[1]Sheet1!Q7</f>
        <v>Otro</v>
      </c>
      <c r="R7" s="59"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59">
        <f>[1]Sheet1!S7</f>
        <v>0</v>
      </c>
      <c r="T7" s="59" t="str">
        <f>[1]Sheet1!T7</f>
        <v>Apertura de Matricula
Cierre Matricula
Creación de Campaña</v>
      </c>
      <c r="U7" s="59">
        <f>[1]Sheet1!U7</f>
        <v>0</v>
      </c>
      <c r="V7" s="59" t="str">
        <f>[1]Sheet1!V7</f>
        <v>Crecimiento escalable</v>
      </c>
      <c r="W7" s="59" t="str">
        <f>[1]Sheet1!W7</f>
        <v>No</v>
      </c>
      <c r="X7" s="59">
        <f>[1]Sheet1!X7</f>
        <v>0</v>
      </c>
      <c r="Y7" s="59" t="str">
        <f>[1]Sheet1!Y7</f>
        <v xml:space="preserve">El retorno de los alumnos desaprobados por 3ra vez </v>
      </c>
      <c r="Z7" s="59"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59">
        <f>[1]Sheet1!AA7</f>
        <v>0.5</v>
      </c>
    </row>
    <row r="8" spans="1:125" ht="45.95" customHeight="1">
      <c r="A8" s="59">
        <f>[1]Sheet1!A8</f>
        <v>26</v>
      </c>
      <c r="B8" s="220">
        <f>[1]Sheet1!B8</f>
        <v>46048.615277777775</v>
      </c>
      <c r="C8" s="220">
        <f>[1]Sheet1!C8</f>
        <v>46048.623611111114</v>
      </c>
      <c r="D8" s="59" t="str">
        <f>[1]Sheet1!D8</f>
        <v>makarena.ramos@laureate.pe</v>
      </c>
      <c r="E8" s="59" t="str">
        <f>[1]Sheet1!E8</f>
        <v>Makarena Ramos Aleman</v>
      </c>
      <c r="F8" s="59" t="str">
        <f>[1]Sheet1!F8</f>
        <v>Actualización de Reportes PF012 y AC006 -Penalidad por 4to curso repetido</v>
      </c>
      <c r="G8" s="59" t="str">
        <f>[1]Sheet1!G8</f>
        <v>[SPO]Necesitamos la actualización de los reportes para que pueda incluir la Validación de carga de  las penalidades(PF012), Cierre de Campaña - AC006. Logrando que incluya la casuistica de las penalidades por 4ta en los controles SOX.</v>
      </c>
      <c r="H8" s="59" t="str">
        <f>[1]Sheet1!H8</f>
        <v>UPN</v>
      </c>
      <c r="I8" s="59" t="str">
        <f>[1]Sheet1!I8</f>
        <v>Tairi Ruillier - VP Transformación</v>
      </c>
      <c r="J8" s="59" t="str">
        <f>[1]Sheet1!J8</f>
        <v xml:space="preserve">Janeth Albujar Rodriguez </v>
      </c>
      <c r="K8" s="59">
        <f>[1]Sheet1!K8</f>
        <v>0</v>
      </c>
      <c r="L8" s="59" t="str">
        <f>[1]Sheet1!L8</f>
        <v>Carla Arias-Schreiber</v>
      </c>
      <c r="M8" s="68">
        <f>[1]Sheet1!M8</f>
        <v>46035</v>
      </c>
      <c r="N8" s="68" t="str">
        <f>[1]Sheet1!N8</f>
        <v>No</v>
      </c>
      <c r="O8" s="59">
        <f>[1]Sheet1!O8</f>
        <v>0</v>
      </c>
      <c r="P8" s="59">
        <f>[1]Sheet1!P8</f>
        <v>76553</v>
      </c>
      <c r="Q8" s="59" t="str">
        <f>[1]Sheet1!Q8</f>
        <v>Otro</v>
      </c>
      <c r="R8" s="59" t="str">
        <f>[1]Sheet1!R8</f>
        <v>Actualmente los reportes no incluyen las penalidades por 4ta</v>
      </c>
      <c r="S8" s="59">
        <f>[1]Sheet1!S8</f>
        <v>0</v>
      </c>
      <c r="T8" s="59" t="str">
        <f>[1]Sheet1!T8</f>
        <v>Creacion de campaña
Cierre de Matricula</v>
      </c>
      <c r="U8" s="59">
        <f>[1]Sheet1!U8</f>
        <v>0</v>
      </c>
      <c r="V8" s="59" t="str">
        <f>[1]Sheet1!V8</f>
        <v>Crecimiento escalable</v>
      </c>
      <c r="W8" s="59" t="str">
        <f>[1]Sheet1!W8</f>
        <v>No</v>
      </c>
      <c r="X8" s="59">
        <f>[1]Sheet1!X8</f>
        <v>0</v>
      </c>
      <c r="Y8" s="59" t="str">
        <f>[1]Sheet1!Y8</f>
        <v>Reportes SOX (PF012), Cierre de Campaña - AC006</v>
      </c>
      <c r="Z8" s="59" t="str">
        <f>[1]Sheet1!Z8</f>
        <v>https://educorpperu-my.sharepoint.com/personal/diana_zapata_laureate_pe1/_layouts/15/Doc.aspx?sourcedoc=%7BA5A84171-075B-4674-B91E-F72A86A61703%7D&amp;file=Solicitud_Reportes%20incluyen%20reglas%20de%20c%20-%204ta_Makarena%20Ramos%20Alema.pptx&amp;action=edit&amp;mobileredirect=true</v>
      </c>
      <c r="AA8" s="59">
        <f>[1]Sheet1!AA8</f>
        <v>0.5</v>
      </c>
    </row>
    <row r="9" spans="1:125" ht="45.95" customHeight="1">
      <c r="A9" s="59">
        <f>[1]Sheet1!A9</f>
        <v>27</v>
      </c>
      <c r="B9" s="220">
        <f>[1]Sheet1!B9</f>
        <v>46048.633333333331</v>
      </c>
      <c r="C9" s="220">
        <f>[1]Sheet1!C9</f>
        <v>46048.648611111108</v>
      </c>
      <c r="D9" s="59" t="str">
        <f>[1]Sheet1!D9</f>
        <v>makarena.ramos@laureate.pe</v>
      </c>
      <c r="E9" s="59" t="str">
        <f>[1]Sheet1!E9</f>
        <v>Makarena Ramos Aleman</v>
      </c>
      <c r="F9" s="59" t="str">
        <f>[1]Sheet1!F9</f>
        <v>Mejora en la estimación de penalidades – 4ta repitencia.</v>
      </c>
      <c r="G9" s="59" t="str">
        <f>[1]Sheet1!G9</f>
        <v>[SPO]Mejora del proceso de estimación de penalidad para que genere los cargos con penalidad por cuarta repitencia. Logrando que los alumnos puedan matricularse nuevamente pagando la penalidad correspondiente.</v>
      </c>
      <c r="H9" s="59" t="str">
        <f>[1]Sheet1!H9</f>
        <v>UPN</v>
      </c>
      <c r="I9" s="59" t="str">
        <f>[1]Sheet1!I9</f>
        <v>Tairi Ruillier - VP Transformación</v>
      </c>
      <c r="J9" s="59" t="str">
        <f>[1]Sheet1!J9</f>
        <v xml:space="preserve">Janeth Albujar Rodriguez </v>
      </c>
      <c r="K9" s="59">
        <f>[1]Sheet1!K9</f>
        <v>0</v>
      </c>
      <c r="L9" s="59" t="str">
        <f>[1]Sheet1!L9</f>
        <v>Carla Arias-Schreiber</v>
      </c>
      <c r="M9" s="68">
        <f>[1]Sheet1!M9</f>
        <v>46113</v>
      </c>
      <c r="N9" s="68" t="str">
        <f>[1]Sheet1!N9</f>
        <v>No</v>
      </c>
      <c r="O9" s="59">
        <f>[1]Sheet1!O9</f>
        <v>0</v>
      </c>
      <c r="P9" s="59">
        <f>[1]Sheet1!P9</f>
        <v>76553</v>
      </c>
      <c r="Q9" s="59" t="str">
        <f>[1]Sheet1!Q9</f>
        <v>Otro</v>
      </c>
      <c r="R9" s="59" t="str">
        <f>[1]Sheet1!R9</f>
        <v xml:space="preserve">No se genera de manera automática las penalidades de 4ta </v>
      </c>
      <c r="S9" s="59">
        <f>[1]Sheet1!S9</f>
        <v>0</v>
      </c>
      <c r="T9" s="59" t="str">
        <f>[1]Sheet1!T9</f>
        <v>Cierre de Matricula</v>
      </c>
      <c r="U9" s="59" t="str">
        <f>[1]Sheet1!U9</f>
        <v>Alumnos</v>
      </c>
      <c r="V9" s="59" t="str">
        <f>[1]Sheet1!V9</f>
        <v>Crecimiento escalable</v>
      </c>
      <c r="W9" s="59" t="str">
        <f>[1]Sheet1!W9</f>
        <v>No</v>
      </c>
      <c r="X9" s="59" t="str">
        <f>[1]Sheet1!X9</f>
        <v>No cuantificado o S/0</v>
      </c>
      <c r="Y9" s="59" t="str">
        <f>[1]Sheet1!Y9</f>
        <v xml:space="preserve">Estudiantes puedan realizar sus pagos de penalidades por 4ta </v>
      </c>
      <c r="Z9" s="59"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59">
        <f>[1]Sheet1!AA9</f>
        <v>1.4</v>
      </c>
    </row>
    <row r="10" spans="1:125" ht="45.95" customHeight="1">
      <c r="A10" s="59">
        <f>[1]Sheet1!A10</f>
        <v>28</v>
      </c>
      <c r="B10" s="220">
        <f>[1]Sheet1!B10</f>
        <v>46048.633333333331</v>
      </c>
      <c r="C10" s="220">
        <f>[1]Sheet1!C10</f>
        <v>46048.654166666667</v>
      </c>
      <c r="D10" s="59" t="str">
        <f>[1]Sheet1!D10</f>
        <v>makarena.ramos@laureate.pe</v>
      </c>
      <c r="E10" s="59" t="str">
        <f>[1]Sheet1!E10</f>
        <v>Makarena Ramos Aleman</v>
      </c>
      <c r="F10" s="59" t="str">
        <f>[1]Sheet1!F10</f>
        <v>Marcación de reingresantes desaprobados por tercera vez (4TAV)</v>
      </c>
      <c r="G10" s="59"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59" t="str">
        <f>[1]Sheet1!H10</f>
        <v>UPN</v>
      </c>
      <c r="I10" s="59" t="str">
        <f>[1]Sheet1!I10</f>
        <v>Tairi Ruillier - VP Transformación</v>
      </c>
      <c r="J10" s="59" t="str">
        <f>[1]Sheet1!J10</f>
        <v xml:space="preserve">Janeth Albujar Rodriguez </v>
      </c>
      <c r="K10" s="59">
        <f>[1]Sheet1!K10</f>
        <v>0</v>
      </c>
      <c r="L10" s="59" t="str">
        <f>[1]Sheet1!L10</f>
        <v>Carla Arias-Schreiber</v>
      </c>
      <c r="M10" s="68">
        <f>[1]Sheet1!M10</f>
        <v>46113</v>
      </c>
      <c r="N10" s="68" t="str">
        <f>[1]Sheet1!N10</f>
        <v>No</v>
      </c>
      <c r="O10" s="59">
        <f>[1]Sheet1!O10</f>
        <v>0</v>
      </c>
      <c r="P10" s="59">
        <f>[1]Sheet1!P10</f>
        <v>76553</v>
      </c>
      <c r="Q10" s="59" t="str">
        <f>[1]Sheet1!Q10</f>
        <v>Otro</v>
      </c>
      <c r="R10" s="59"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59">
        <f>[1]Sheet1!S10</f>
        <v>0</v>
      </c>
      <c r="T10" s="59" t="str">
        <f>[1]Sheet1!T10</f>
        <v>Admisión de Reingresos</v>
      </c>
      <c r="U10" s="59">
        <f>[1]Sheet1!U10</f>
        <v>0</v>
      </c>
      <c r="V10" s="59" t="str">
        <f>[1]Sheet1!V10</f>
        <v>Crecimiento escalable</v>
      </c>
      <c r="W10" s="59" t="str">
        <f>[1]Sheet1!W10</f>
        <v>No</v>
      </c>
      <c r="X10" s="59">
        <f>[1]Sheet1!X10</f>
        <v>0</v>
      </c>
      <c r="Y10" s="59" t="str">
        <f>[1]Sheet1!Y10</f>
        <v>Reingreso de Alumnos por 4ta</v>
      </c>
      <c r="Z10" s="59" t="str">
        <f>[1]Sheet1!Z10</f>
        <v>https://educorpperu-my.sharepoint.com/personal/diana_zapata_laureate_pe1/_layouts/15/Doc.aspx?sourcedoc=%7BB90D1AC2-48A3-4CB6-B535-02BC5163EAEC%7D&amp;file=Requerimiento_Reingresos_Makarena%20Ramos%20Alema.pptx&amp;action=edit&amp;mobileredirect=true</v>
      </c>
      <c r="AA10" s="59">
        <f>[1]Sheet1!AA10</f>
        <v>0.5</v>
      </c>
    </row>
    <row r="11" spans="1:125" ht="45.95" customHeight="1">
      <c r="A11" s="59">
        <f>[1]Sheet1!A11</f>
        <v>29</v>
      </c>
      <c r="B11" s="220">
        <f>[1]Sheet1!B11</f>
        <v>46048.633333333331</v>
      </c>
      <c r="C11" s="220">
        <f>[1]Sheet1!C11</f>
        <v>46048.661805555559</v>
      </c>
      <c r="D11" s="59" t="str">
        <f>[1]Sheet1!D11</f>
        <v>makarena.ramos@laureate.pe</v>
      </c>
      <c r="E11" s="59" t="str">
        <f>[1]Sheet1!E11</f>
        <v>Makarena Ramos Aleman</v>
      </c>
      <c r="F11" s="59" t="str">
        <f>[1]Sheet1!F11</f>
        <v>Proyección automática de cursos por 4ta vez</v>
      </c>
      <c r="G11" s="59"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59" t="str">
        <f>[1]Sheet1!H11</f>
        <v>UPN</v>
      </c>
      <c r="I11" s="59" t="str">
        <f>[1]Sheet1!I11</f>
        <v>Sebastian Lindley - VP Transformación</v>
      </c>
      <c r="J11" s="59" t="str">
        <f>[1]Sheet1!J11</f>
        <v xml:space="preserve">Janeth Albujar Rodriguez </v>
      </c>
      <c r="K11" s="59">
        <f>[1]Sheet1!K11</f>
        <v>0</v>
      </c>
      <c r="L11" s="59" t="str">
        <f>[1]Sheet1!L11</f>
        <v>Carla Arias-Schreiber</v>
      </c>
      <c r="M11" s="68">
        <f>[1]Sheet1!M11</f>
        <v>46113</v>
      </c>
      <c r="N11" s="68" t="str">
        <f>[1]Sheet1!N11</f>
        <v>No</v>
      </c>
      <c r="O11" s="59">
        <f>[1]Sheet1!O11</f>
        <v>0</v>
      </c>
      <c r="P11" s="59">
        <f>[1]Sheet1!P11</f>
        <v>76553</v>
      </c>
      <c r="Q11" s="59" t="str">
        <f>[1]Sheet1!Q11</f>
        <v>Otro</v>
      </c>
      <c r="R11" s="59" t="str">
        <f>[1]Sheet1!R11</f>
        <v xml:space="preserve">El desafío seria que si no se realizo se tendría que hacer de manera manual </v>
      </c>
      <c r="S11" s="59">
        <f>[1]Sheet1!S11</f>
        <v>0</v>
      </c>
      <c r="T11" s="59" t="str">
        <f>[1]Sheet1!T11</f>
        <v>Proceso de Matricula de Reingresos</v>
      </c>
      <c r="U11" s="59" t="str">
        <f>[1]Sheet1!U11</f>
        <v>Alumnos</v>
      </c>
      <c r="V11" s="59" t="str">
        <f>[1]Sheet1!V11</f>
        <v>Crecimiento escalable</v>
      </c>
      <c r="W11" s="59" t="str">
        <f>[1]Sheet1!W11</f>
        <v>No</v>
      </c>
      <c r="X11" s="59" t="str">
        <f>[1]Sheet1!X11</f>
        <v>No cuantificado o S/0</v>
      </c>
      <c r="Y11" s="59" t="str">
        <f>[1]Sheet1!Y11</f>
        <v>Los estudiantes puedan continuar sus estudios al matricular en el o los cursos por 4ta vez.</v>
      </c>
      <c r="Z11" s="59"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59">
        <f>[1]Sheet1!AA11</f>
        <v>1.4</v>
      </c>
    </row>
    <row r="12" spans="1:125" ht="45.95" customHeight="1">
      <c r="A12" s="59">
        <f>[1]Sheet1!A12</f>
        <v>30</v>
      </c>
      <c r="B12" s="220">
        <f>[1]Sheet1!B12</f>
        <v>46048.651388888888</v>
      </c>
      <c r="C12" s="220">
        <f>[1]Sheet1!C12</f>
        <v>46048.669444444444</v>
      </c>
      <c r="D12" s="59" t="str">
        <f>[1]Sheet1!D12</f>
        <v>gerson.vereau@upn.edu.pe</v>
      </c>
      <c r="E12" s="59" t="str">
        <f>[1]Sheet1!E12</f>
        <v>Gerson Vereau Rosas</v>
      </c>
      <c r="F12" s="59" t="str">
        <f>[1]Sheet1!F12</f>
        <v>Franja horaria no visible para horas adicionales</v>
      </c>
      <c r="G12" s="59"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59" t="str">
        <f>[1]Sheet1!H12</f>
        <v>UPN</v>
      </c>
      <c r="I12" s="59" t="str">
        <f>[1]Sheet1!I12</f>
        <v>Álvaro Valdez - VP Operaciones</v>
      </c>
      <c r="J12" s="59" t="str">
        <f>[1]Sheet1!J12</f>
        <v xml:space="preserve">Adolfo Correa </v>
      </c>
      <c r="K12" s="59">
        <f>[1]Sheet1!K12</f>
        <v>0</v>
      </c>
      <c r="L12" s="59" t="str">
        <f>[1]Sheet1!L12</f>
        <v>Gerson Vereau</v>
      </c>
      <c r="M12" s="68">
        <f>[1]Sheet1!M12</f>
        <v>46078</v>
      </c>
      <c r="N12" s="68" t="str">
        <f>[1]Sheet1!N12</f>
        <v>No</v>
      </c>
      <c r="O12" s="59" t="str">
        <f>[1]Sheet1!O12</f>
        <v> </v>
      </c>
      <c r="P12" s="59">
        <f>[1]Sheet1!P12</f>
        <v>0</v>
      </c>
      <c r="Q12" s="59" t="str">
        <f>[1]Sheet1!Q12</f>
        <v>Otro</v>
      </c>
      <c r="R12" s="59" t="str">
        <f>[1]Sheet1!R12</f>
        <v>Hoy en día se generan planillas manuales que aseguran la coherencia entre la programación académica junto con el pago docente. Un error en las planillas manuales puede ocasionar un pago doble al docente.</v>
      </c>
      <c r="S12" s="59">
        <f>[1]Sheet1!S12</f>
        <v>0</v>
      </c>
      <c r="T12" s="59" t="str">
        <f>[1]Sheet1!T12</f>
        <v>Programación Horaria / Nómina ( Planillas docente) / Control de horas y teaching cost /Monitoreo académico de Educación virtual</v>
      </c>
      <c r="U12" s="59">
        <f>[1]Sheet1!U12</f>
        <v>0</v>
      </c>
      <c r="V12" s="59" t="str">
        <f>[1]Sheet1!V12</f>
        <v>Excelencia Operativa</v>
      </c>
      <c r="W12" s="59" t="str">
        <f>[1]Sheet1!W12</f>
        <v>No</v>
      </c>
      <c r="X12" s="59">
        <f>[1]Sheet1!X12</f>
        <v>0</v>
      </c>
      <c r="Y12" s="59" t="str">
        <f>[1]Sheet1!Y12</f>
        <v>Cuando migre para pago por Portal Dirección está sujeto al siguiente control ARO.UPN.HRPay.03.01. Asegurar la coherencia entre la programación académica junto con el pago docente.</v>
      </c>
      <c r="Z12" s="59"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59">
        <f>[1]Sheet1!AA12</f>
        <v>0.30000000000000004</v>
      </c>
    </row>
    <row r="13" spans="1:125" ht="45.95" customHeight="1">
      <c r="A13" s="59">
        <f>[1]Sheet1!A13</f>
        <v>31</v>
      </c>
      <c r="B13" s="220">
        <f>[1]Sheet1!B13</f>
        <v>46048.645833333336</v>
      </c>
      <c r="C13" s="220">
        <f>[1]Sheet1!C13</f>
        <v>46048.67291666667</v>
      </c>
      <c r="D13" s="59" t="str">
        <f>[1]Sheet1!D13</f>
        <v>jose.herbozo@upn.edu.pe</v>
      </c>
      <c r="E13" s="59" t="str">
        <f>[1]Sheet1!E13</f>
        <v>Jose Paredes Herbozo</v>
      </c>
      <c r="F13" s="59" t="str">
        <f>[1]Sheet1!F13</f>
        <v>Incorporar sección de "variable étnica" a la Ficha de Postulación y CRM</v>
      </c>
      <c r="G13" s="59"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59" t="str">
        <f>[1]Sheet1!H13</f>
        <v>UPN</v>
      </c>
      <c r="I13" s="59" t="str">
        <f>[1]Sheet1!I13</f>
        <v>Rossina Caballero - VP Legal</v>
      </c>
      <c r="J13" s="59" t="str">
        <f>[1]Sheet1!J13</f>
        <v>Sandra Chirinos Villavicencio</v>
      </c>
      <c r="K13" s="59">
        <f>[1]Sheet1!K13</f>
        <v>0</v>
      </c>
      <c r="L13" s="59" t="str">
        <f>[1]Sheet1!L13</f>
        <v>Jose Paredes</v>
      </c>
      <c r="M13" s="68">
        <f>[1]Sheet1!M13</f>
        <v>46081</v>
      </c>
      <c r="N13" s="68" t="str">
        <f>[1]Sheet1!N13</f>
        <v>No</v>
      </c>
      <c r="O13" s="59" t="str">
        <f>[1]Sheet1!O13</f>
        <v> </v>
      </c>
      <c r="P13" s="59">
        <f>[1]Sheet1!P13</f>
        <v>0</v>
      </c>
      <c r="Q13" s="59" t="str">
        <f>[1]Sheet1!Q13</f>
        <v>Normativa</v>
      </c>
      <c r="R13" s="59" t="str">
        <f>[1]Sheet1!R13</f>
        <v>Incluir estas nuevas preguntas en la ficha de postulación y que estas respuestas viajen al CRM a modo consulta.
El equipo comercial extrae los reportes de SUNEDU de postulantes desde el CRM, es por eso que se requiere tenerlo ahí tambien.</v>
      </c>
      <c r="S13" s="59">
        <f>[1]Sheet1!S13</f>
        <v>0</v>
      </c>
      <c r="T13" s="59" t="str">
        <f>[1]Sheet1!T13</f>
        <v>Admisión, Exportación e importación de datos SUNEDU</v>
      </c>
      <c r="U13" s="59">
        <f>[1]Sheet1!U13</f>
        <v>0</v>
      </c>
      <c r="V13" s="59" t="str">
        <f>[1]Sheet1!V13</f>
        <v>Excelencia Operativa</v>
      </c>
      <c r="W13" s="59" t="str">
        <f>[1]Sheet1!W13</f>
        <v>No</v>
      </c>
      <c r="X13" s="59">
        <f>[1]Sheet1!X13</f>
        <v>0</v>
      </c>
      <c r="Y13" s="59" t="str">
        <f>[1]Sheet1!Y13</f>
        <v>Estar alineado a lo que rige el ente regulador.</v>
      </c>
      <c r="Z13" s="59" t="str">
        <f>[1]Sheet1!Z13</f>
        <v>https://educorpperu-my.sharepoint.com/personal/diana_zapata_laureate_pe1/_layouts/15/Doc.aspx?sourcedoc=%7B7C571A66-11AC-480F-B19C-571BDF070428%7D&amp;file=Implementaci%C3%B3n%20de%20informacion%20en%20CRM_Variable_Jose%20Paredes%20Herbozo.pptx&amp;action=edit&amp;mobileredirect=true</v>
      </c>
      <c r="AA13" s="59">
        <f>[1]Sheet1!AA13</f>
        <v>1.8</v>
      </c>
    </row>
    <row r="14" spans="1:125" ht="45.95" customHeight="1">
      <c r="A14" s="59">
        <f>[1]Sheet1!A14</f>
        <v>32</v>
      </c>
      <c r="B14" s="220">
        <f>[1]Sheet1!B14</f>
        <v>46048.67291666667</v>
      </c>
      <c r="C14" s="220">
        <f>[1]Sheet1!C14</f>
        <v>46048.69027777778</v>
      </c>
      <c r="D14" s="59" t="str">
        <f>[1]Sheet1!D14</f>
        <v>jose.herbozo@upn.edu.pe</v>
      </c>
      <c r="E14" s="59" t="str">
        <f>[1]Sheet1!E14</f>
        <v>Jose Paredes Herbozo</v>
      </c>
      <c r="F14" s="59" t="str">
        <f>[1]Sheet1!F14</f>
        <v>Desactivación del proceso automático de reembolsos en el retiro formal</v>
      </c>
      <c r="G14" s="59"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59" t="str">
        <f>[1]Sheet1!H14</f>
        <v>UPN</v>
      </c>
      <c r="I14" s="59" t="str">
        <f>[1]Sheet1!I14</f>
        <v>Alex Pendavis - VP Finanzas</v>
      </c>
      <c r="J14" s="59" t="str">
        <f>[1]Sheet1!J14</f>
        <v>Cindy Chuco</v>
      </c>
      <c r="K14" s="59">
        <f>[1]Sheet1!K14</f>
        <v>0</v>
      </c>
      <c r="L14" s="59" t="str">
        <f>[1]Sheet1!L14</f>
        <v>Jose Paredes</v>
      </c>
      <c r="M14" s="68">
        <f>[1]Sheet1!M14</f>
        <v>46080</v>
      </c>
      <c r="N14" s="68" t="str">
        <f>[1]Sheet1!N14</f>
        <v>No</v>
      </c>
      <c r="O14" s="59" t="str">
        <f>[1]Sheet1!O14</f>
        <v> </v>
      </c>
      <c r="P14" s="59">
        <f>[1]Sheet1!P14</f>
        <v>0</v>
      </c>
      <c r="Q14" s="59" t="str">
        <f>[1]Sheet1!Q14</f>
        <v>Otro</v>
      </c>
      <c r="R14" s="59"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59">
        <f>[1]Sheet1!S14</f>
        <v>0</v>
      </c>
      <c r="T14" s="59" t="str">
        <f>[1]Sheet1!T14</f>
        <v>- Reembolsos automáticos de retiro formal
- Proceso Financiero de Cuentas por Pagar
- Proceso de Tesorería
- Proceso de Retiro Formal del Estudiante</v>
      </c>
      <c r="U14" s="59">
        <f>[1]Sheet1!U14</f>
        <v>0</v>
      </c>
      <c r="V14" s="59" t="str">
        <f>[1]Sheet1!V14</f>
        <v>Excelencia Operativa</v>
      </c>
      <c r="W14" s="59" t="str">
        <f>[1]Sheet1!W14</f>
        <v>No</v>
      </c>
      <c r="X14" s="59">
        <f>[1]Sheet1!X14</f>
        <v>0</v>
      </c>
      <c r="Y14" s="59" t="str">
        <f>[1]Sheet1!Y14</f>
        <v>Reducción operativa.</v>
      </c>
      <c r="Z14" s="59" t="str">
        <f>[1]Sheet1!Z14</f>
        <v>https://educorpperu-my.sharepoint.com/personal/diana_zapata_laureate_pe1/_layouts/15/Doc.aspx?sourcedoc=%7B45291CE6-8C02-4BA8-8304-F8E9A67BF9C6%7D&amp;file=Solicitud%20de%20requerimientos%20%20-%20Retiro%20WOC%20REF_Jose%20Paredes%20Herbozo.pptx&amp;action=edit&amp;mobileredirect=true</v>
      </c>
      <c r="AA14" s="59">
        <f>[1]Sheet1!AA14</f>
        <v>0.30000000000000004</v>
      </c>
    </row>
    <row r="15" spans="1:125" ht="45.95" customHeight="1">
      <c r="A15" s="59">
        <f>[1]Sheet1!A15</f>
        <v>33</v>
      </c>
      <c r="B15" s="220">
        <f>[1]Sheet1!B15</f>
        <v>46049.461111111108</v>
      </c>
      <c r="C15" s="220">
        <f>[1]Sheet1!C15</f>
        <v>46049.47152777778</v>
      </c>
      <c r="D15" s="59" t="str">
        <f>[1]Sheet1!D15</f>
        <v>daniella.poppe@laureate.pe</v>
      </c>
      <c r="E15" s="59" t="str">
        <f>[1]Sheet1!E15</f>
        <v>Daniella Poppe Medina</v>
      </c>
      <c r="F15" s="59" t="str">
        <f>[1]Sheet1!F15</f>
        <v>Lead Scoring - Integración de modelo Lead Scoring a CRM</v>
      </c>
      <c r="G15" s="59" t="str">
        <f>[1]Sheet1!G15</f>
        <v>Necesitamos integrar el Lead Scoring al CRM para que el equipo comercial pueda priorizar de manera más efectiva los leads que recibe para la venta logrando un ratio de conversión mayor.</v>
      </c>
      <c r="H15" s="59" t="str">
        <f>[1]Sheet1!H15</f>
        <v>UPN</v>
      </c>
      <c r="I15" s="59" t="str">
        <f>[1]Sheet1!I15</f>
        <v>Humberto Marota - Tecnologías y transformación digital</v>
      </c>
      <c r="J15" s="59" t="str">
        <f>[1]Sheet1!J15</f>
        <v>Daniella Poppe</v>
      </c>
      <c r="K15" s="59">
        <f>[1]Sheet1!K15</f>
        <v>0</v>
      </c>
      <c r="L15" s="59" t="str">
        <f>[1]Sheet1!L15</f>
        <v>Jose Paredes</v>
      </c>
      <c r="M15" s="68">
        <f>[1]Sheet1!M15</f>
        <v>46081</v>
      </c>
      <c r="N15" s="68" t="str">
        <f>[1]Sheet1!N15</f>
        <v>Si</v>
      </c>
      <c r="O15" s="59">
        <f>[1]Sheet1!O15</f>
        <v>0</v>
      </c>
      <c r="P15" s="59">
        <f>[1]Sheet1!P15</f>
        <v>75364</v>
      </c>
      <c r="Q15" s="59" t="str">
        <f>[1]Sheet1!Q15</f>
        <v>Otro</v>
      </c>
      <c r="R15" s="59"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59">
        <f>[1]Sheet1!S15</f>
        <v>0</v>
      </c>
      <c r="T15" s="59" t="str">
        <f>[1]Sheet1!T15</f>
        <v>Proceso de venta - con este modelo en el CRM se va a poder priorizar los leads de manera eficiente</v>
      </c>
      <c r="U15" s="59">
        <f>[1]Sheet1!U15</f>
        <v>0</v>
      </c>
      <c r="V15" s="59" t="str">
        <f>[1]Sheet1!V15</f>
        <v>Excelencia Operativa</v>
      </c>
      <c r="W15" s="59" t="str">
        <f>[1]Sheet1!W15</f>
        <v>No</v>
      </c>
      <c r="X15" s="59">
        <f>[1]Sheet1!X15</f>
        <v>0</v>
      </c>
      <c r="Y15" s="59" t="str">
        <f>[1]Sheet1!Y15</f>
        <v>Priorización de leads para mejorar la conversión de venta</v>
      </c>
      <c r="Z15" s="59" t="str">
        <f>[1]Sheet1!Z15</f>
        <v>https://educorpperu-my.sharepoint.com/personal/diana_zapata_laureate_pe1/_layouts/15/Doc.aspx?sourcedoc=%7B686E36E1-E655-427B-84A6-9FB3EBC63D5A%7D&amp;file=Solicitud%20de%20requerimientos%20Lead%20Scoring_CRM_Daniella%20Poppe%20Medin.pptx&amp;action=edit&amp;mobileredirect=true</v>
      </c>
      <c r="AA15" s="59">
        <f>[1]Sheet1!AA15</f>
        <v>1.8</v>
      </c>
    </row>
    <row r="16" spans="1:125" ht="45.95" customHeight="1">
      <c r="A16" s="59">
        <f>[1]Sheet1!A16</f>
        <v>34</v>
      </c>
      <c r="B16" s="220">
        <f>[1]Sheet1!B16</f>
        <v>46049.599305555559</v>
      </c>
      <c r="C16" s="220">
        <f>[1]Sheet1!C16</f>
        <v>46049.717361111114</v>
      </c>
      <c r="D16" s="59" t="str">
        <f>[1]Sheet1!D16</f>
        <v>eduardo.paul@cibertec.pe</v>
      </c>
      <c r="E16" s="59" t="str">
        <f>[1]Sheet1!E16</f>
        <v>Eduardo Paul Aguilar</v>
      </c>
      <c r="F16" s="59" t="str">
        <f>[1]Sheet1!F16</f>
        <v>Actualización en Gestión Docente sobre cambios realizados en Banner</v>
      </c>
      <c r="G16" s="59"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59" t="str">
        <f>[1]Sheet1!H16</f>
        <v>CIB</v>
      </c>
      <c r="I16" s="59" t="str">
        <f>[1]Sheet1!I16</f>
        <v>Danilo Tauil - GM TecVoc</v>
      </c>
      <c r="J16" s="59" t="str">
        <f>[1]Sheet1!J16</f>
        <v>Paola Mora</v>
      </c>
      <c r="K16" s="59">
        <f>[1]Sheet1!K16</f>
        <v>0</v>
      </c>
      <c r="L16" s="59" t="str">
        <f>[1]Sheet1!L16</f>
        <v>Ángela Lucano</v>
      </c>
      <c r="M16" s="68">
        <f>[1]Sheet1!M16</f>
        <v>46081</v>
      </c>
      <c r="N16" s="68" t="str">
        <f>[1]Sheet1!N16</f>
        <v>No</v>
      </c>
      <c r="O16" s="59" t="str">
        <f>[1]Sheet1!O16</f>
        <v> </v>
      </c>
      <c r="P16" s="59">
        <f>[1]Sheet1!P16</f>
        <v>0</v>
      </c>
      <c r="Q16" s="59" t="str">
        <f>[1]Sheet1!Q16</f>
        <v>Otro</v>
      </c>
      <c r="R16" s="59" t="str">
        <f>[1]Sheet1!R16</f>
        <v>Impacto, los docentes tiene que validar antes de tomar lista la consistencia de la información. Valida la lista de alumnos. Este tiempo impacto en el desempeño de la clases. Riesgos de deserción de alumnos al no aparecer en la lista de asistencia.</v>
      </c>
      <c r="S16" s="59">
        <f>[1]Sheet1!S16</f>
        <v>0</v>
      </c>
      <c r="T16" s="59"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59">
        <f>[1]Sheet1!U16</f>
        <v>0</v>
      </c>
      <c r="V16" s="59" t="str">
        <f>[1]Sheet1!V16</f>
        <v>Excelencia Operativa</v>
      </c>
      <c r="W16" s="59" t="str">
        <f>[1]Sheet1!W16</f>
        <v>No</v>
      </c>
      <c r="X16" s="59">
        <f>[1]Sheet1!X16</f>
        <v>0</v>
      </c>
      <c r="Y16" s="59" t="str">
        <f>[1]Sheet1!Y16</f>
        <v>Mejora calidad de servicio.
Reducir el riesgo de deserción alumnos.</v>
      </c>
      <c r="Z16" s="59" t="str">
        <f>[1]Sheet1!Z16</f>
        <v>https://educorpperu-my.sharepoint.com/personal/diana_zapata_laureate_pe1/_layouts/15/Doc.aspx?sourcedoc=%7BCABCAFC8-A16F-4590-A579-6FA25A77E247%7D&amp;file=Comite%20gestion%20Problemas_Eduardo%20Paul%20Aguilar.pptx&amp;action=edit&amp;mobileredirect=true</v>
      </c>
      <c r="AA16" s="59">
        <f>[1]Sheet1!AA16</f>
        <v>0.30000000000000004</v>
      </c>
    </row>
    <row r="17" spans="1:27" ht="45.95" customHeight="1">
      <c r="A17" s="59">
        <f>[1]Sheet1!A17</f>
        <v>36</v>
      </c>
      <c r="B17" s="220">
        <f>[1]Sheet1!B17</f>
        <v>46055.426388888889</v>
      </c>
      <c r="C17" s="220">
        <f>[1]Sheet1!C17</f>
        <v>46055.469444444447</v>
      </c>
      <c r="D17" s="59" t="str">
        <f>[1]Sheet1!D17</f>
        <v>carla.arias@upn.edu.pe</v>
      </c>
      <c r="E17" s="59" t="str">
        <f>[1]Sheet1!E17</f>
        <v>Carla Arias Schreiber Ulloa</v>
      </c>
      <c r="F17" s="59" t="str">
        <f>[1]Sheet1!F17</f>
        <v>Adelantar el primer horario diario de sincronización de data en CRM.</v>
      </c>
      <c r="G17" s="59"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59" t="str">
        <f>[1]Sheet1!H17</f>
        <v>UPN</v>
      </c>
      <c r="I17" s="59" t="str">
        <f>[1]Sheet1!I17</f>
        <v>Ivan Olivares - VP Marketing y Comercial</v>
      </c>
      <c r="J17" s="59" t="str">
        <f>[1]Sheet1!J17</f>
        <v xml:space="preserve">Alvaro Verástegui </v>
      </c>
      <c r="K17" s="59">
        <f>[1]Sheet1!K17</f>
        <v>0</v>
      </c>
      <c r="L17" s="59" t="str">
        <f>[1]Sheet1!L17</f>
        <v>Carla Arias-Schreiber</v>
      </c>
      <c r="M17" s="68">
        <f>[1]Sheet1!M17</f>
        <v>46068</v>
      </c>
      <c r="N17" s="68" t="str">
        <f>[1]Sheet1!N17</f>
        <v>No</v>
      </c>
      <c r="O17" s="59" t="str">
        <f>[1]Sheet1!O17</f>
        <v> </v>
      </c>
      <c r="P17" s="59">
        <f>[1]Sheet1!P17</f>
        <v>0</v>
      </c>
      <c r="Q17" s="59" t="str">
        <f>[1]Sheet1!Q17</f>
        <v>Otro</v>
      </c>
      <c r="R17" s="59"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59">
        <f>[1]Sheet1!S17</f>
        <v>0</v>
      </c>
      <c r="T17" s="59" t="str">
        <f>[1]Sheet1!T17</f>
        <v>Estrategia Comercial</v>
      </c>
      <c r="U17" s="59">
        <f>[1]Sheet1!U17</f>
        <v>0</v>
      </c>
      <c r="V17" s="59" t="str">
        <f>[1]Sheet1!V17</f>
        <v>Crecimiento escalable</v>
      </c>
      <c r="W17" s="59" t="str">
        <f>[1]Sheet1!W17</f>
        <v>No</v>
      </c>
      <c r="X17" s="59">
        <f>[1]Sheet1!X17</f>
        <v>0</v>
      </c>
      <c r="Y17" s="59" t="str">
        <f>[1]Sheet1!Y17</f>
        <v>Falta de información actualizada para la toma de decisiones estratégicas.</v>
      </c>
      <c r="Z17" s="59" t="str">
        <f>[1]Sheet1!Z17</f>
        <v>https://educorpperu-my.sharepoint.com/personal/diana_zapata_laureate_pe1/_layouts/15/Doc.aspx?sourcedoc=%7BBAAADD7D-7CDA-4090-B002-FFC2BF1B3DF3%7D&amp;file=Problema%20con%20BI%20Corp_Carla%20Arias%20Schreibe.xlsx&amp;action=default&amp;mobileredirect=true</v>
      </c>
      <c r="AA17" s="59">
        <f>[1]Sheet1!AA17</f>
        <v>0.5</v>
      </c>
    </row>
    <row r="18" spans="1:27" ht="45.95" customHeight="1">
      <c r="A18" s="59">
        <f>[1]Sheet1!A18</f>
        <v>37</v>
      </c>
      <c r="B18" s="220">
        <f>[1]Sheet1!B18</f>
        <v>46055.469444444447</v>
      </c>
      <c r="C18" s="220">
        <f>[1]Sheet1!C18</f>
        <v>46055.481249999997</v>
      </c>
      <c r="D18" s="59" t="str">
        <f>[1]Sheet1!D18</f>
        <v>carla.arias@upn.edu.pe</v>
      </c>
      <c r="E18" s="59" t="str">
        <f>[1]Sheet1!E18</f>
        <v>Carla Arias Schreiber Ulloa</v>
      </c>
      <c r="F18" s="59" t="str">
        <f>[1]Sheet1!F18</f>
        <v>Mejora de RPA Horarios para estudiantes nuevos convalidantes</v>
      </c>
      <c r="G18" s="59"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59" t="str">
        <f>[1]Sheet1!H18</f>
        <v>UPN</v>
      </c>
      <c r="I18" s="59" t="str">
        <f>[1]Sheet1!I18</f>
        <v>Ivan Olivares - VP Marketing y Comercial</v>
      </c>
      <c r="J18" s="59" t="str">
        <f>[1]Sheet1!J18</f>
        <v xml:space="preserve">Saby Granda </v>
      </c>
      <c r="K18" s="59">
        <f>[1]Sheet1!K18</f>
        <v>0</v>
      </c>
      <c r="L18" s="59" t="str">
        <f>[1]Sheet1!L18</f>
        <v>Carla Arias-Schreiber</v>
      </c>
      <c r="M18" s="68">
        <f>[1]Sheet1!M18</f>
        <v>46056</v>
      </c>
      <c r="N18" s="68" t="str">
        <f>[1]Sheet1!N18</f>
        <v>No</v>
      </c>
      <c r="O18" s="59" t="str">
        <f>[1]Sheet1!O18</f>
        <v> </v>
      </c>
      <c r="P18" s="59">
        <f>[1]Sheet1!P18</f>
        <v>0</v>
      </c>
      <c r="Q18" s="59" t="str">
        <f>[1]Sheet1!Q18</f>
        <v>Otro</v>
      </c>
      <c r="R18" s="59" t="str">
        <f>[1]Sheet1!R18</f>
        <v>Impacto operativo en el proceso de new enrollment. Actualmente el RPA matricula a todos los estudiantes en el módulo 1, y el equipo de S.A. tiene que ajustar los horarios manualmente. Esto lentifica el cumplimiento de metas de matrícula.</v>
      </c>
      <c r="S18" s="59">
        <f>[1]Sheet1!S18</f>
        <v>0</v>
      </c>
      <c r="T18" s="59" t="str">
        <f>[1]Sheet1!T18</f>
        <v>Registro de horarios de nuevos estudiantes</v>
      </c>
      <c r="U18" s="59">
        <f>[1]Sheet1!U18</f>
        <v>0</v>
      </c>
      <c r="V18" s="59" t="str">
        <f>[1]Sheet1!V18</f>
        <v>Crecimiento escalable</v>
      </c>
      <c r="W18" s="59" t="str">
        <f>[1]Sheet1!W18</f>
        <v>No</v>
      </c>
      <c r="X18" s="59">
        <f>[1]Sheet1!X18</f>
        <v>0</v>
      </c>
      <c r="Y18" s="59" t="str">
        <f>[1]Sheet1!Y18</f>
        <v>Mejorar la experiencia de estudiantes nuevos en la recepción de sus horarios.
Minimizar carga operativa en equipo de Secretaría Académica</v>
      </c>
      <c r="Z18" s="59" t="str">
        <f>[1]Sheet1!Z18</f>
        <v>https://educorpperu-my.sharepoint.com/personal/diana_zapata_laureate_pe1/Documents/Aplicaciones/Microsoft%20Forms/REGISTRO%20DE%20INICIATIVAS/Pregunta/Captura%20de%20pantalla%202026-02-02%20113238_Carla%20Arias%20Schreibe.png</v>
      </c>
      <c r="AA18" s="59">
        <f>[1]Sheet1!AA18</f>
        <v>0.5</v>
      </c>
    </row>
    <row r="19" spans="1:27" ht="45.95" customHeight="1">
      <c r="A19" s="59">
        <f>[1]Sheet1!A19</f>
        <v>38</v>
      </c>
      <c r="B19" s="220">
        <f>[1]Sheet1!B19</f>
        <v>46056.961805555555</v>
      </c>
      <c r="C19" s="220">
        <f>[1]Sheet1!C19</f>
        <v>46056.992361111108</v>
      </c>
      <c r="D19" s="59" t="str">
        <f>[1]Sheet1!D19</f>
        <v>eduardo.paul@cibertec.pe</v>
      </c>
      <c r="E19" s="59" t="str">
        <f>[1]Sheet1!E19</f>
        <v>Eduardo Paul Aguilar</v>
      </c>
      <c r="F19" s="59" t="str">
        <f>[1]Sheet1!F19</f>
        <v>Extraccion de Datos Para retención.</v>
      </c>
      <c r="G19" s="59"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59" t="str">
        <f>[1]Sheet1!H19</f>
        <v>CIB</v>
      </c>
      <c r="I19" s="59" t="str">
        <f>[1]Sheet1!I19</f>
        <v>Danilo Tauil - GM TecVoc</v>
      </c>
      <c r="J19" s="59" t="str">
        <f>[1]Sheet1!J19</f>
        <v>Francis Siancas</v>
      </c>
      <c r="K19" s="59">
        <f>[1]Sheet1!K19</f>
        <v>0</v>
      </c>
      <c r="L19" s="59" t="str">
        <f>[1]Sheet1!L19</f>
        <v>Frank Palomino</v>
      </c>
      <c r="M19" s="68">
        <f>[1]Sheet1!M19</f>
        <v>46070</v>
      </c>
      <c r="N19" s="68" t="str">
        <f>[1]Sheet1!N19</f>
        <v>No</v>
      </c>
      <c r="O19" s="59" t="str">
        <f>[1]Sheet1!O19</f>
        <v> </v>
      </c>
      <c r="P19" s="59">
        <f>[1]Sheet1!P19</f>
        <v>0</v>
      </c>
      <c r="Q19" s="59" t="str">
        <f>[1]Sheet1!Q19</f>
        <v>Otro</v>
      </c>
      <c r="R19" s="59" t="str">
        <f>[1]Sheet1!R19</f>
        <v xml:space="preserve">No se tiene identificado aquellos alumnos que podrian desertar y retirarse del curso. actualmente esto se identifica el proximo ciclo cuando el alumno ya perdió el ciclo anterior. </v>
      </c>
      <c r="S19" s="59">
        <f>[1]Sheet1!S19</f>
        <v>0</v>
      </c>
      <c r="T19" s="59" t="str">
        <f>[1]Sheet1!T19</f>
        <v>Proceso de retención y proceso de matricula.</v>
      </c>
      <c r="U19" s="59">
        <f>[1]Sheet1!U19</f>
        <v>0</v>
      </c>
      <c r="V19" s="59" t="str">
        <f>[1]Sheet1!V19</f>
        <v>Crecimiento escalable</v>
      </c>
      <c r="W19" s="59" t="str">
        <f>[1]Sheet1!W19</f>
        <v>No</v>
      </c>
      <c r="X19" s="59">
        <f>[1]Sheet1!X19</f>
        <v>0</v>
      </c>
      <c r="Y19" s="59" t="str">
        <f>[1]Sheet1!Y19</f>
        <v>Reducir esfuerzos posteriores, luego que el alumno a desertado.</v>
      </c>
      <c r="Z19" s="59" t="str">
        <f>[1]Sheet1!Z19</f>
        <v> </v>
      </c>
      <c r="AA19" s="59">
        <f>[1]Sheet1!AA19</f>
        <v>0.5</v>
      </c>
    </row>
    <row r="20" spans="1:27" ht="45.95" customHeight="1">
      <c r="A20" s="59">
        <f>[1]Sheet1!A20</f>
        <v>39</v>
      </c>
      <c r="B20" s="220">
        <f>[1]Sheet1!B20</f>
        <v>46057.382638888892</v>
      </c>
      <c r="C20" s="220">
        <f>[1]Sheet1!C20</f>
        <v>46057.402083333334</v>
      </c>
      <c r="D20" s="59" t="str">
        <f>[1]Sheet1!D20</f>
        <v>giancarlo.villacorta@upc.pe</v>
      </c>
      <c r="E20" s="59" t="str">
        <f>[1]Sheet1!E20</f>
        <v>Giancarlo Villacorta Quiñones</v>
      </c>
      <c r="F20" s="59" t="str">
        <f>[1]Sheet1!F20</f>
        <v>Implementación de un proceso automatizado en Banner para la generación de turnos de Planificación Horaria</v>
      </c>
      <c r="G20" s="59"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59" t="str">
        <f>[1]Sheet1!H20</f>
        <v>UPC</v>
      </c>
      <c r="I20" s="59" t="str">
        <f>[1]Sheet1!I20</f>
        <v>Milagros Morgan - Rectorado UPC</v>
      </c>
      <c r="J20" s="59" t="str">
        <f>[1]Sheet1!J20</f>
        <v xml:space="preserve">Miguel Chang </v>
      </c>
      <c r="K20" s="59">
        <f>[1]Sheet1!K20</f>
        <v>0</v>
      </c>
      <c r="L20" s="59" t="str">
        <f>[1]Sheet1!L20</f>
        <v>Carla Arias-Schreiber</v>
      </c>
      <c r="M20" s="68">
        <f>[1]Sheet1!M20</f>
        <v>46094</v>
      </c>
      <c r="N20" s="68" t="str">
        <f>[1]Sheet1!N20</f>
        <v>No</v>
      </c>
      <c r="O20" s="59" t="str">
        <f>[1]Sheet1!O20</f>
        <v> </v>
      </c>
      <c r="P20" s="59">
        <f>[1]Sheet1!P20</f>
        <v>0</v>
      </c>
      <c r="Q20" s="59" t="str">
        <f>[1]Sheet1!Q20</f>
        <v>Otro</v>
      </c>
      <c r="R20" s="59"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59">
        <f>[1]Sheet1!S20</f>
        <v>0</v>
      </c>
      <c r="T20" s="59" t="str">
        <f>[1]Sheet1!T20</f>
        <v>Generación de turnos para la Planificación Horaria (gestión administrativa).
Acceso e interacción de los alumnos con la Planificación Horaria.
Matrícula</v>
      </c>
      <c r="U20" s="59">
        <f>[1]Sheet1!U20</f>
        <v>0</v>
      </c>
      <c r="V20" s="59" t="str">
        <f>[1]Sheet1!V20</f>
        <v>Excelencia Operativa</v>
      </c>
      <c r="W20" s="59" t="str">
        <f>[1]Sheet1!W20</f>
        <v>No</v>
      </c>
      <c r="X20" s="59">
        <f>[1]Sheet1!X20</f>
        <v>0</v>
      </c>
      <c r="Y20" s="59"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59" t="str">
        <f>[1]Sheet1!Z20</f>
        <v>https://educorpperu-my.sharepoint.com/personal/diana_zapata_laureate_pe1/_layouts/15/Doc.aspx?sourcedoc=%7BDFC21620-6800-4A8A-BA6E-F348AECF7EBE%7D&amp;file=Solicitud%20de%20requerimientos_Mejora%20para%20la%20Pl_Giancarlo%20Villacorta.pptx&amp;action=edit&amp;mobileredirect=true</v>
      </c>
      <c r="AA20" s="59">
        <f>[1]Sheet1!AA20</f>
        <v>0.30000000000000004</v>
      </c>
    </row>
    <row r="21" spans="1:27" ht="45.95" customHeight="1">
      <c r="A21" s="59">
        <f>[1]Sheet1!A21</f>
        <v>40</v>
      </c>
      <c r="B21" s="220">
        <f>[1]Sheet1!B21</f>
        <v>46057.40347222222</v>
      </c>
      <c r="C21" s="220">
        <f>[1]Sheet1!C21</f>
        <v>46057.461805555555</v>
      </c>
      <c r="D21" s="59" t="str">
        <f>[1]Sheet1!D21</f>
        <v>giancarlo.villacorta@upc.pe</v>
      </c>
      <c r="E21" s="59" t="str">
        <f>[1]Sheet1!E21</f>
        <v>Giancarlo Villacorta Quiñones</v>
      </c>
      <c r="F21" s="59" t="str">
        <f>[1]Sheet1!F21</f>
        <v>Deshabilitar la landing actual de actualización de datos para alumnos de Pregrado y EPE de la UPC, estableciendo al Portal Mi UPC como el único canal habilitado para la actualización de su información personal.</v>
      </c>
      <c r="G21" s="59"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59" t="str">
        <f>[1]Sheet1!H21</f>
        <v>UPC</v>
      </c>
      <c r="I21" s="59" t="str">
        <f>[1]Sheet1!I21</f>
        <v>Mónica García - VP Operaciones Digitales y Online</v>
      </c>
      <c r="J21" s="59" t="str">
        <f>[1]Sheet1!J21</f>
        <v xml:space="preserve">Jose Castillo </v>
      </c>
      <c r="K21" s="59">
        <f>[1]Sheet1!K21</f>
        <v>0</v>
      </c>
      <c r="L21" s="59" t="str">
        <f>[1]Sheet1!L21</f>
        <v>Ángela Lucano</v>
      </c>
      <c r="M21" s="68">
        <f>[1]Sheet1!M21</f>
        <v>46101</v>
      </c>
      <c r="N21" s="68" t="str">
        <f>[1]Sheet1!N21</f>
        <v>No</v>
      </c>
      <c r="O21" s="59" t="str">
        <f>[1]Sheet1!O21</f>
        <v> </v>
      </c>
      <c r="P21" s="59">
        <f>[1]Sheet1!P21</f>
        <v>0</v>
      </c>
      <c r="Q21" s="59" t="str">
        <f>[1]Sheet1!Q21</f>
        <v>Otro</v>
      </c>
      <c r="R21" s="59"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59">
        <f>[1]Sheet1!S21</f>
        <v>0</v>
      </c>
      <c r="T21" s="59" t="str">
        <f>[1]Sheet1!T21</f>
        <v>Actualización de datos, Ejecución de campañas de retención</v>
      </c>
      <c r="U21" s="59">
        <f>[1]Sheet1!U21</f>
        <v>0</v>
      </c>
      <c r="V21" s="59" t="str">
        <f>[1]Sheet1!V21</f>
        <v>Excelencia operativa</v>
      </c>
      <c r="W21" s="59" t="str">
        <f>[1]Sheet1!W21</f>
        <v>No</v>
      </c>
      <c r="X21" s="59">
        <f>[1]Sheet1!X21</f>
        <v>0</v>
      </c>
      <c r="Y21" s="59"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59" t="str">
        <f>[1]Sheet1!Z21</f>
        <v>https://educorpperu-my.sharepoint.com/personal/diana_zapata_laureate_pe1/_layouts/15/Doc.aspx?sourcedoc=%7B942DDD4C-2472-4E72-9455-38659628E317%7D&amp;file=Solicitud%20de%20requerimientos%20Cambio%20en%20formula_Giancarlo%20Villacorta.pptx&amp;action=edit&amp;mobileredirect=true</v>
      </c>
      <c r="AA21" s="59">
        <f>[1]Sheet1!AA21</f>
        <v>0.30000000000000004</v>
      </c>
    </row>
    <row r="22" spans="1:27" ht="45.95" customHeight="1">
      <c r="A22" s="59">
        <f>[1]Sheet1!A22</f>
        <v>41</v>
      </c>
      <c r="B22" s="220">
        <f>[1]Sheet1!B22</f>
        <v>46055.481249999997</v>
      </c>
      <c r="C22" s="220">
        <f>[1]Sheet1!C22</f>
        <v>46057.622916666667</v>
      </c>
      <c r="D22" s="59" t="str">
        <f>[1]Sheet1!D22</f>
        <v>carla.arias@upn.edu.pe</v>
      </c>
      <c r="E22" s="59" t="str">
        <f>[1]Sheet1!E22</f>
        <v>Carla Arias Schreiber Ulloa</v>
      </c>
      <c r="F22" s="59" t="str">
        <f>[1]Sheet1!F22</f>
        <v>Incluir en Portal Docente documentos oficiales de procesos institucionales</v>
      </c>
      <c r="G22" s="59"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59" t="str">
        <f>[1]Sheet1!H22</f>
        <v>UPN</v>
      </c>
      <c r="I22" s="59" t="str">
        <f>[1]Sheet1!I22</f>
        <v>Rossina Caballero - VP Legal</v>
      </c>
      <c r="J22" s="59" t="str">
        <f>[1]Sheet1!J22</f>
        <v xml:space="preserve">Jorge Santa Cruz </v>
      </c>
      <c r="K22" s="59">
        <f>[1]Sheet1!K22</f>
        <v>0</v>
      </c>
      <c r="L22" s="59" t="str">
        <f>[1]Sheet1!L22</f>
        <v>Gerson Vereau</v>
      </c>
      <c r="M22" s="68">
        <f>[1]Sheet1!M22</f>
        <v>46108</v>
      </c>
      <c r="N22" s="68" t="str">
        <f>[1]Sheet1!N22</f>
        <v>No</v>
      </c>
      <c r="O22" s="59" t="str">
        <f>[1]Sheet1!O22</f>
        <v> </v>
      </c>
      <c r="P22" s="59">
        <f>[1]Sheet1!P22</f>
        <v>0</v>
      </c>
      <c r="Q22" s="59" t="str">
        <f>[1]Sheet1!Q22</f>
        <v>Legal</v>
      </c>
      <c r="R22" s="59"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59">
        <f>[1]Sheet1!S22</f>
        <v>0</v>
      </c>
      <c r="T22" s="59" t="str">
        <f>[1]Sheet1!T22</f>
        <v>Gestión de documentos de procesos
Enseñanza y aprendizaje (porque los documentos/ formatos son utilizados por nuestros docentes)</v>
      </c>
      <c r="U22" s="59" t="str">
        <f>[1]Sheet1!U22</f>
        <v>Docentes</v>
      </c>
      <c r="V22" s="59" t="str">
        <f>[1]Sheet1!V22</f>
        <v>Excelencia académica</v>
      </c>
      <c r="W22" s="59" t="str">
        <f>[1]Sheet1!W22</f>
        <v>No</v>
      </c>
      <c r="X22" s="59" t="str">
        <f>[1]Sheet1!X22</f>
        <v>Menor a S/100,000.00</v>
      </c>
      <c r="Y22" s="59" t="str">
        <f>[1]Sheet1!Y22</f>
        <v>Normativa ISO9001, ISO21001</v>
      </c>
      <c r="Z22" s="59" t="str">
        <f>[1]Sheet1!Z22</f>
        <v>https://educorpperu-my.sharepoint.com/personal/diana_zapata_laureate_pe1/_layouts/15/Doc.aspx?sourcedoc=%7B43CEA300-E8D6-49E1-917A-88AA73C7FCA0%7D&amp;file=Solicitud%20de%20requerimientos%20Idea%20nueva%20y%20mejo_Carla%20Arias%20Schreibe.pptx&amp;action=edit&amp;mobileredirect=true</v>
      </c>
      <c r="AA22" s="59">
        <f>[1]Sheet1!AA22</f>
        <v>2.9</v>
      </c>
    </row>
    <row r="23" spans="1:27" ht="45.95" customHeight="1">
      <c r="A23" s="59">
        <f>[1]Sheet1!A23</f>
        <v>42</v>
      </c>
      <c r="B23" s="220">
        <f>[1]Sheet1!B23</f>
        <v>46057.825694444444</v>
      </c>
      <c r="C23" s="220">
        <f>[1]Sheet1!C23</f>
        <v>46057.843055555553</v>
      </c>
      <c r="D23" s="59" t="str">
        <f>[1]Sheet1!D23</f>
        <v>carlos.sanchez@laureate.pe</v>
      </c>
      <c r="E23" s="59" t="str">
        <f>[1]Sheet1!E23</f>
        <v>Carlos Sanchez Rubio</v>
      </c>
      <c r="F23" s="59" t="str">
        <f>[1]Sheet1!F23</f>
        <v>Remediación de Vulnerabilidades Banner UPN - Actualización Karaf</v>
      </c>
      <c r="G23" s="59"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59" t="str">
        <f>[1]Sheet1!H23</f>
        <v>UPN</v>
      </c>
      <c r="I23" s="59" t="str">
        <f>[1]Sheet1!I23</f>
        <v>Humberto Marota - Tecnologías y transformación digital</v>
      </c>
      <c r="J23" s="59" t="str">
        <f>[1]Sheet1!J23</f>
        <v xml:space="preserve">Carlos Sanchez </v>
      </c>
      <c r="K23" s="59">
        <f>[1]Sheet1!K23</f>
        <v>0</v>
      </c>
      <c r="L23" s="59" t="str">
        <f>[1]Sheet1!L23</f>
        <v>Ninguno</v>
      </c>
      <c r="M23" s="68">
        <f>[1]Sheet1!M23</f>
        <v>46081</v>
      </c>
      <c r="N23" s="68" t="str">
        <f>[1]Sheet1!N23</f>
        <v>No</v>
      </c>
      <c r="O23" s="59" t="str">
        <f>[1]Sheet1!O23</f>
        <v> </v>
      </c>
      <c r="P23" s="59">
        <f>[1]Sheet1!P23</f>
        <v>0</v>
      </c>
      <c r="Q23" s="59" t="str">
        <f>[1]Sheet1!Q23</f>
        <v>Seguridad de la información</v>
      </c>
      <c r="R23" s="59"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59">
        <f>[1]Sheet1!S23</f>
        <v>0</v>
      </c>
      <c r="T23" s="59"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59" t="str">
        <f>[1]Sheet1!U23</f>
        <v>Ninguno</v>
      </c>
      <c r="V23" s="59" t="str">
        <f>[1]Sheet1!V23</f>
        <v>Excelencia operativa</v>
      </c>
      <c r="W23" s="59" t="str">
        <f>[1]Sheet1!W23</f>
        <v>No</v>
      </c>
      <c r="X23" s="59" t="str">
        <f>[1]Sheet1!X23</f>
        <v>No cuantificado o S/0</v>
      </c>
      <c r="Y23" s="59" t="str">
        <f>[1]Sheet1!Y23</f>
        <v>Mejora la confianza de nuestros stakeholders y clientes al contar con sistemas seguros, y por consiguiente, mantiene una buena reputación para la organización.</v>
      </c>
      <c r="Z23" s="59"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59">
        <f>[1]Sheet1!AA23</f>
        <v>1.3499999999999999</v>
      </c>
    </row>
    <row r="24" spans="1:27" ht="45.95" customHeight="1">
      <c r="A24" s="59">
        <f>[1]Sheet1!A24</f>
        <v>43</v>
      </c>
      <c r="B24" s="220">
        <f>[1]Sheet1!B24</f>
        <v>46059.399305555555</v>
      </c>
      <c r="C24" s="220">
        <f>[1]Sheet1!C24</f>
        <v>46059.404166666667</v>
      </c>
      <c r="D24" s="59" t="str">
        <f>[1]Sheet1!D24</f>
        <v>giancarlo.villacorta@upc.pe</v>
      </c>
      <c r="E24" s="59" t="str">
        <f>[1]Sheet1!E24</f>
        <v>Giancarlo Villacorta Quiñones</v>
      </c>
      <c r="F24" s="59" t="str">
        <f>[1]Sheet1!F24</f>
        <v>Automatización del proceso de selección e inscripción de electivos EPG</v>
      </c>
      <c r="G24" s="59"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59" t="str">
        <f>[1]Sheet1!H24</f>
        <v>UPC</v>
      </c>
      <c r="I24" s="59" t="str">
        <f>[1]Sheet1!I24</f>
        <v>Milagros Morgan - Rectorado UPC</v>
      </c>
      <c r="J24" s="59" t="str">
        <f>[1]Sheet1!J24</f>
        <v>Shoana Barragán</v>
      </c>
      <c r="K24" s="59">
        <f>[1]Sheet1!K24</f>
        <v>0</v>
      </c>
      <c r="L24" s="59" t="str">
        <f>[1]Sheet1!L24</f>
        <v>Carla Arias-Schreiber</v>
      </c>
      <c r="M24" s="68">
        <f>[1]Sheet1!M24</f>
        <v>46188</v>
      </c>
      <c r="N24" s="68" t="str">
        <f>[1]Sheet1!N24</f>
        <v>No</v>
      </c>
      <c r="O24" s="59" t="str">
        <f>[1]Sheet1!O24</f>
        <v> </v>
      </c>
      <c r="P24" s="59">
        <f>[1]Sheet1!P24</f>
        <v>0</v>
      </c>
      <c r="Q24" s="59" t="str">
        <f>[1]Sheet1!Q24</f>
        <v>Otro</v>
      </c>
      <c r="R24" s="59"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59">
        <f>[1]Sheet1!S24</f>
        <v>0</v>
      </c>
      <c r="T24" s="59" t="str">
        <f>[1]Sheet1!T24</f>
        <v>Matrícula EPG</v>
      </c>
      <c r="U24" s="59">
        <f>[1]Sheet1!U24</f>
        <v>0</v>
      </c>
      <c r="V24" s="59" t="str">
        <f>[1]Sheet1!V24</f>
        <v>Excelencia académica</v>
      </c>
      <c r="W24" s="59" t="str">
        <f>[1]Sheet1!W24</f>
        <v>No</v>
      </c>
      <c r="X24" s="59">
        <f>[1]Sheet1!X24</f>
        <v>0</v>
      </c>
      <c r="Y24" s="59"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59" t="str">
        <f>[1]Sheet1!Z24</f>
        <v>https://educorpperu-my.sharepoint.com/personal/diana_zapata_laureate_pe1/_layouts/15/Doc.aspx?sourcedoc=%7B5CA4BA41-74DC-437B-AFED-FAACD7590FCE%7D&amp;file=Solicitud%20de%20requerimientos%20Nueva%20automatizac_Giancarlo%20Villacorta.pptx&amp;action=edit&amp;mobileredirect=true</v>
      </c>
      <c r="AA24" s="59">
        <f>[1]Sheet1!AA24</f>
        <v>0.5</v>
      </c>
    </row>
    <row r="25" spans="1:27" ht="45.95" customHeight="1">
      <c r="A25" s="59">
        <f>[1]Sheet1!A25</f>
        <v>45</v>
      </c>
      <c r="B25" s="220">
        <f>[1]Sheet1!B25</f>
        <v>46064.797222222223</v>
      </c>
      <c r="C25" s="220">
        <f>[1]Sheet1!C25</f>
        <v>46064.828472222223</v>
      </c>
      <c r="D25" s="59" t="str">
        <f>[1]Sheet1!D25</f>
        <v>carlos.oviedo@upn.edu.pe</v>
      </c>
      <c r="E25" s="59" t="str">
        <f>[1]Sheet1!E25</f>
        <v>Carlos Oviedo Bolaños</v>
      </c>
      <c r="F25" s="59" t="str">
        <f>[1]Sheet1!F25</f>
        <v>Aumentar retención de estudiantes con cursos activos anticipadamente en Blackboard</v>
      </c>
      <c r="G25" s="59" t="str">
        <f>[1]Sheet1!G25</f>
        <v>Habilitar de manera oportuna las clases del primer ciclo para estudiantes de carreras a distancia, con el objetivo de fortalecer el proceso de venta, y mantener el engagement del estudiante desde el proceso de matrícula.</v>
      </c>
      <c r="H25" s="59" t="str">
        <f>[1]Sheet1!H25</f>
        <v>UPN</v>
      </c>
      <c r="I25" s="59" t="str">
        <f>[1]Sheet1!I25</f>
        <v>Mónica García - VP Operaciones Digitales y Online</v>
      </c>
      <c r="J25" s="59" t="str">
        <f>[1]Sheet1!J25</f>
        <v xml:space="preserve">Carlos Oviedo </v>
      </c>
      <c r="K25" s="59">
        <f>[1]Sheet1!K25</f>
        <v>0</v>
      </c>
      <c r="L25" s="59" t="str">
        <f>[1]Sheet1!L25</f>
        <v>Gerson Vereau</v>
      </c>
      <c r="M25" s="68">
        <f>[1]Sheet1!M25</f>
        <v>46066</v>
      </c>
      <c r="N25" s="68" t="str">
        <f>[1]Sheet1!N25</f>
        <v>No</v>
      </c>
      <c r="O25" s="59" t="str">
        <f>[1]Sheet1!O25</f>
        <v> </v>
      </c>
      <c r="P25" s="59">
        <f>[1]Sheet1!P25</f>
        <v>0</v>
      </c>
      <c r="Q25" s="59" t="str">
        <f>[1]Sheet1!Q25</f>
        <v>Otro</v>
      </c>
      <c r="R25" s="59"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59">
        <f>[1]Sheet1!S25</f>
        <v>0</v>
      </c>
      <c r="T25" s="59" t="str">
        <f>[1]Sheet1!T25</f>
        <v>Proceso de venta, Onboarding y Clonación en Blackboard</v>
      </c>
      <c r="U25" s="59">
        <f>[1]Sheet1!U25</f>
        <v>0</v>
      </c>
      <c r="V25" s="59" t="str">
        <f>[1]Sheet1!V25</f>
        <v>Experiencia</v>
      </c>
      <c r="W25" s="59" t="str">
        <f>[1]Sheet1!W25</f>
        <v>No</v>
      </c>
      <c r="X25" s="59">
        <f>[1]Sheet1!X25</f>
        <v>0</v>
      </c>
      <c r="Y25" s="59" t="str">
        <f>[1]Sheet1!Y25</f>
        <v>Mejorar la experiencia académica y engagement de los nuevos estudiantes.</v>
      </c>
      <c r="Z25" s="59"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59">
        <f>[1]Sheet1!AA25</f>
        <v>0.4</v>
      </c>
    </row>
    <row r="26" spans="1:27" ht="45.95" customHeight="1">
      <c r="A26" s="59">
        <f>[1]Sheet1!A26</f>
        <v>46</v>
      </c>
      <c r="B26" s="220">
        <f>[1]Sheet1!B26</f>
        <v>46065.35</v>
      </c>
      <c r="C26" s="220">
        <f>[1]Sheet1!C26</f>
        <v>46065.393055555556</v>
      </c>
      <c r="D26" s="59" t="str">
        <f>[1]Sheet1!D26</f>
        <v>daniel.cino@upc.pe</v>
      </c>
      <c r="E26" s="59" t="str">
        <f>[1]Sheet1!E26</f>
        <v>Daniel Cino Barreda</v>
      </c>
      <c r="F26" s="59" t="str">
        <f>[1]Sheet1!F26</f>
        <v>desplegable de fecha en el tramite de reprogramación de pruebas para deportistas destacadas</v>
      </c>
      <c r="G26" s="59"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59" t="str">
        <f>[1]Sheet1!H26</f>
        <v>UPC</v>
      </c>
      <c r="I26" s="59" t="str">
        <f>[1]Sheet1!I26</f>
        <v>Milagros Morgan - Rectorado UPC</v>
      </c>
      <c r="J26" s="59" t="str">
        <f>[1]Sheet1!J26</f>
        <v xml:space="preserve">Javiera Alcazar </v>
      </c>
      <c r="K26" s="59">
        <f>[1]Sheet1!K26</f>
        <v>0</v>
      </c>
      <c r="L26" s="59" t="str">
        <f>[1]Sheet1!L26</f>
        <v>Ángela Lucano</v>
      </c>
      <c r="M26" s="68">
        <f>[1]Sheet1!M26</f>
        <v>46110</v>
      </c>
      <c r="N26" s="68" t="str">
        <f>[1]Sheet1!N26</f>
        <v>No</v>
      </c>
      <c r="O26" s="59" t="str">
        <f>[1]Sheet1!O26</f>
        <v> </v>
      </c>
      <c r="P26" s="59">
        <f>[1]Sheet1!P26</f>
        <v>0</v>
      </c>
      <c r="Q26" s="59" t="str">
        <f>[1]Sheet1!Q26</f>
        <v>Otro</v>
      </c>
      <c r="R26" s="59"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59">
        <f>[1]Sheet1!S26</f>
        <v>0</v>
      </c>
      <c r="T26" s="59" t="str">
        <f>[1]Sheet1!T26</f>
        <v>Solicitud de servicios (reprogramación de pruebas y justificación de inasistencias) de los Deportistas Destacados</v>
      </c>
      <c r="U26" s="59">
        <f>[1]Sheet1!U26</f>
        <v>0</v>
      </c>
      <c r="V26" s="59" t="str">
        <f>[1]Sheet1!V26</f>
        <v>Calidad Académica;Excelencia Operativa;Transformación Digital</v>
      </c>
      <c r="W26" s="59" t="str">
        <f>[1]Sheet1!W26</f>
        <v>Si</v>
      </c>
      <c r="X26" s="59">
        <f>[1]Sheet1!X26</f>
        <v>0</v>
      </c>
      <c r="Y26" s="59"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59" t="str">
        <f>[1]Sheet1!Z26</f>
        <v> </v>
      </c>
      <c r="AA26" s="59">
        <f>[1]Sheet1!AA26</f>
        <v>0</v>
      </c>
    </row>
    <row r="27" spans="1:27" ht="45.95" customHeight="1">
      <c r="A27" s="59">
        <f>[1]Sheet1!A27</f>
        <v>47</v>
      </c>
      <c r="B27" s="220">
        <f>[1]Sheet1!B27</f>
        <v>46059.417361111111</v>
      </c>
      <c r="C27" s="220">
        <f>[1]Sheet1!C27</f>
        <v>46065.659722222219</v>
      </c>
      <c r="D27" s="59" t="str">
        <f>[1]Sheet1!D27</f>
        <v>giancarlo.villacorta@upc.pe</v>
      </c>
      <c r="E27" s="59" t="str">
        <f>[1]Sheet1!E27</f>
        <v>Giancarlo Villacorta Quiñones</v>
      </c>
      <c r="F27" s="59" t="str">
        <f>[1]Sheet1!F27</f>
        <v>Certificaciones Modulares</v>
      </c>
      <c r="G27" s="59"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59" t="str">
        <f>[1]Sheet1!H27</f>
        <v>UPC</v>
      </c>
      <c r="I27" s="59" t="str">
        <f>[1]Sheet1!I27</f>
        <v>Milagros Morgan - Rectorado UPC</v>
      </c>
      <c r="J27" s="59" t="str">
        <f>[1]Sheet1!J27</f>
        <v>Alfredo Hoffmann</v>
      </c>
      <c r="K27" s="59">
        <f>[1]Sheet1!K27</f>
        <v>0</v>
      </c>
      <c r="L27" s="59" t="str">
        <f>[1]Sheet1!L27</f>
        <v>Carla Arias-Schreiber</v>
      </c>
      <c r="M27" s="68">
        <f>[1]Sheet1!M27</f>
        <v>46447</v>
      </c>
      <c r="N27" s="68" t="str">
        <f>[1]Sheet1!N27</f>
        <v>No</v>
      </c>
      <c r="O27" s="59" t="str">
        <f>[1]Sheet1!O27</f>
        <v> </v>
      </c>
      <c r="P27" s="59">
        <f>[1]Sheet1!P27</f>
        <v>0</v>
      </c>
      <c r="Q27" s="59" t="str">
        <f>[1]Sheet1!Q27</f>
        <v>Otro</v>
      </c>
      <c r="R27" s="59"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59">
        <f>[1]Sheet1!S27</f>
        <v>0</v>
      </c>
      <c r="T27" s="59" t="str">
        <f>[1]Sheet1!T27</f>
        <v>Emisión de certificaciones modulares</v>
      </c>
      <c r="U27" s="59" t="str">
        <f>[1]Sheet1!U27</f>
        <v>Alumnos</v>
      </c>
      <c r="V27" s="59" t="str">
        <f>[1]Sheet1!V27</f>
        <v>Student success y empleabilidad</v>
      </c>
      <c r="W27" s="59" t="str">
        <f>[1]Sheet1!W27</f>
        <v>No</v>
      </c>
      <c r="X27" s="59" t="str">
        <f>[1]Sheet1!X27</f>
        <v>Mayor a S/500,000.00</v>
      </c>
      <c r="Y27" s="59" t="str">
        <f>[1]Sheet1!Y27</f>
        <v>Asimismo, se lograría una mejora en competitividad al mejorar la propuesta de valor frente a las universidades e institutos y un mayor valor percibido de los alumnos que se reflejaría en un incremento del NPS.</v>
      </c>
      <c r="Z27" s="59"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59">
        <f>[1]Sheet1!AA27</f>
        <v>1.9</v>
      </c>
    </row>
    <row r="28" spans="1:27" ht="45.95" customHeight="1">
      <c r="A28" s="59">
        <f>[1]Sheet1!A28</f>
        <v>49</v>
      </c>
      <c r="B28" s="220">
        <f>[1]Sheet1!B28</f>
        <v>46069.613194444442</v>
      </c>
      <c r="C28" s="220">
        <f>[1]Sheet1!C28</f>
        <v>46069.666666666664</v>
      </c>
      <c r="D28" s="59" t="str">
        <f>[1]Sheet1!D28</f>
        <v>ronald.benites@laureate.pe</v>
      </c>
      <c r="E28" s="59" t="str">
        <f>[1]Sheet1!E28</f>
        <v>Ronald Benites Vilchez</v>
      </c>
      <c r="F28" s="59" t="str">
        <f>[1]Sheet1!F28</f>
        <v>Implementación Horacius Fase II</v>
      </c>
      <c r="G28" s="59"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59" t="str">
        <f>[1]Sheet1!H28</f>
        <v>LAUREATE</v>
      </c>
      <c r="I28" s="59" t="str">
        <f>[1]Sheet1!I28</f>
        <v>Humberto Marota - Tecnologías y transformación digital</v>
      </c>
      <c r="J28" s="59" t="str">
        <f>[1]Sheet1!J28</f>
        <v xml:space="preserve">Henry Longa </v>
      </c>
      <c r="K28" s="59">
        <f>[1]Sheet1!K28</f>
        <v>0</v>
      </c>
      <c r="L28" s="59" t="str">
        <f>[1]Sheet1!L28</f>
        <v>Ninguno</v>
      </c>
      <c r="M28" s="68">
        <f>[1]Sheet1!M28</f>
        <v>46295</v>
      </c>
      <c r="N28" s="68" t="str">
        <f>[1]Sheet1!N28</f>
        <v>No</v>
      </c>
      <c r="O28" s="59" t="str">
        <f>[1]Sheet1!O28</f>
        <v> </v>
      </c>
      <c r="P28" s="59">
        <f>[1]Sheet1!P28</f>
        <v>0</v>
      </c>
      <c r="Q28" s="59" t="str">
        <f>[1]Sheet1!Q28</f>
        <v>Otro</v>
      </c>
      <c r="R28" s="59"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59">
        <f>[1]Sheet1!S28</f>
        <v>0</v>
      </c>
      <c r="T28" s="59" t="str">
        <f>[1]Sheet1!T28</f>
        <v xml:space="preserve">Gestión de Accesos, IT Compliance, Gestión Recurso Humano , Gestión Académica, Comercial </v>
      </c>
      <c r="U28" s="59" t="str">
        <f>[1]Sheet1!U28</f>
        <v>Todos</v>
      </c>
      <c r="V28" s="59" t="str">
        <f>[1]Sheet1!V28</f>
        <v>Excelencia Operativa</v>
      </c>
      <c r="W28" s="59" t="str">
        <f>[1]Sheet1!W28</f>
        <v>No</v>
      </c>
      <c r="X28" s="59" t="str">
        <f>[1]Sheet1!X28</f>
        <v>No cuantificado o S/0</v>
      </c>
      <c r="Y28" s="59"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59" t="str">
        <f>[1]Sheet1!Z28</f>
        <v>https://educorpperu-my.sharepoint.com/personal/diana_zapata_laureate_pe1/Documents/Aplicaciones/Microsoft%20Forms/REGISTRO%20DE%20INICIATIVAS/Pregunta/Roadmap%20Horacius%20fase%20II%20Per%C3%BA%20(propuesta)_Ronald%20Benites%20Vilch.pdf</v>
      </c>
      <c r="AA28" s="59">
        <f>[1]Sheet1!AA28</f>
        <v>1.2000000000000002</v>
      </c>
    </row>
    <row r="29" spans="1:27" s="69" customFormat="1" ht="45.95" customHeight="1">
      <c r="A29" s="59">
        <f>[1]Sheet1!A29</f>
        <v>50</v>
      </c>
      <c r="B29" s="220">
        <f>[1]Sheet1!B29</f>
        <v>46070.484027777777</v>
      </c>
      <c r="C29" s="220">
        <f>[1]Sheet1!C29</f>
        <v>46070.517361111109</v>
      </c>
      <c r="D29" s="59" t="str">
        <f>[1]Sheet1!D29</f>
        <v>angela.dominguez@laureate.pe</v>
      </c>
      <c r="E29" s="59" t="str">
        <f>[1]Sheet1!E29</f>
        <v>Angela Dominguez Plasencia</v>
      </c>
      <c r="F29" s="59" t="str">
        <f>[1]Sheet1!F29</f>
        <v>Implementación de un proceso automatizado de carga masiva a banner para TSP.</v>
      </c>
      <c r="G29" s="59"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59" t="str">
        <f>[1]Sheet1!H29</f>
        <v>UPC</v>
      </c>
      <c r="I29" s="59" t="str">
        <f>[1]Sheet1!I29</f>
        <v>Ivan Olivares - VP Marketing y Comercial</v>
      </c>
      <c r="J29" s="59" t="str">
        <f>[1]Sheet1!J29</f>
        <v>Gerencia de Control y Mejora</v>
      </c>
      <c r="K29" s="59">
        <f>[1]Sheet1!K29</f>
        <v>0</v>
      </c>
      <c r="L29" s="59" t="str">
        <f>[1]Sheet1!L29</f>
        <v>Ángela Lucano</v>
      </c>
      <c r="M29" s="68">
        <f>[1]Sheet1!M29</f>
        <v>46146</v>
      </c>
      <c r="N29" s="68" t="str">
        <f>[1]Sheet1!N29</f>
        <v>No</v>
      </c>
      <c r="O29" s="59" t="str">
        <f>[1]Sheet1!O29</f>
        <v> </v>
      </c>
      <c r="P29" s="59">
        <f>[1]Sheet1!P29</f>
        <v>0</v>
      </c>
      <c r="Q29" s="59" t="str">
        <f>[1]Sheet1!Q29</f>
        <v>Otro</v>
      </c>
      <c r="R29" s="59"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59">
        <f>[1]Sheet1!S29</f>
        <v>0</v>
      </c>
      <c r="T29" s="59" t="str">
        <f>[1]Sheet1!T29</f>
        <v>Proceso de admisión y proceso de matrícula</v>
      </c>
      <c r="U29" s="59">
        <f>[1]Sheet1!U29</f>
        <v>0</v>
      </c>
      <c r="V29" s="59" t="str">
        <f>[1]Sheet1!V29</f>
        <v>Excelencia Operativa;Transformación Digital;Calidad Académica</v>
      </c>
      <c r="W29" s="59" t="str">
        <f>[1]Sheet1!W29</f>
        <v>Si</v>
      </c>
      <c r="X29" s="59">
        <f>[1]Sheet1!X29</f>
        <v>0</v>
      </c>
      <c r="Y29" s="59" t="str">
        <f>[1]Sheet1!Y29</f>
        <v>Excelencia operativa y experiencia del estudiante.
Menor dependencia de procesos manuales.
Minimiza posibles impactos en la información registrada en los sistemas.
Brindarle fluidez al proceso.
Minimizar errores y futuros reclamos de los estudiantes.</v>
      </c>
      <c r="Z29" s="59" t="str">
        <f>[1]Sheet1!Z29</f>
        <v>https://educorpperu-my.sharepoint.com/personal/diana_zapata_laureate_pe1/_layouts/15/Doc.aspx?sourcedoc=%7B882DC893-3C2D-4645-BE36-DF3515314EA7%7D&amp;file=Solicitud%20de%20requerimiento_TSP-Carga%20Masiva%20d_Angela%20Dominguez%20Pla.pptx&amp;action=edit&amp;mobileredirect=true</v>
      </c>
      <c r="AA29" s="59">
        <f>[1]Sheet1!AA29</f>
        <v>0</v>
      </c>
    </row>
    <row r="30" spans="1:27" s="69" customFormat="1" ht="45.95" customHeight="1">
      <c r="A30" s="59">
        <f>[1]Sheet1!A30</f>
        <v>51</v>
      </c>
      <c r="B30" s="220">
        <f>[1]Sheet1!B30</f>
        <v>46069.480555555558</v>
      </c>
      <c r="C30" s="220">
        <f>[1]Sheet1!C30</f>
        <v>46070.595138888886</v>
      </c>
      <c r="D30" s="59" t="str">
        <f>[1]Sheet1!D30</f>
        <v>nohemi.marcelo@upc.pe</v>
      </c>
      <c r="E30" s="59" t="str">
        <f>[1]Sheet1!E30</f>
        <v>Nohemi Estefani Marcelo Torres</v>
      </c>
      <c r="F30" s="59" t="str">
        <f>[1]Sheet1!F30</f>
        <v xml:space="preserve">Sistema de integra de trayectoria y acompañamiento al estudiante becado </v>
      </c>
      <c r="G30" s="59"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59" t="str">
        <f>[1]Sheet1!H30</f>
        <v>UPC</v>
      </c>
      <c r="I30" s="59" t="str">
        <f>[1]Sheet1!I30</f>
        <v>Milagros Morgan - Rectorado UPC</v>
      </c>
      <c r="J30" s="59" t="str">
        <f>[1]Sheet1!J30</f>
        <v xml:space="preserve">Maria Cifuentes Ramseyer </v>
      </c>
      <c r="K30" s="59">
        <f>[1]Sheet1!K30</f>
        <v>0</v>
      </c>
      <c r="L30" s="59" t="str">
        <f>[1]Sheet1!L30</f>
        <v>Ángela Lucano</v>
      </c>
      <c r="M30" s="68">
        <f>[1]Sheet1!M30</f>
        <v>46104</v>
      </c>
      <c r="N30" s="68" t="str">
        <f>[1]Sheet1!N30</f>
        <v>No</v>
      </c>
      <c r="O30" s="59" t="str">
        <f>[1]Sheet1!O30</f>
        <v> </v>
      </c>
      <c r="P30" s="59">
        <f>[1]Sheet1!P30</f>
        <v>0</v>
      </c>
      <c r="Q30" s="59" t="str">
        <f>[1]Sheet1!Q30</f>
        <v>Otro</v>
      </c>
      <c r="R30" s="59"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59">
        <f>[1]Sheet1!S30</f>
        <v>0</v>
      </c>
      <c r="T30" s="59"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59">
        <f>[1]Sheet1!U30</f>
        <v>0</v>
      </c>
      <c r="V30" s="59" t="str">
        <f>[1]Sheet1!V30</f>
        <v>Calidad Académica;Resp. Social y Sostenibilidad</v>
      </c>
      <c r="W30" s="59" t="str">
        <f>[1]Sheet1!W30</f>
        <v>No</v>
      </c>
      <c r="X30" s="59">
        <f>[1]Sheet1!X30</f>
        <v>0</v>
      </c>
      <c r="Y30" s="59"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59" t="str">
        <f>[1]Sheet1!Z30</f>
        <v>https://educorpperu-my.sharepoint.com/personal/diana_zapata_laureate_pe1/_layouts/15/Doc.aspx?sourcedoc=%7B00A2E4B8-3D24-4147-9099-089605962BF0%7D&amp;file=Solicitud%20de%20requerimientos%20Idea%20nueva%20y%20mejo_Nohemi%20Estefani%20Marc.pptx&amp;action=edit&amp;mobileredirect=true</v>
      </c>
      <c r="AA30" s="59">
        <f>[1]Sheet1!AA30</f>
        <v>0</v>
      </c>
    </row>
    <row r="31" spans="1:27" ht="45.95" customHeight="1">
      <c r="A31" s="59">
        <f>[1]Sheet1!A31</f>
        <v>53</v>
      </c>
      <c r="B31" s="220">
        <f>[1]Sheet1!B31</f>
        <v>46070.696527777778</v>
      </c>
      <c r="C31" s="220">
        <f>[1]Sheet1!C31</f>
        <v>46070.718055555553</v>
      </c>
      <c r="D31" s="59" t="str">
        <f>[1]Sheet1!D31</f>
        <v>eduardo.paul@cibertec.pe</v>
      </c>
      <c r="E31" s="59" t="str">
        <f>[1]Sheet1!E31</f>
        <v>Eduardo Paul Aguilar</v>
      </c>
      <c r="F31" s="59" t="str">
        <f>[1]Sheet1!F31</f>
        <v>INDICADORES ACADEMICOS DE BLACKBOARD</v>
      </c>
      <c r="G31" s="59" t="str">
        <f>[1]Sheet1!G31</f>
        <v>Mejorar la calidad de servicio de docentes hacia los alumnos, para poder medir la calidad del servicio académico y dar feedback a los docentes</v>
      </c>
      <c r="H31" s="59" t="str">
        <f>[1]Sheet1!H31</f>
        <v>CIB</v>
      </c>
      <c r="I31" s="59" t="str">
        <f>[1]Sheet1!I31</f>
        <v>Danilo Tauil - GM TecVoc</v>
      </c>
      <c r="J31" s="59" t="str">
        <f>[1]Sheet1!J31</f>
        <v>Paola Mora</v>
      </c>
      <c r="K31" s="59">
        <f>[1]Sheet1!K31</f>
        <v>0</v>
      </c>
      <c r="L31" s="59" t="str">
        <f>[1]Sheet1!L31</f>
        <v>Frank Palomino</v>
      </c>
      <c r="M31" s="68">
        <f>[1]Sheet1!M31</f>
        <v>46112</v>
      </c>
      <c r="N31" s="68" t="str">
        <f>[1]Sheet1!N31</f>
        <v>No</v>
      </c>
      <c r="O31" s="59" t="str">
        <f>[1]Sheet1!O31</f>
        <v> </v>
      </c>
      <c r="P31" s="59">
        <f>[1]Sheet1!P31</f>
        <v>0</v>
      </c>
      <c r="Q31" s="59" t="str">
        <f>[1]Sheet1!Q31</f>
        <v>Otro</v>
      </c>
      <c r="R31" s="59"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59">
        <f>[1]Sheet1!S31</f>
        <v>0</v>
      </c>
      <c r="T31" s="59" t="str">
        <f>[1]Sheet1!T31</f>
        <v>Control Calidad de Docentes</v>
      </c>
      <c r="U31" s="59">
        <f>[1]Sheet1!U31</f>
        <v>0</v>
      </c>
      <c r="V31" s="59" t="str">
        <f>[1]Sheet1!V31</f>
        <v>Calidad Académica</v>
      </c>
      <c r="W31" s="59" t="str">
        <f>[1]Sheet1!W31</f>
        <v>No</v>
      </c>
      <c r="X31" s="59">
        <f>[1]Sheet1!X31</f>
        <v>0</v>
      </c>
      <c r="Y31" s="59" t="str">
        <f>[1]Sheet1!Y31</f>
        <v>Mejora de Experiencia del Alumno, Mejora en procesos de Retención, Optimización de tiempo de Docentes.</v>
      </c>
      <c r="Z31" s="59" t="str">
        <f>[1]Sheet1!Z31</f>
        <v>https://educorpperu-my.sharepoint.com/personal/diana_zapata_laureate_pe1/_layouts/15/Doc.aspx?sourcedoc=%7B7C53894D-03AA-42F5-A4BD-49E3C8456DE1%7D&amp;file=Formato%20Solicitud%20de%20Requerimientos%201_Eduardo%20Paul%20Aguilar.pptx&amp;action=edit&amp;mobileredirect=true</v>
      </c>
      <c r="AA31" s="59">
        <f>[1]Sheet1!AA31</f>
        <v>0</v>
      </c>
    </row>
    <row r="32" spans="1:27" s="69" customFormat="1" ht="45.95" customHeight="1">
      <c r="A32" s="59">
        <f>[1]Sheet1!A32</f>
        <v>54</v>
      </c>
      <c r="B32" s="220">
        <f>[1]Sheet1!B32</f>
        <v>46070.90347222222</v>
      </c>
      <c r="C32" s="220">
        <f>[1]Sheet1!C32</f>
        <v>46070.906944444447</v>
      </c>
      <c r="D32" s="59" t="str">
        <f>[1]Sheet1!D32</f>
        <v>ricky.pareja@laureate.pe</v>
      </c>
      <c r="E32" s="59" t="str">
        <f>[1]Sheet1!E32</f>
        <v>Ricky Pareja Medina</v>
      </c>
      <c r="F32" s="59" t="str">
        <f>[1]Sheet1!F32</f>
        <v>Ecommerce CIB - Automatizar Matricula Venta - CRM, Socrates, Spring, etc</v>
      </c>
      <c r="G32" s="59"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59" t="str">
        <f>[1]Sheet1!H32</f>
        <v>CIB</v>
      </c>
      <c r="I32" s="59" t="str">
        <f>[1]Sheet1!I32</f>
        <v>Humberto Marota - Tecnologías y transformación digital</v>
      </c>
      <c r="J32" s="59" t="str">
        <f>[1]Sheet1!J32</f>
        <v>Alejandra Begazo</v>
      </c>
      <c r="K32" s="59">
        <f>[1]Sheet1!K32</f>
        <v>0</v>
      </c>
      <c r="L32" s="59" t="str">
        <f>[1]Sheet1!L32</f>
        <v>Jose Paredes</v>
      </c>
      <c r="M32" s="68">
        <f>[1]Sheet1!M32</f>
        <v>46203</v>
      </c>
      <c r="N32" s="68" t="str">
        <f>[1]Sheet1!N32</f>
        <v>Si</v>
      </c>
      <c r="O32" s="59" t="str">
        <f>[1]Sheet1!O32</f>
        <v>Digital &amp; IA</v>
      </c>
      <c r="P32" s="59">
        <f>[1]Sheet1!P32</f>
        <v>73951</v>
      </c>
      <c r="Q32" s="59" t="str">
        <f>[1]Sheet1!Q32</f>
        <v>Otro</v>
      </c>
      <c r="R32" s="59" t="str">
        <f>[1]Sheet1!R32</f>
        <v>El proceso de matrícula venta se ejecuta de manera manual consumiendo tiempo de los equipos involucraos (ventas, facturación, etc).</v>
      </c>
      <c r="S32" s="59">
        <f>[1]Sheet1!S32</f>
        <v>0</v>
      </c>
      <c r="T32" s="59" t="str">
        <f>[1]Sheet1!T32</f>
        <v>- Proceso de matrícula
- Proceso de facturación
- Proceso de conciliación
- Proceso de cobranza
- Proceso de generación de accesos y credenciales
Otros</v>
      </c>
      <c r="U32" s="59" t="str">
        <f>[1]Sheet1!U32</f>
        <v>Administrativos</v>
      </c>
      <c r="V32" s="59" t="str">
        <f>[1]Sheet1!V32</f>
        <v>Crecimiento escalable</v>
      </c>
      <c r="W32" s="59" t="str">
        <f>[1]Sheet1!W32</f>
        <v>No</v>
      </c>
      <c r="X32" s="59" t="str">
        <f>[1]Sheet1!X32</f>
        <v>Mayor a S/500,000.00</v>
      </c>
      <c r="Y32" s="59" t="str">
        <f>[1]Sheet1!Y32</f>
        <v>Eficiencia operativa</v>
      </c>
      <c r="Z32" s="59"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59">
        <f>[1]Sheet1!AA32</f>
        <v>2.9</v>
      </c>
    </row>
    <row r="33" spans="1:27" s="69" customFormat="1" ht="45.95" customHeight="1">
      <c r="A33" s="59">
        <f>[1]Sheet1!A33</f>
        <v>55</v>
      </c>
      <c r="B33" s="220">
        <f>[1]Sheet1!B33</f>
        <v>46071.365277777775</v>
      </c>
      <c r="C33" s="220">
        <f>[1]Sheet1!C33</f>
        <v>46071.393750000003</v>
      </c>
      <c r="D33" s="59" t="str">
        <f>[1]Sheet1!D33</f>
        <v>juan.nazario@upc.pe</v>
      </c>
      <c r="E33" s="59" t="str">
        <f>[1]Sheet1!E33</f>
        <v>Juan Francisco Nazario Vargas</v>
      </c>
      <c r="F33" s="59" t="str">
        <f>[1]Sheet1!F33</f>
        <v>Visualizar los Resultados Basados en Competencias en el dashboard para el sistema de Assessment</v>
      </c>
      <c r="G33" s="59"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59" t="str">
        <f>[1]Sheet1!H33</f>
        <v>UPC</v>
      </c>
      <c r="I33" s="59" t="str">
        <f>[1]Sheet1!I33</f>
        <v>Mónica García - VP Operaciones Digitales y Online</v>
      </c>
      <c r="J33" s="59" t="str">
        <f>[1]Sheet1!J33</f>
        <v>Silvana Balarezo</v>
      </c>
      <c r="K33" s="59">
        <f>[1]Sheet1!K33</f>
        <v>0</v>
      </c>
      <c r="L33" s="59" t="str">
        <f>[1]Sheet1!L33</f>
        <v>Ángela Lucano</v>
      </c>
      <c r="M33" s="68">
        <f>[1]Sheet1!M33</f>
        <v>46102</v>
      </c>
      <c r="N33" s="68" t="str">
        <f>[1]Sheet1!N33</f>
        <v>No</v>
      </c>
      <c r="O33" s="59" t="str">
        <f>[1]Sheet1!O33</f>
        <v> </v>
      </c>
      <c r="P33" s="59">
        <f>[1]Sheet1!P33</f>
        <v>0</v>
      </c>
      <c r="Q33" s="59" t="str">
        <f>[1]Sheet1!Q33</f>
        <v>Otro</v>
      </c>
      <c r="R33" s="59"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59">
        <f>[1]Sheet1!S33</f>
        <v>0</v>
      </c>
      <c r="T33" s="59" t="str">
        <f>[1]Sheet1!T33</f>
        <v>Proceso institucional de assessment uno a uno de competencias</v>
      </c>
      <c r="U33" s="59" t="str">
        <f>[1]Sheet1!U33</f>
        <v>Administrativos</v>
      </c>
      <c r="V33" s="59" t="str">
        <f>[1]Sheet1!V33</f>
        <v>Excelencia académica</v>
      </c>
      <c r="W33" s="59" t="str">
        <f>[1]Sheet1!W33</f>
        <v>No</v>
      </c>
      <c r="X33" s="59" t="str">
        <f>[1]Sheet1!X33</f>
        <v>Menor a S/100,000.00</v>
      </c>
      <c r="Y33" s="59" t="str">
        <f>[1]Sheet1!Y33</f>
        <v>Reduciría la tasa de errores que ha sido entre el 2% al 5%, en el caso de cursos y estudiantes de Pregrado, EPE y EPG.</v>
      </c>
      <c r="Z33" s="59"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59">
        <f>[1]Sheet1!AA33</f>
        <v>0.95000000000000007</v>
      </c>
    </row>
    <row r="34" spans="1:27" s="69" customFormat="1" ht="45.95" customHeight="1">
      <c r="A34" s="59">
        <f>[1]Sheet1!A34</f>
        <v>56</v>
      </c>
      <c r="B34" s="220">
        <f>[1]Sheet1!B34</f>
        <v>46071.782638888886</v>
      </c>
      <c r="C34" s="220">
        <f>[1]Sheet1!C34</f>
        <v>46071.78402777778</v>
      </c>
      <c r="D34" s="59" t="str">
        <f>[1]Sheet1!D34</f>
        <v>juan.nazario@upc.pe</v>
      </c>
      <c r="E34" s="59" t="str">
        <f>[1]Sheet1!E34</f>
        <v>Juan Francisco Nazario Vargas</v>
      </c>
      <c r="F34" s="59" t="str">
        <f>[1]Sheet1!F34</f>
        <v>Sincronización de notas del aula virtual con el sistema académico</v>
      </c>
      <c r="G34" s="59"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59" t="str">
        <f>[1]Sheet1!H34</f>
        <v>UPC</v>
      </c>
      <c r="I34" s="59" t="str">
        <f>[1]Sheet1!I34</f>
        <v>Mónica García - VP Operaciones Digitales y Online</v>
      </c>
      <c r="J34" s="59" t="str">
        <f>[1]Sheet1!J34</f>
        <v>Silvana Balarezo</v>
      </c>
      <c r="K34" s="59">
        <f>[1]Sheet1!K34</f>
        <v>0</v>
      </c>
      <c r="L34" s="59" t="str">
        <f>[1]Sheet1!L34</f>
        <v>Ángela Lucano</v>
      </c>
      <c r="M34" s="68">
        <f>[1]Sheet1!M34</f>
        <v>46101</v>
      </c>
      <c r="N34" s="68" t="str">
        <f>[1]Sheet1!N34</f>
        <v>No</v>
      </c>
      <c r="O34" s="59" t="str">
        <f>[1]Sheet1!O34</f>
        <v> </v>
      </c>
      <c r="P34" s="59">
        <f>[1]Sheet1!P34</f>
        <v>0</v>
      </c>
      <c r="Q34" s="59" t="str">
        <f>[1]Sheet1!Q34</f>
        <v>Otro</v>
      </c>
      <c r="R34" s="59" t="str">
        <f>[1]Sheet1!R34</f>
        <v>Registro de nota una sola vez en el aula virtual por parte del docente</v>
      </c>
      <c r="S34" s="59">
        <f>[1]Sheet1!S34</f>
        <v>0</v>
      </c>
      <c r="T34" s="59" t="str">
        <f>[1]Sheet1!T34</f>
        <v>Registro de notas</v>
      </c>
      <c r="U34" s="59" t="str">
        <f>[1]Sheet1!U34</f>
        <v>Docentes</v>
      </c>
      <c r="V34" s="59" t="str">
        <f>[1]Sheet1!V34</f>
        <v>Excelencia académica</v>
      </c>
      <c r="W34" s="59" t="str">
        <f>[1]Sheet1!W34</f>
        <v>No</v>
      </c>
      <c r="X34" s="59" t="str">
        <f>[1]Sheet1!X34</f>
        <v>No cuantificado o S/0</v>
      </c>
      <c r="Y34" s="59" t="str">
        <f>[1]Sheet1!Y34</f>
        <v>Mayor credibilidad del sistema académico
Menor carga administrativa - Experiencia docente
Mayor transparencia - Experiencia estudiante
Enfoque pedagógico real
Reputación institucional</v>
      </c>
      <c r="Z34" s="59"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59">
        <f>[1]Sheet1!AA34</f>
        <v>1.25</v>
      </c>
    </row>
    <row r="35" spans="1:27" s="69" customFormat="1" ht="45.95" customHeight="1">
      <c r="A35" s="59">
        <f>[1]Sheet1!A35</f>
        <v>57</v>
      </c>
      <c r="B35" s="220">
        <f>[1]Sheet1!B35</f>
        <v>46071.777777777781</v>
      </c>
      <c r="C35" s="220">
        <f>[1]Sheet1!C35</f>
        <v>46072.386111111111</v>
      </c>
      <c r="D35" s="59" t="str">
        <f>[1]Sheet1!D35</f>
        <v>carlos.olivera@upn.edu.pe</v>
      </c>
      <c r="E35" s="59" t="str">
        <f>[1]Sheet1!E35</f>
        <v>Carlos Rau Olivera Fatacioli</v>
      </c>
      <c r="F35" s="59" t="str">
        <f>[1]Sheet1!F35</f>
        <v>Registro de matrícula en CRM Dynamics</v>
      </c>
      <c r="G35" s="59"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59" t="str">
        <f>[1]Sheet1!H35</f>
        <v>UPN</v>
      </c>
      <c r="I35" s="59" t="str">
        <f>[1]Sheet1!I35</f>
        <v>Mónica García - VP Operaciones Digitales y Online</v>
      </c>
      <c r="J35" s="59" t="str">
        <f>[1]Sheet1!J35</f>
        <v>Carlos Olivera</v>
      </c>
      <c r="K35" s="59">
        <f>[1]Sheet1!K35</f>
        <v>0</v>
      </c>
      <c r="L35" s="59" t="str">
        <f>[1]Sheet1!L35</f>
        <v>Ángela Lucano</v>
      </c>
      <c r="M35" s="68">
        <f>[1]Sheet1!M35</f>
        <v>46081</v>
      </c>
      <c r="N35" s="68" t="str">
        <f>[1]Sheet1!N35</f>
        <v>No</v>
      </c>
      <c r="O35" s="59" t="str">
        <f>[1]Sheet1!O35</f>
        <v> </v>
      </c>
      <c r="P35" s="59">
        <f>[1]Sheet1!P35</f>
        <v>0</v>
      </c>
      <c r="Q35" s="59" t="str">
        <f>[1]Sheet1!Q35</f>
        <v>Otro</v>
      </c>
      <c r="R35" s="59"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59">
        <f>[1]Sheet1!S35</f>
        <v>0</v>
      </c>
      <c r="T35" s="59" t="str">
        <f>[1]Sheet1!T35</f>
        <v>Onboarding y seguimiento intraciclo.</v>
      </c>
      <c r="U35" s="59">
        <f>[1]Sheet1!U35</f>
        <v>0</v>
      </c>
      <c r="V35" s="59" t="str">
        <f>[1]Sheet1!V35</f>
        <v>Excelencia Operativa</v>
      </c>
      <c r="W35" s="59" t="str">
        <f>[1]Sheet1!W35</f>
        <v>No</v>
      </c>
      <c r="X35" s="59">
        <f>[1]Sheet1!X35</f>
        <v>0</v>
      </c>
      <c r="Y35" s="59" t="str">
        <f>[1]Sheet1!Y35</f>
        <v>Mejorar la satisfacción de estudiantes con el proceso de matrícula y onboarding.</v>
      </c>
      <c r="Z35" s="59" t="str">
        <f>[1]Sheet1!Z35</f>
        <v>https://educorpperu-my.sharepoint.com/personal/diana_zapata_laureate_pe1/_layouts/15/Doc.aspx?sourcedoc=%7B59F35CDD-C20F-46ED-B2D2-4E433C29DE75%7D&amp;file=RQ%202026.02.18%20-%20Registro%20de%20matricula%20en%20CRM_Carlos%20Rau%20Olivera%20F.pptx&amp;action=edit&amp;mobileredirect=true</v>
      </c>
      <c r="AA35" s="59">
        <f>[1]Sheet1!AA35</f>
        <v>0.30000000000000004</v>
      </c>
    </row>
    <row r="36" spans="1:27" s="69" customFormat="1" ht="45.95" customHeight="1">
      <c r="A36" s="59">
        <f>[1]Sheet1!A36</f>
        <v>58</v>
      </c>
      <c r="B36" s="220">
        <f>[1]Sheet1!B36</f>
        <v>46077.447870370401</v>
      </c>
      <c r="C36" s="220">
        <f>[1]Sheet1!C36</f>
        <v>46077.465486111098</v>
      </c>
      <c r="D36" s="59" t="str">
        <f>[1]Sheet1!D36</f>
        <v>carla.arias@upn.edu.pe</v>
      </c>
      <c r="E36" s="59" t="str">
        <f>[1]Sheet1!E36</f>
        <v>Carla Arias Schreiber Ulloa</v>
      </c>
      <c r="F36" s="59" t="str">
        <f>[1]Sheet1!F36</f>
        <v>Modificación del etl "DTS BANNER - MIGRACION INFORMACION DE BANNER A UPNSAC - PARTE 2"</v>
      </c>
      <c r="G36" s="59" t="str">
        <f>[1]Sheet1!G36</f>
        <v>Necesitamos la modificación del ETL para que incluya las nuevas nomenclaturas de marcas para las solicitud de descuentos, logrando que el Portal pueda filtrar correctamente los estudiantes que cumplen los requisitos para estas solicitudes.</v>
      </c>
      <c r="H36" s="59" t="str">
        <f>[1]Sheet1!H36</f>
        <v>UPN</v>
      </c>
      <c r="I36" s="59" t="str">
        <f>[1]Sheet1!I36</f>
        <v>Alex Pendavis - VP Finanzas</v>
      </c>
      <c r="J36" s="59" t="str">
        <f>[1]Sheet1!J36</f>
        <v xml:space="preserve">Cindy Chuco </v>
      </c>
      <c r="K36" s="59">
        <f>[1]Sheet1!K36</f>
        <v>0</v>
      </c>
      <c r="L36" s="59" t="str">
        <f>[1]Sheet1!L36</f>
        <v>Jose Paredes</v>
      </c>
      <c r="M36" s="68">
        <f>[1]Sheet1!M36</f>
        <v>46078</v>
      </c>
      <c r="N36" s="68" t="str">
        <f>[1]Sheet1!N36</f>
        <v>No</v>
      </c>
      <c r="O36" s="59">
        <f>[1]Sheet1!O36</f>
        <v>0</v>
      </c>
      <c r="P36" s="59">
        <f>[1]Sheet1!P36</f>
        <v>0</v>
      </c>
      <c r="Q36" s="59" t="str">
        <f>[1]Sheet1!Q36</f>
        <v>Otro</v>
      </c>
      <c r="R36" s="59"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59">
        <f>[1]Sheet1!S36</f>
        <v>0</v>
      </c>
      <c r="T36" s="59" t="str">
        <f>[1]Sheet1!T36</f>
        <v>Asignación de descuentos</v>
      </c>
      <c r="U36" s="59">
        <f>[1]Sheet1!U36</f>
        <v>0</v>
      </c>
      <c r="V36" s="59" t="str">
        <f>[1]Sheet1!V36</f>
        <v>Excelencia Operativa</v>
      </c>
      <c r="W36" s="59" t="str">
        <f>[1]Sheet1!W36</f>
        <v>No</v>
      </c>
      <c r="X36" s="59">
        <f>[1]Sheet1!X36</f>
        <v>0</v>
      </c>
      <c r="Y36" s="59" t="str">
        <f>[1]Sheet1!Y36</f>
        <v>Buen funcionamiento del proceso de solicitud de descuentos.</v>
      </c>
      <c r="Z36" s="59"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59">
        <f>[1]Sheet1!AA36</f>
        <v>0.30000000000000004</v>
      </c>
    </row>
    <row r="37" spans="1:27" ht="45.95" customHeight="1">
      <c r="A37" s="59">
        <f>[1]Sheet1!A37</f>
        <v>59</v>
      </c>
      <c r="B37" s="220">
        <f>[1]Sheet1!B37</f>
        <v>46083.641898148097</v>
      </c>
      <c r="C37" s="220">
        <f>[1]Sheet1!C37</f>
        <v>46083.7032175926</v>
      </c>
      <c r="D37" s="59" t="str">
        <f>[1]Sheet1!D37</f>
        <v>carlos.sanchez@laureate.pe</v>
      </c>
      <c r="E37" s="59" t="str">
        <f>[1]Sheet1!E37</f>
        <v>Carlos Sanchez Rubio</v>
      </c>
      <c r="F37" s="59" t="str">
        <f>[1]Sheet1!F37</f>
        <v>Microsegmentación / Nanosegmentación de aplicaciones críticas</v>
      </c>
      <c r="G37" s="59"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59" t="str">
        <f>[1]Sheet1!H37</f>
        <v>CORPORATIVO</v>
      </c>
      <c r="I37" s="59" t="str">
        <f>[1]Sheet1!I37</f>
        <v>Donoban Meza - Director Corp IT Security</v>
      </c>
      <c r="J37" s="59" t="str">
        <f>[1]Sheet1!J37</f>
        <v xml:space="preserve">Carlos Sánchez Rubio </v>
      </c>
      <c r="K37" s="59">
        <f>[1]Sheet1!K37</f>
        <v>0</v>
      </c>
      <c r="L37" s="59" t="str">
        <f>[1]Sheet1!L37</f>
        <v>Ninguno</v>
      </c>
      <c r="M37" s="68">
        <f>[1]Sheet1!M37</f>
        <v>46203</v>
      </c>
      <c r="N37" s="68" t="str">
        <f>[1]Sheet1!N37</f>
        <v>No</v>
      </c>
      <c r="O37" s="59">
        <f>[1]Sheet1!O37</f>
        <v>0</v>
      </c>
      <c r="P37" s="59">
        <f>[1]Sheet1!P37</f>
        <v>0</v>
      </c>
      <c r="Q37" s="59" t="str">
        <f>[1]Sheet1!Q37</f>
        <v>Seguridad de la información</v>
      </c>
      <c r="R37" s="59" t="str">
        <f>[1]Sheet1!R37</f>
        <v>Actualmente, las comunicaciones entre componentes o ambientes pueden ser más amplias de lo necesario. Esto facilita propagación de amenazas, movimientos laterales y mayores impactos ante el compromiso de un activo.</v>
      </c>
      <c r="S37" s="59">
        <f>[1]Sheet1!S37</f>
        <v>0</v>
      </c>
      <c r="T37" s="59" t="str">
        <f>[1]Sheet1!T37</f>
        <v>No aplica.</v>
      </c>
      <c r="U37" s="59">
        <f>[1]Sheet1!U37</f>
        <v>0</v>
      </c>
      <c r="V37" s="59" t="str">
        <f>[1]Sheet1!V37</f>
        <v>Excelencia Operativa</v>
      </c>
      <c r="W37" s="59" t="str">
        <f>[1]Sheet1!W37</f>
        <v>No</v>
      </c>
      <c r="X37" s="59">
        <f>[1]Sheet1!X37</f>
        <v>0</v>
      </c>
      <c r="Y37" s="59" t="str">
        <f>[1]Sheet1!Y37</f>
        <v>Fortalece la arquitectura de seguridad, mejora la contención de amenazas y reduce la superficie de ataque en entornos críticos. Incrementa la resiliencia tecnológica y mejora la capacidad de protección de servicios sensibles del negocio.</v>
      </c>
      <c r="Z37" s="59"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59">
        <f>[1]Sheet1!AA37</f>
        <v>1.2</v>
      </c>
    </row>
    <row r="38" spans="1:27" ht="45.95" customHeight="1">
      <c r="A38" s="59">
        <f>[1]Sheet1!A38</f>
        <v>60</v>
      </c>
      <c r="B38" s="220">
        <f>[1]Sheet1!B38</f>
        <v>46083.704305555599</v>
      </c>
      <c r="C38" s="220">
        <f>[1]Sheet1!C38</f>
        <v>46083.706134259301</v>
      </c>
      <c r="D38" s="59" t="str">
        <f>[1]Sheet1!D38</f>
        <v>carlos.sanchez@laureate.pe</v>
      </c>
      <c r="E38" s="59" t="str">
        <f>[1]Sheet1!E38</f>
        <v>Carlos Sanchez Rubio</v>
      </c>
      <c r="F38" s="59" t="str">
        <f>[1]Sheet1!F38</f>
        <v>MFA para equipos de cómputo administrativos</v>
      </c>
      <c r="G38" s="59"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59" t="str">
        <f>[1]Sheet1!H38</f>
        <v>CORPORATIVO</v>
      </c>
      <c r="I38" s="59" t="str">
        <f>[1]Sheet1!I38</f>
        <v>Donoban Meza - Director Corp IT Security</v>
      </c>
      <c r="J38" s="59" t="str">
        <f>[1]Sheet1!J38</f>
        <v xml:space="preserve">Carlos Sánchez Rubio </v>
      </c>
      <c r="K38" s="59">
        <f>[1]Sheet1!K38</f>
        <v>0</v>
      </c>
      <c r="L38" s="59" t="str">
        <f>[1]Sheet1!L38</f>
        <v>Ninguno</v>
      </c>
      <c r="M38" s="68">
        <f>[1]Sheet1!M38</f>
        <v>46203</v>
      </c>
      <c r="N38" s="68" t="str">
        <f>[1]Sheet1!N38</f>
        <v>No</v>
      </c>
      <c r="O38" s="59">
        <f>[1]Sheet1!O38</f>
        <v>0</v>
      </c>
      <c r="P38" s="59">
        <f>[1]Sheet1!P38</f>
        <v>0</v>
      </c>
      <c r="Q38" s="59" t="str">
        <f>[1]Sheet1!Q38</f>
        <v>Seguridad de la información</v>
      </c>
      <c r="R38" s="59"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59">
        <f>[1]Sheet1!S38</f>
        <v>0</v>
      </c>
      <c r="T38" s="59" t="str">
        <f>[1]Sheet1!T38</f>
        <v>No Aplica</v>
      </c>
      <c r="U38" s="59">
        <f>[1]Sheet1!U38</f>
        <v>0</v>
      </c>
      <c r="V38" s="59" t="str">
        <f>[1]Sheet1!V38</f>
        <v>Excelencia Operativa</v>
      </c>
      <c r="W38" s="59" t="str">
        <f>[1]Sheet1!W38</f>
        <v>No</v>
      </c>
      <c r="X38" s="59">
        <f>[1]Sheet1!X38</f>
        <v>0</v>
      </c>
      <c r="Y38" s="59"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59"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59">
        <f>[1]Sheet1!AA38</f>
        <v>1.2</v>
      </c>
    </row>
    <row r="39" spans="1:27" ht="45.95" customHeight="1">
      <c r="A39" s="59">
        <f>[1]Sheet1!A39</f>
        <v>61</v>
      </c>
      <c r="B39" s="220">
        <f>[1]Sheet1!B39</f>
        <v>46083.706215277802</v>
      </c>
      <c r="C39" s="220">
        <f>[1]Sheet1!C39</f>
        <v>46083.709166666697</v>
      </c>
      <c r="D39" s="59" t="str">
        <f>[1]Sheet1!D39</f>
        <v>carlos.sanchez@laureate.pe</v>
      </c>
      <c r="E39" s="59" t="str">
        <f>[1]Sheet1!E39</f>
        <v>Carlos Sanchez Rubio</v>
      </c>
      <c r="F39" s="59" t="str">
        <f>[1]Sheet1!F39</f>
        <v>API Pentesting</v>
      </c>
      <c r="G39" s="59"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59" t="str">
        <f>[1]Sheet1!H39</f>
        <v>CORPORATIVO</v>
      </c>
      <c r="I39" s="59" t="str">
        <f>[1]Sheet1!I39</f>
        <v>Donoban Meza - Director Corp IT Security</v>
      </c>
      <c r="J39" s="59" t="str">
        <f>[1]Sheet1!J39</f>
        <v xml:space="preserve">Carlos Sánchez Rubio </v>
      </c>
      <c r="K39" s="59">
        <f>[1]Sheet1!K39</f>
        <v>0</v>
      </c>
      <c r="L39" s="59" t="str">
        <f>[1]Sheet1!L39</f>
        <v>Ninguno</v>
      </c>
      <c r="M39" s="68">
        <f>[1]Sheet1!M39</f>
        <v>46295</v>
      </c>
      <c r="N39" s="68" t="str">
        <f>[1]Sheet1!N39</f>
        <v>No</v>
      </c>
      <c r="O39" s="59">
        <f>[1]Sheet1!O39</f>
        <v>0</v>
      </c>
      <c r="P39" s="59">
        <f>[1]Sheet1!P39</f>
        <v>0</v>
      </c>
      <c r="Q39" s="59" t="str">
        <f>[1]Sheet1!Q39</f>
        <v>Seguridad de la información</v>
      </c>
      <c r="R39" s="59"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59">
        <f>[1]Sheet1!S39</f>
        <v>0</v>
      </c>
      <c r="T39" s="59" t="str">
        <f>[1]Sheet1!T39</f>
        <v>No Aplica</v>
      </c>
      <c r="U39" s="59">
        <f>[1]Sheet1!U39</f>
        <v>0</v>
      </c>
      <c r="V39" s="59" t="str">
        <f>[1]Sheet1!V39</f>
        <v>Excelencia Operativa</v>
      </c>
      <c r="W39" s="59" t="str">
        <f>[1]Sheet1!W39</f>
        <v>No</v>
      </c>
      <c r="X39" s="59">
        <f>[1]Sheet1!X39</f>
        <v>0</v>
      </c>
      <c r="Y39" s="59"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59"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59">
        <f>[1]Sheet1!AA39</f>
        <v>1.2</v>
      </c>
    </row>
    <row r="40" spans="1:27" ht="45.95" customHeight="1">
      <c r="A40" s="59">
        <f>[1]Sheet1!A40</f>
        <v>62</v>
      </c>
      <c r="B40" s="220">
        <f>[1]Sheet1!B40</f>
        <v>46083.709212962996</v>
      </c>
      <c r="C40" s="220">
        <f>[1]Sheet1!C40</f>
        <v>46083.711898148104</v>
      </c>
      <c r="D40" s="59" t="str">
        <f>[1]Sheet1!D40</f>
        <v>carlos.sanchez@laureate.pe</v>
      </c>
      <c r="E40" s="59" t="str">
        <f>[1]Sheet1!E40</f>
        <v>Carlos Sanchez Rubio</v>
      </c>
      <c r="F40" s="59" t="str">
        <f>[1]Sheet1!F40</f>
        <v>Integración de sistemas críticos con el SIEM</v>
      </c>
      <c r="G40" s="59" t="str">
        <f>[1]Sheet1!G40</f>
        <v>Necesitamos integrar los sistemas críticos al SIEM, para centralizar eventos de seguridad y detectar oportunamente actividades sospechosas o incidentes, logrando mejorar la visibilidad, la capacidad de monitoreo y la respuesta ante amenazas.</v>
      </c>
      <c r="H40" s="59" t="str">
        <f>[1]Sheet1!H40</f>
        <v>CORPORATIVO</v>
      </c>
      <c r="I40" s="59" t="str">
        <f>[1]Sheet1!I40</f>
        <v>Donoban Meza - Director Corp IT Security</v>
      </c>
      <c r="J40" s="59" t="str">
        <f>[1]Sheet1!J40</f>
        <v xml:space="preserve">Carlos Sánchez Rubio </v>
      </c>
      <c r="K40" s="59">
        <f>[1]Sheet1!K40</f>
        <v>0</v>
      </c>
      <c r="L40" s="59" t="str">
        <f>[1]Sheet1!L40</f>
        <v>Ninguno</v>
      </c>
      <c r="M40" s="68">
        <f>[1]Sheet1!M40</f>
        <v>46326</v>
      </c>
      <c r="N40" s="68" t="str">
        <f>[1]Sheet1!N40</f>
        <v>No</v>
      </c>
      <c r="O40" s="59">
        <f>[1]Sheet1!O40</f>
        <v>0</v>
      </c>
      <c r="P40" s="59">
        <f>[1]Sheet1!P40</f>
        <v>0</v>
      </c>
      <c r="Q40" s="59" t="str">
        <f>[1]Sheet1!Q40</f>
        <v>Seguridad de la información</v>
      </c>
      <c r="R40" s="59" t="str">
        <f>[1]Sheet1!R40</f>
        <v>Actualmente, no todos los sistemas críticos reportan sus eventos al SIEM, lo que limita la detección temprana de incidentes y reduce la visibilidad sobre actividades anómalas o compromisos de seguridad.</v>
      </c>
      <c r="S40" s="59">
        <f>[1]Sheet1!S40</f>
        <v>0</v>
      </c>
      <c r="T40" s="59" t="str">
        <f>[1]Sheet1!T40</f>
        <v>No Aplica</v>
      </c>
      <c r="U40" s="59" t="str">
        <f>[1]Sheet1!U40</f>
        <v>Ninguno</v>
      </c>
      <c r="V40" s="59" t="str">
        <f>[1]Sheet1!V40</f>
        <v>Excelencia Operativa</v>
      </c>
      <c r="W40" s="59" t="str">
        <f>[1]Sheet1!W40</f>
        <v>No</v>
      </c>
      <c r="X40" s="59" t="str">
        <f>[1]Sheet1!X40</f>
        <v>No cuantificado o S/0</v>
      </c>
      <c r="Y40" s="59" t="str">
        <f>[1]Sheet1!Y40</f>
        <v>Mejora la visibilidad sobre eventos de seguridad, fortalece la capacidad de respuesta ante incidentes y permite una gestión más oportuna de amenazas. Incrementa el control y la trazabilidad sobre sistemas críticos para el negocio.</v>
      </c>
      <c r="Z40" s="59"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59">
        <f>[1]Sheet1!AA40</f>
        <v>1.3499999999999999</v>
      </c>
    </row>
    <row r="41" spans="1:27" ht="45.95" customHeight="1">
      <c r="A41" s="59">
        <f>[1]Sheet1!A41</f>
        <v>63</v>
      </c>
      <c r="B41" s="220">
        <f>[1]Sheet1!B41</f>
        <v>46083.712094907401</v>
      </c>
      <c r="C41" s="220">
        <f>[1]Sheet1!C41</f>
        <v>46083.714675925898</v>
      </c>
      <c r="D41" s="59" t="str">
        <f>[1]Sheet1!D41</f>
        <v>carlos.sanchez@laureate.pe</v>
      </c>
      <c r="E41" s="59" t="str">
        <f>[1]Sheet1!E41</f>
        <v>Carlos Sanchez Rubio</v>
      </c>
      <c r="F41" s="59" t="str">
        <f>[1]Sheet1!F41</f>
        <v>Ejecución de BIA para sistemas críticos del negocio</v>
      </c>
      <c r="G41" s="59"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59" t="str">
        <f>[1]Sheet1!H41</f>
        <v>CORPORATIVO</v>
      </c>
      <c r="I41" s="59" t="str">
        <f>[1]Sheet1!I41</f>
        <v>Donoban Meza - Director Corp IT Security</v>
      </c>
      <c r="J41" s="59" t="str">
        <f>[1]Sheet1!J41</f>
        <v xml:space="preserve">Carlos Sánchez Rubio </v>
      </c>
      <c r="K41" s="59">
        <f>[1]Sheet1!K41</f>
        <v>0</v>
      </c>
      <c r="L41" s="59" t="str">
        <f>[1]Sheet1!L41</f>
        <v>Ninguno</v>
      </c>
      <c r="M41" s="68">
        <f>[1]Sheet1!M41</f>
        <v>46356</v>
      </c>
      <c r="N41" s="68" t="str">
        <f>[1]Sheet1!N41</f>
        <v>No</v>
      </c>
      <c r="O41" s="59">
        <f>[1]Sheet1!O41</f>
        <v>0</v>
      </c>
      <c r="P41" s="59">
        <f>[1]Sheet1!P41</f>
        <v>0</v>
      </c>
      <c r="Q41" s="59" t="str">
        <f>[1]Sheet1!Q41</f>
        <v>Seguridad de la información</v>
      </c>
      <c r="R41" s="59" t="str">
        <f>[1]Sheet1!R41</f>
        <v>Actualmente, no se cuenta con una evaluación formal y actualizada del impacto de indisponibilidad de sistemas críticos. Esto dificulta priorizar recuperación, asignar recursos y definir tiempos objetivos de continuidad.</v>
      </c>
      <c r="S41" s="59">
        <f>[1]Sheet1!S41</f>
        <v>0</v>
      </c>
      <c r="T41" s="59" t="str">
        <f>[1]Sheet1!T41</f>
        <v>Proceso de Continuidad del Negocio</v>
      </c>
      <c r="U41" s="59" t="str">
        <f>[1]Sheet1!U41</f>
        <v>Ninguno</v>
      </c>
      <c r="V41" s="59" t="str">
        <f>[1]Sheet1!V41</f>
        <v>Excelencia Operativa</v>
      </c>
      <c r="W41" s="59" t="str">
        <f>[1]Sheet1!W41</f>
        <v>No</v>
      </c>
      <c r="X41" s="59" t="str">
        <f>[1]Sheet1!X41</f>
        <v>No cuantificado o S/0</v>
      </c>
      <c r="Y41" s="59" t="str">
        <f>[1]Sheet1!Y41</f>
        <v>Fortalece la toma de decisiones ante contingencias, mejora la planificación de continuidad y alinea a TI con las prioridades reales del negocio. Permite una gestión más ordenada, objetiva y consensuada sobre sistemas críticos.</v>
      </c>
      <c r="Z41" s="59"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59">
        <f>[1]Sheet1!AA41</f>
        <v>1.3499999999999999</v>
      </c>
    </row>
    <row r="42" spans="1:27" ht="45.95" customHeight="1">
      <c r="A42" s="59">
        <f>[1]Sheet1!A42</f>
        <v>64</v>
      </c>
      <c r="B42" s="220">
        <f>[1]Sheet1!B42</f>
        <v>46083.714710648099</v>
      </c>
      <c r="C42" s="220">
        <f>[1]Sheet1!C42</f>
        <v>46083.720902777801</v>
      </c>
      <c r="D42" s="59" t="str">
        <f>[1]Sheet1!D42</f>
        <v>carlos.sanchez@laureate.pe</v>
      </c>
      <c r="E42" s="59" t="str">
        <f>[1]Sheet1!E42</f>
        <v>Carlos Sanchez Rubio</v>
      </c>
      <c r="F42" s="59" t="str">
        <f>[1]Sheet1!F42</f>
        <v>Verificación de Integridad de Backups</v>
      </c>
      <c r="G42" s="59" t="str">
        <f>[1]Sheet1!G42</f>
        <v>Necesitamos implementar un proceso de verificación de integridad de backups, para asegurar que los respaldos sean recuperables y confiables ante incidentes, logrando reducir el riesgo de fallas de restauración y fortalecer la continuidad operativa.</v>
      </c>
      <c r="H42" s="59" t="str">
        <f>[1]Sheet1!H42</f>
        <v>CORPORATIVO</v>
      </c>
      <c r="I42" s="59" t="str">
        <f>[1]Sheet1!I42</f>
        <v>Donoban Meza - Director Corp IT Security</v>
      </c>
      <c r="J42" s="59" t="str">
        <f>[1]Sheet1!J42</f>
        <v xml:space="preserve">Carlos Sánchez Rubio </v>
      </c>
      <c r="K42" s="59">
        <f>[1]Sheet1!K42</f>
        <v>0</v>
      </c>
      <c r="L42" s="59" t="str">
        <f>[1]Sheet1!L42</f>
        <v>Ninguno</v>
      </c>
      <c r="M42" s="68">
        <f>[1]Sheet1!M42</f>
        <v>46295</v>
      </c>
      <c r="N42" s="68" t="str">
        <f>[1]Sheet1!N42</f>
        <v>No</v>
      </c>
      <c r="O42" s="59">
        <f>[1]Sheet1!O42</f>
        <v>0</v>
      </c>
      <c r="P42" s="59">
        <f>[1]Sheet1!P42</f>
        <v>0</v>
      </c>
      <c r="Q42" s="59" t="str">
        <f>[1]Sheet1!Q42</f>
        <v>Seguridad de la información</v>
      </c>
      <c r="R42" s="59" t="str">
        <f>[1]Sheet1!R42</f>
        <v>Contar con respaldos no garantiza su recuperación si no se valida periódicamente su integridad. Esto expone a la organización a fallas durante incidentes, ransomware o eventos de pérdida de información.</v>
      </c>
      <c r="S42" s="59">
        <f>[1]Sheet1!S42</f>
        <v>0</v>
      </c>
      <c r="T42" s="59" t="str">
        <f>[1]Sheet1!T42</f>
        <v>Proceso de Respaldo de Sistemas de Información</v>
      </c>
      <c r="U42" s="59">
        <f>[1]Sheet1!U42</f>
        <v>0</v>
      </c>
      <c r="V42" s="59" t="str">
        <f>[1]Sheet1!V42</f>
        <v>Excelencia Operativa</v>
      </c>
      <c r="W42" s="59" t="str">
        <f>[1]Sheet1!W42</f>
        <v>No</v>
      </c>
      <c r="X42" s="59">
        <f>[1]Sheet1!X42</f>
        <v>0</v>
      </c>
      <c r="Y42" s="59" t="str">
        <f>[1]Sheet1!Y42</f>
        <v>Aumenta la confianza en la estrategia de respaldo, fortalece la continuidad operativa y mejora la preparación ante incidentes como ransomware o fallas tecnológicas. Reduce la incertidumbre sobre la capacidad real de recuperación.</v>
      </c>
      <c r="Z42" s="59"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59">
        <f>[1]Sheet1!AA42</f>
        <v>1.2</v>
      </c>
    </row>
    <row r="43" spans="1:27" ht="45.95" customHeight="1">
      <c r="A43" s="59">
        <f>[1]Sheet1!A43</f>
        <v>65</v>
      </c>
      <c r="B43" s="220">
        <f>[1]Sheet1!B43</f>
        <v>46083.708483796298</v>
      </c>
      <c r="C43" s="220">
        <f>[1]Sheet1!C43</f>
        <v>46083.737210648098</v>
      </c>
      <c r="D43" s="59" t="str">
        <f>[1]Sheet1!D43</f>
        <v>frank.palomino@cibertec.pe</v>
      </c>
      <c r="E43" s="59" t="str">
        <f>[1]Sheet1!E43</f>
        <v>Frank Palomino Lizano</v>
      </c>
      <c r="F43" s="59" t="str">
        <f>[1]Sheet1!F43</f>
        <v>Reporte de asistencia y tardanza</v>
      </c>
      <c r="G43" s="59" t="str">
        <f>[1]Sheet1!G43</f>
        <v>Análisis de  asistencia y tardanza en base a falla de marcación por error de sistema y/o error humano</v>
      </c>
      <c r="H43" s="59" t="str">
        <f>[1]Sheet1!H43</f>
        <v>CIB</v>
      </c>
      <c r="I43" s="59" t="str">
        <f>[1]Sheet1!I43</f>
        <v>Humberto Marota - Tecnologías y transformación digital</v>
      </c>
      <c r="J43" s="59" t="str">
        <f>[1]Sheet1!J43</f>
        <v>Juan Huapata</v>
      </c>
      <c r="K43" s="59">
        <f>[1]Sheet1!K43</f>
        <v>0</v>
      </c>
      <c r="L43" s="59" t="str">
        <f>[1]Sheet1!L43</f>
        <v>Ángela Lucano</v>
      </c>
      <c r="M43" s="68">
        <f>[1]Sheet1!M43</f>
        <v>46112</v>
      </c>
      <c r="N43" s="68" t="str">
        <f>[1]Sheet1!N43</f>
        <v>No</v>
      </c>
      <c r="O43" s="59">
        <f>[1]Sheet1!O43</f>
        <v>0</v>
      </c>
      <c r="P43" s="59">
        <f>[1]Sheet1!P43</f>
        <v>0</v>
      </c>
      <c r="Q43" s="59" t="str">
        <f>[1]Sheet1!Q43</f>
        <v>Otro</v>
      </c>
      <c r="R43" s="59" t="str">
        <f>[1]Sheet1!R43</f>
        <v xml:space="preserve">Reporte actual en gestión docente para la función no cumple con la necesidad realizando un trabajo manual muy arduo.
</v>
      </c>
      <c r="S43" s="59">
        <f>[1]Sheet1!S43</f>
        <v>0</v>
      </c>
      <c r="T43" s="59" t="str">
        <f>[1]Sheet1!T43</f>
        <v>Proceso planilla, programación de recuperación de clases, proceso de asistencias entre otros.</v>
      </c>
      <c r="U43" s="59">
        <f>[1]Sheet1!U43</f>
        <v>0</v>
      </c>
      <c r="V43" s="59" t="str">
        <f>[1]Sheet1!V43</f>
        <v>Excelencia operativa</v>
      </c>
      <c r="W43" s="59" t="str">
        <f>[1]Sheet1!W43</f>
        <v>No</v>
      </c>
      <c r="X43" s="59">
        <f>[1]Sheet1!X43</f>
        <v>0</v>
      </c>
      <c r="Y43" s="59" t="str">
        <f>[1]Sheet1!Y43</f>
        <v>Las mejoras  como seguimiento de asistencia docente, recuperación de clases y  contratación de docente que cumplan el horario establecido y a la una organización correcta para su pago de planilla</v>
      </c>
      <c r="Z43" s="59">
        <f>[1]Sheet1!Z43</f>
        <v>0</v>
      </c>
      <c r="AA43" s="59">
        <f>[1]Sheet1!AA43</f>
        <v>0.30000000000000004</v>
      </c>
    </row>
    <row r="44" spans="1:27" ht="45.95" customHeight="1">
      <c r="A44" s="59">
        <f>[1]Sheet1!A44</f>
        <v>66</v>
      </c>
      <c r="B44" s="220">
        <f>[1]Sheet1!B44</f>
        <v>46083.734027777798</v>
      </c>
      <c r="C44" s="220">
        <f>[1]Sheet1!C44</f>
        <v>46083.756967592599</v>
      </c>
      <c r="D44" s="59" t="str">
        <f>[1]Sheet1!D44</f>
        <v>eduardo.paul@cibertec.pe</v>
      </c>
      <c r="E44" s="59" t="str">
        <f>[1]Sheet1!E44</f>
        <v>Eduardo Paul Aguilar</v>
      </c>
      <c r="F44" s="59" t="str">
        <f>[1]Sheet1!F44</f>
        <v>Genesys – Implementación de Timestamps</v>
      </c>
      <c r="G44" s="59"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59" t="str">
        <f>[1]Sheet1!H44</f>
        <v>LAUREATE</v>
      </c>
      <c r="I44" s="59" t="str">
        <f>[1]Sheet1!I44</f>
        <v>Ivan Olivares - VP Marketing y Comercial</v>
      </c>
      <c r="J44" s="59" t="str">
        <f>[1]Sheet1!J44</f>
        <v>Pedro Guibar</v>
      </c>
      <c r="K44" s="59">
        <f>[1]Sheet1!K44</f>
        <v>0</v>
      </c>
      <c r="L44" s="59" t="str">
        <f>[1]Sheet1!L44</f>
        <v>Jose Paredes</v>
      </c>
      <c r="M44" s="68">
        <f>[1]Sheet1!M44</f>
        <v>46098</v>
      </c>
      <c r="N44" s="68" t="str">
        <f>[1]Sheet1!N44</f>
        <v>No</v>
      </c>
      <c r="O44" s="59">
        <f>[1]Sheet1!O44</f>
        <v>0</v>
      </c>
      <c r="P44" s="59">
        <f>[1]Sheet1!P44</f>
        <v>0</v>
      </c>
      <c r="Q44" s="59" t="str">
        <f>[1]Sheet1!Q44</f>
        <v>Otro</v>
      </c>
      <c r="R44" s="59"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59">
        <f>[1]Sheet1!S44</f>
        <v>0</v>
      </c>
      <c r="T44" s="59" t="str">
        <f>[1]Sheet1!T44</f>
        <v>.Gestión de campañas outbound.
Seguimiento y trazabilidad de leads.
Medición de SLA comercial.
Reportería operativa y gerencial.</v>
      </c>
      <c r="U44" s="59" t="str">
        <f>[1]Sheet1!U44</f>
        <v>Administrativos</v>
      </c>
      <c r="V44" s="59" t="str">
        <f>[1]Sheet1!V44</f>
        <v>Excelencia Operativa</v>
      </c>
      <c r="W44" s="59" t="str">
        <f>[1]Sheet1!W44</f>
        <v>No</v>
      </c>
      <c r="X44" s="59" t="str">
        <f>[1]Sheet1!X44</f>
        <v>No cuantificado o S/0</v>
      </c>
      <c r="Y44" s="59"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59" t="str">
        <f>[1]Sheet1!Z44</f>
        <v>https://educorpperu-my.sharepoint.com/personal/diana_zapata_laureate_pe1/_layouts/15/Doc.aspx?sourcedoc=%7B8F59C472-75F3-48E0-9F18-E94B531DC819%7D&amp;file=Solicitud%20de%20requerimientos_Timestamps%201_Eduardo%20Paul%20Aguilar.pptx&amp;action=edit&amp;mobileredirect=true</v>
      </c>
      <c r="AA44" s="59">
        <f>[1]Sheet1!AA44</f>
        <v>0.60000000000000009</v>
      </c>
    </row>
    <row r="45" spans="1:27" ht="45.95" customHeight="1">
      <c r="A45" s="59">
        <f>[1]Sheet1!A45</f>
        <v>67</v>
      </c>
      <c r="B45" s="220">
        <f>[1]Sheet1!B45</f>
        <v>46086.675891203697</v>
      </c>
      <c r="C45" s="220">
        <f>[1]Sheet1!C45</f>
        <v>46086.694652777798</v>
      </c>
      <c r="D45" s="59" t="str">
        <f>[1]Sheet1!D45</f>
        <v>eduardo.paul@cibertec.pe</v>
      </c>
      <c r="E45" s="59" t="str">
        <f>[1]Sheet1!E45</f>
        <v>Eduardo Paul Aguilar</v>
      </c>
      <c r="F45" s="59" t="str">
        <f>[1]Sheet1!F45</f>
        <v>Visualización Adelantada de Clases - Sistema Gestión Docente</v>
      </c>
      <c r="G45" s="59"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59" t="str">
        <f>[1]Sheet1!H45</f>
        <v>CIB</v>
      </c>
      <c r="I45" s="59" t="str">
        <f>[1]Sheet1!I45</f>
        <v>Danilo Tauil - GM TecVoc</v>
      </c>
      <c r="J45" s="59" t="str">
        <f>[1]Sheet1!J45</f>
        <v>Davi Paulalima</v>
      </c>
      <c r="K45" s="59">
        <f>[1]Sheet1!K45</f>
        <v>0</v>
      </c>
      <c r="L45" s="59" t="str">
        <f>[1]Sheet1!L45</f>
        <v>Frank Palomino</v>
      </c>
      <c r="M45" s="68">
        <f>[1]Sheet1!M45</f>
        <v>46143</v>
      </c>
      <c r="N45" s="68" t="str">
        <f>[1]Sheet1!N45</f>
        <v>No</v>
      </c>
      <c r="O45" s="59">
        <f>[1]Sheet1!O45</f>
        <v>0</v>
      </c>
      <c r="P45" s="59">
        <f>[1]Sheet1!P45</f>
        <v>0</v>
      </c>
      <c r="Q45" s="59" t="str">
        <f>[1]Sheet1!Q45</f>
        <v>Otro</v>
      </c>
      <c r="R45" s="59" t="str">
        <f>[1]Sheet1!R45</f>
        <v>Hoy el equipo de TI ejecuta 10 dias con antes del inicio de clases un conjuntos de pases produccion para que los alumnos y docnetes puedan ver esta información. Luego un par de dias antes retornan a la normalidad los el programa.</v>
      </c>
      <c r="S45" s="59">
        <f>[1]Sheet1!S45</f>
        <v>0</v>
      </c>
      <c r="T45" s="59" t="str">
        <f>[1]Sheet1!T45</f>
        <v>Asignación de Recursos de TI. Proceso de Pase a Producción. Experiencia al estudiante.</v>
      </c>
      <c r="U45" s="59">
        <f>[1]Sheet1!U45</f>
        <v>0</v>
      </c>
      <c r="V45" s="59" t="str">
        <f>[1]Sheet1!V45</f>
        <v>Excelencia Operativa</v>
      </c>
      <c r="W45" s="59" t="str">
        <f>[1]Sheet1!W45</f>
        <v>No</v>
      </c>
      <c r="X45" s="59">
        <f>[1]Sheet1!X45</f>
        <v>0</v>
      </c>
      <c r="Y45" s="59" t="str">
        <f>[1]Sheet1!Y45</f>
        <v>Asegurar la mejora en la experiencia del estudiante.
Reducción de actividades administrativas de TI.</v>
      </c>
      <c r="Z45" s="59" t="str">
        <f>[1]Sheet1!Z45</f>
        <v>https://educorpperu-my.sharepoint.com/personal/diana_zapata_laureate_pe1/_layouts/15/Doc.aspx?sourcedoc=%7BF15528DB-4205-4182-80A5-0A8B8E36B1BE%7D&amp;file=Solicitud%20adelanto%20y%20retorno%20de%20visualizacion_Eduardo%20Paul%20Aguilar.pptx&amp;action=edit&amp;mobileredirect=true</v>
      </c>
      <c r="AA45" s="59">
        <f>[1]Sheet1!AA45</f>
        <v>0.30000000000000004</v>
      </c>
    </row>
    <row r="46" spans="1:27" ht="45.95" customHeight="1">
      <c r="A46" s="59">
        <f>[1]Sheet1!A46</f>
        <v>68</v>
      </c>
      <c r="B46" s="220">
        <f>[1]Sheet1!B46</f>
        <v>46091.775648148097</v>
      </c>
      <c r="C46" s="220">
        <f>[1]Sheet1!C46</f>
        <v>46091.799606481502</v>
      </c>
      <c r="D46" s="59" t="str">
        <f>[1]Sheet1!D46</f>
        <v>giancarlo.villacorta@upc.pe</v>
      </c>
      <c r="E46" s="59" t="str">
        <f>[1]Sheet1!E46</f>
        <v>Giancarlo Villacorta Quiñones</v>
      </c>
      <c r="F46" s="59" t="str">
        <f>[1]Sheet1!F46</f>
        <v>SUMA: weTALK - Automatización Placement Test WeTALK UPN</v>
      </c>
      <c r="G46" s="59"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59" t="str">
        <f>[1]Sheet1!H46</f>
        <v>UPN</v>
      </c>
      <c r="I46" s="59" t="str">
        <f>[1]Sheet1!I46</f>
        <v>Milagros Morgan - Rectorado UPC</v>
      </c>
      <c r="J46" s="59" t="str">
        <f>[1]Sheet1!J46</f>
        <v xml:space="preserve">Gali García </v>
      </c>
      <c r="K46" s="59">
        <f>[1]Sheet1!K46</f>
        <v>0</v>
      </c>
      <c r="L46" s="59" t="str">
        <f>[1]Sheet1!L46</f>
        <v>Ángela Lucano</v>
      </c>
      <c r="M46" s="68">
        <f>[1]Sheet1!M46</f>
        <v>46237</v>
      </c>
      <c r="N46" s="68" t="str">
        <f>[1]Sheet1!N46</f>
        <v>Si</v>
      </c>
      <c r="O46" s="59" t="str">
        <f>[1]Sheet1!O46</f>
        <v>Revenue Growth</v>
      </c>
      <c r="P46" s="59">
        <f>[1]Sheet1!P46</f>
        <v>76592</v>
      </c>
      <c r="Q46" s="59" t="str">
        <f>[1]Sheet1!Q46</f>
        <v>Otro</v>
      </c>
      <c r="R46" s="59" t="str">
        <f>[1]Sheet1!R46</f>
        <v>Actualmente todo el proceso de Placement test We talk UPN es soportado de forma manual</v>
      </c>
      <c r="S46" s="59">
        <f>[1]Sheet1!S46</f>
        <v>0</v>
      </c>
      <c r="T46" s="59" t="str">
        <f>[1]Sheet1!T46</f>
        <v>Placement test we talk UPN</v>
      </c>
      <c r="U46" s="59">
        <f>[1]Sheet1!U46</f>
        <v>0</v>
      </c>
      <c r="V46" s="59" t="str">
        <f>[1]Sheet1!V46</f>
        <v>Excelencia operativa</v>
      </c>
      <c r="W46" s="59" t="str">
        <f>[1]Sheet1!W46</f>
        <v>No</v>
      </c>
      <c r="X46" s="59">
        <f>[1]Sheet1!X46</f>
        <v>0</v>
      </c>
      <c r="Y46" s="59"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59" t="str">
        <f>[1]Sheet1!Z46</f>
        <v>https://educorpperu-my.sharepoint.com/personal/diana_zapata_laureate_pe1/_layouts/15/Doc.aspx?sourcedoc=%7BE82EB908-B186-4F00-836F-E5E173642CCB%7D&amp;file=Solicitud%20de%20requerimientos%20Automatizaci%C3%B3n%20Pl_Giancarlo%20Villacorta.pptx&amp;action=edit&amp;mobileredirect=true</v>
      </c>
      <c r="AA46" s="59">
        <f>[1]Sheet1!AA46</f>
        <v>1.8</v>
      </c>
    </row>
    <row r="47" spans="1:27" ht="45.95" customHeight="1">
      <c r="A47" s="59">
        <f>[1]Sheet1!A47</f>
        <v>69</v>
      </c>
      <c r="B47" s="220">
        <f>[1]Sheet1!B47</f>
        <v>46093.419641203698</v>
      </c>
      <c r="C47" s="220">
        <f>[1]Sheet1!C47</f>
        <v>46093.4243055556</v>
      </c>
      <c r="D47" s="59" t="str">
        <f>[1]Sheet1!D47</f>
        <v>jose.herbozo@upn.edu.pe</v>
      </c>
      <c r="E47" s="59" t="str">
        <f>[1]Sheet1!E47</f>
        <v>Jose Paredes Herbozo</v>
      </c>
      <c r="F47" s="59" t="str">
        <f>[1]Sheet1!F47</f>
        <v>Admisión online - Habilitación de funcionalidades en CRM UPN - Admisión On Line RITM0603995</v>
      </c>
      <c r="G47" s="59"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59" t="str">
        <f>[1]Sheet1!H47</f>
        <v>UPN</v>
      </c>
      <c r="I47" s="59" t="str">
        <f>[1]Sheet1!I47</f>
        <v>Humberto Marota - Tecnologías y transformación digital</v>
      </c>
      <c r="J47" s="59" t="str">
        <f>[1]Sheet1!J47</f>
        <v xml:space="preserve">Alejandro Tello Llosa </v>
      </c>
      <c r="K47" s="59">
        <f>[1]Sheet1!K47</f>
        <v>0</v>
      </c>
      <c r="L47" s="59" t="str">
        <f>[1]Sheet1!L47</f>
        <v>Jose Paredes</v>
      </c>
      <c r="M47" s="68">
        <f>[1]Sheet1!M47</f>
        <v>46142</v>
      </c>
      <c r="N47" s="68" t="str">
        <f>[1]Sheet1!N47</f>
        <v>Si</v>
      </c>
      <c r="O47" s="59" t="str">
        <f>[1]Sheet1!O47</f>
        <v>Digital &amp; IA</v>
      </c>
      <c r="P47" s="59">
        <f>[1]Sheet1!P47</f>
        <v>75411</v>
      </c>
      <c r="Q47" s="59" t="str">
        <f>[1]Sheet1!Q47</f>
        <v>Otro</v>
      </c>
      <c r="R47" s="59"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59">
        <f>[1]Sheet1!S47</f>
        <v>0</v>
      </c>
      <c r="T47" s="59" t="str">
        <f>[1]Sheet1!T47</f>
        <v>Proceso de Admisión</v>
      </c>
      <c r="U47" s="59">
        <f>[1]Sheet1!U47</f>
        <v>0</v>
      </c>
      <c r="V47" s="59" t="str">
        <f>[1]Sheet1!V47</f>
        <v>Crecimiento escalable</v>
      </c>
      <c r="W47" s="59" t="str">
        <f>[1]Sheet1!W47</f>
        <v>No</v>
      </c>
      <c r="X47" s="59">
        <f>[1]Sheet1!X47</f>
        <v>0</v>
      </c>
      <c r="Y47" s="59" t="str">
        <f>[1]Sheet1!Y47</f>
        <v>Mejorar la experiencia del prospecto, reducir la operatividad del equipo de admisión, reducción los tiempos de matrícula en al menos 48 hrs</v>
      </c>
      <c r="Z47" s="59" t="str">
        <f>[1]Sheet1!Z47</f>
        <v>https://educorpperu-my.sharepoint.com/personal/diana_zapata_laureate_pe1/_layouts/15/Doc.aspx?sourcedoc=%7B61466882-7AAC-4A5D-9EE1-5CB4289AD248%7D&amp;file=Solicitud%20de%20requerimientos%20Idea%20nueva%20y%20mejo_Jose%20Paredes%20Herbozo.pptx&amp;action=edit&amp;mobileredirect=true</v>
      </c>
      <c r="AA47" s="59">
        <f>[1]Sheet1!AA47</f>
        <v>2</v>
      </c>
    </row>
    <row r="48" spans="1:27" ht="45.95" customHeight="1">
      <c r="A48" s="59">
        <f>[1]Sheet1!A48</f>
        <v>70</v>
      </c>
      <c r="B48" s="220">
        <f>[1]Sheet1!B48</f>
        <v>46092.6265277778</v>
      </c>
      <c r="C48" s="220">
        <f>[1]Sheet1!C48</f>
        <v>46093.507175925901</v>
      </c>
      <c r="D48" s="59" t="str">
        <f>[1]Sheet1!D48</f>
        <v>giancarlo.villacorta@upc.pe</v>
      </c>
      <c r="E48" s="59" t="str">
        <f>[1]Sheet1!E48</f>
        <v>Giancarlo Villacorta Quiñones</v>
      </c>
      <c r="F48" s="59" t="str">
        <f>[1]Sheet1!F48</f>
        <v>Automatización de reportería Funnel</v>
      </c>
      <c r="G48" s="59"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59" t="str">
        <f>[1]Sheet1!H48</f>
        <v>UPC</v>
      </c>
      <c r="I48" s="59" t="str">
        <f>[1]Sheet1!I48</f>
        <v>Ivan Olivares - VP Marketing y Comercial</v>
      </c>
      <c r="J48" s="59" t="str">
        <f>[1]Sheet1!J48</f>
        <v xml:space="preserve">Gianfranco Espinoza </v>
      </c>
      <c r="K48" s="59">
        <f>[1]Sheet1!K48</f>
        <v>0</v>
      </c>
      <c r="L48" s="59" t="str">
        <f>[1]Sheet1!L48</f>
        <v>Giancarlo Villacorta</v>
      </c>
      <c r="M48" s="68">
        <f>[1]Sheet1!M48</f>
        <v>46174</v>
      </c>
      <c r="N48" s="68" t="str">
        <f>[1]Sheet1!N48</f>
        <v>Si</v>
      </c>
      <c r="O48" s="59" t="str">
        <f>[1]Sheet1!O48</f>
        <v>Revenue Growth</v>
      </c>
      <c r="P48" s="59">
        <f>[1]Sheet1!P48</f>
        <v>0</v>
      </c>
      <c r="Q48" s="59" t="str">
        <f>[1]Sheet1!Q48</f>
        <v>Otro</v>
      </c>
      <c r="R48" s="59" t="str">
        <f>[1]Sheet1!R48</f>
        <v>Se requiere desarrollar nuevas funcionalidades para automatización de reportes funnel.</v>
      </c>
      <c r="S48" s="59">
        <f>[1]Sheet1!S48</f>
        <v>0</v>
      </c>
      <c r="T48" s="59" t="str">
        <f>[1]Sheet1!T48</f>
        <v>Inscripciones</v>
      </c>
      <c r="U48" s="59">
        <f>[1]Sheet1!U48</f>
        <v>0</v>
      </c>
      <c r="V48" s="59" t="str">
        <f>[1]Sheet1!V48</f>
        <v>Excelencia Operativa;Innovación y Crecimiento;Transformación Digital</v>
      </c>
      <c r="W48" s="59" t="str">
        <f>[1]Sheet1!W48</f>
        <v>No</v>
      </c>
      <c r="X48" s="59">
        <f>[1]Sheet1!X48</f>
        <v>0</v>
      </c>
      <c r="Y48" s="59" t="str">
        <f>[1]Sheet1!Y48</f>
        <v>Esta iniciativa tiene como objetivo incrementar los ingresos proyectados mediante el aumento del número de estudiantes matriculados en los próximos años, así como mejorar la eficiencia en el servicio brindado a los estudiantes.</v>
      </c>
      <c r="Z48" s="59"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59">
        <f>[1]Sheet1!AA48</f>
        <v>1.5</v>
      </c>
    </row>
    <row r="49" spans="1:27" ht="45.95" customHeight="1">
      <c r="A49" s="59">
        <f>[1]Sheet1!A49</f>
        <v>71</v>
      </c>
      <c r="B49" s="220">
        <f>[1]Sheet1!B49</f>
        <v>46093.733761574098</v>
      </c>
      <c r="C49" s="220">
        <f>[1]Sheet1!C49</f>
        <v>46093.827060185198</v>
      </c>
      <c r="D49" s="59" t="str">
        <f>[1]Sheet1!D49</f>
        <v>ronald.benites@laureate.pe</v>
      </c>
      <c r="E49" s="59" t="str">
        <f>[1]Sheet1!E49</f>
        <v>Ronald Benites Vilchez</v>
      </c>
      <c r="F49" s="59" t="str">
        <f>[1]Sheet1!F49</f>
        <v>Automatización end-to-end de la creación de cuentas del AD y cálculo de la denominación del correo institucional mediante HORACIUS en UPN, UPC y CIB. incluyendo la construcción de APIs en HCM.</v>
      </c>
      <c r="G49" s="59"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59" t="str">
        <f>[1]Sheet1!H49</f>
        <v>LAUREATE</v>
      </c>
      <c r="I49" s="59" t="str">
        <f>[1]Sheet1!I49</f>
        <v>Humberto Marota - Tecnologías y transformación digital</v>
      </c>
      <c r="J49" s="59" t="str">
        <f>[1]Sheet1!J49</f>
        <v xml:space="preserve">Henry Longa </v>
      </c>
      <c r="K49" s="59">
        <f>[1]Sheet1!K49</f>
        <v>0</v>
      </c>
      <c r="L49" s="59" t="str">
        <f>[1]Sheet1!L49</f>
        <v>Ninguno</v>
      </c>
      <c r="M49" s="68">
        <f>[1]Sheet1!M49</f>
        <v>46142</v>
      </c>
      <c r="N49" s="68" t="str">
        <f>[1]Sheet1!N49</f>
        <v>No</v>
      </c>
      <c r="O49" s="59">
        <f>[1]Sheet1!O49</f>
        <v>0</v>
      </c>
      <c r="P49" s="59">
        <f>[1]Sheet1!P49</f>
        <v>0</v>
      </c>
      <c r="Q49" s="59" t="str">
        <f>[1]Sheet1!Q49</f>
        <v>Otro</v>
      </c>
      <c r="R49" s="59"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59">
        <f>[1]Sheet1!S49</f>
        <v>0</v>
      </c>
      <c r="T49" s="59" t="str">
        <f>[1]Sheet1!T49</f>
        <v>Proceso de incorporación y gestión de colaboradores 
Procesos operativos del negocio que utilizan aplicaciones institucionales, 
Proceso de gestión de identidades y accesos 
Procesos de control y cumplimiento regulatorio</v>
      </c>
      <c r="U49" s="59" t="str">
        <f>[1]Sheet1!U49</f>
        <v>Todos</v>
      </c>
      <c r="V49" s="59" t="str">
        <f>[1]Sheet1!V49</f>
        <v>Excelencia operativa</v>
      </c>
      <c r="W49" s="59" t="str">
        <f>[1]Sheet1!W49</f>
        <v>No</v>
      </c>
      <c r="X49" s="59" t="str">
        <f>[1]Sheet1!X49</f>
        <v>Menor a S/100,000.00</v>
      </c>
      <c r="Y49" s="59"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59"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59">
        <f>[1]Sheet1!AA49</f>
        <v>1.35</v>
      </c>
    </row>
    <row r="50" spans="1:27" ht="45.95" customHeight="1">
      <c r="A50" s="59">
        <f>[1]Sheet1!A50</f>
        <v>72</v>
      </c>
      <c r="B50" s="220">
        <f>[1]Sheet1!B50</f>
        <v>46097.4821296296</v>
      </c>
      <c r="C50" s="220">
        <f>[1]Sheet1!C50</f>
        <v>46097.537592592598</v>
      </c>
      <c r="D50" s="59" t="str">
        <f>[1]Sheet1!D50</f>
        <v>kenjhy.torres@upc.pe</v>
      </c>
      <c r="E50" s="59" t="str">
        <f>[1]Sheet1!E50</f>
        <v>Kenjhy Torres Vidalon</v>
      </c>
      <c r="F50" s="59" t="str">
        <f>[1]Sheet1!F50</f>
        <v>Correcta visualización de requisitos de cursos con equivalencia</v>
      </c>
      <c r="G50" s="59"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59" t="str">
        <f>[1]Sheet1!H50</f>
        <v>UPC</v>
      </c>
      <c r="I50" s="59" t="str">
        <f>[1]Sheet1!I50</f>
        <v>Milagros Morgan - Rectorado UPC</v>
      </c>
      <c r="J50" s="59" t="str">
        <f>[1]Sheet1!J50</f>
        <v xml:space="preserve">Alice Rodrigues Hoyer </v>
      </c>
      <c r="K50" s="59">
        <f>[1]Sheet1!K50</f>
        <v>0</v>
      </c>
      <c r="L50" s="59" t="str">
        <f>[1]Sheet1!L50</f>
        <v>Ángela Lucano</v>
      </c>
      <c r="M50" s="68">
        <f>[1]Sheet1!M50</f>
        <v>46142</v>
      </c>
      <c r="N50" s="68" t="str">
        <f>[1]Sheet1!N50</f>
        <v>No</v>
      </c>
      <c r="O50" s="59">
        <f>[1]Sheet1!O50</f>
        <v>0</v>
      </c>
      <c r="P50" s="59">
        <f>[1]Sheet1!P50</f>
        <v>0</v>
      </c>
      <c r="Q50" s="59" t="str">
        <f>[1]Sheet1!Q50</f>
        <v>Otro</v>
      </c>
      <c r="R50" s="59"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59">
        <f>[1]Sheet1!S50</f>
        <v>0</v>
      </c>
      <c r="T50" s="59" t="str">
        <f>[1]Sheet1!T50</f>
        <v>Soporte al alumno (mesa de ayuda, atención académica, otros canales) y Auditorías externas (por ejemplo: WASC, SUNEDU u otros procesos de acreditación).</v>
      </c>
      <c r="U50" s="59" t="str">
        <f>[1]Sheet1!U50</f>
        <v>Alumnos</v>
      </c>
      <c r="V50" s="59" t="str">
        <f>[1]Sheet1!V50</f>
        <v>Excelencia académica</v>
      </c>
      <c r="W50" s="59" t="str">
        <f>[1]Sheet1!W50</f>
        <v>Si</v>
      </c>
      <c r="X50" s="59" t="str">
        <f>[1]Sheet1!X50</f>
        <v>No cuantificado o S/0</v>
      </c>
      <c r="Y50" s="59"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59"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59">
        <f>[1]Sheet1!AA50</f>
        <v>1.4</v>
      </c>
    </row>
    <row r="51" spans="1:27" ht="45.95" customHeight="1">
      <c r="A51" s="59">
        <f>[1]Sheet1!A51</f>
        <v>73</v>
      </c>
      <c r="B51" s="220">
        <f>[1]Sheet1!B51</f>
        <v>46097.713333333297</v>
      </c>
      <c r="C51" s="220">
        <f>[1]Sheet1!C51</f>
        <v>46097.749722222201</v>
      </c>
      <c r="D51" s="59" t="str">
        <f>[1]Sheet1!D51</f>
        <v>daniel.cino@upc.pe</v>
      </c>
      <c r="E51" s="59" t="str">
        <f>[1]Sheet1!E51</f>
        <v>Daniel Cino Barreda</v>
      </c>
      <c r="F51" s="59" t="str">
        <f>[1]Sheet1!F51</f>
        <v>IMPULSO AL TRÁMITE DE DEPORTISTAS DESTACADOS</v>
      </c>
      <c r="G51" s="59"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59" t="str">
        <f>[1]Sheet1!H51</f>
        <v>UPC</v>
      </c>
      <c r="I51" s="59" t="str">
        <f>[1]Sheet1!I51</f>
        <v>Milagros Morgan - Rectorado UPC</v>
      </c>
      <c r="J51" s="59" t="str">
        <f>[1]Sheet1!J51</f>
        <v xml:space="preserve">Javiera Alcazar </v>
      </c>
      <c r="K51" s="59">
        <f>[1]Sheet1!K51</f>
        <v>0</v>
      </c>
      <c r="L51" s="59" t="str">
        <f>[1]Sheet1!L51</f>
        <v>Ángela Lucano</v>
      </c>
      <c r="M51" s="68">
        <f>[1]Sheet1!M51</f>
        <v>46111</v>
      </c>
      <c r="N51" s="68" t="str">
        <f>[1]Sheet1!N51</f>
        <v>No</v>
      </c>
      <c r="O51" s="59">
        <f>[1]Sheet1!O51</f>
        <v>0</v>
      </c>
      <c r="P51" s="59">
        <f>[1]Sheet1!P51</f>
        <v>0</v>
      </c>
      <c r="Q51" s="59" t="str">
        <f>[1]Sheet1!Q51</f>
        <v>Otro</v>
      </c>
      <c r="R51" s="59"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59">
        <f>[1]Sheet1!S51</f>
        <v>0</v>
      </c>
      <c r="T51" s="59" t="str">
        <f>[1]Sheet1!T51</f>
        <v>PROCESO DE SOLICITUDES DE SERVICIO DE DEPORTISTAS DESTACADOS. 
IMPACTA EN REGISTRO DE NOTAS, 
CIERRE DE NRC 
CIERRE DE CICLO
CONTROL DE ASISTENCIA DEL ESTUDIANTE
APLICACION DEL REGLAMENTO DE ESTUDIOS Y DEL REGLAMENTO ADMINISTRATIVO ACADÉMICO</v>
      </c>
      <c r="U51" s="59">
        <f>[1]Sheet1!U51</f>
        <v>0</v>
      </c>
      <c r="V51" s="59" t="str">
        <f>[1]Sheet1!V51</f>
        <v>Excelencia operativa</v>
      </c>
      <c r="W51" s="59" t="str">
        <f>[1]Sheet1!W51</f>
        <v>Si</v>
      </c>
      <c r="X51" s="59">
        <f>[1]Sheet1!X51</f>
        <v>0</v>
      </c>
      <c r="Y51" s="59"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59"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59">
        <f>[1]Sheet1!AA51</f>
        <v>0.30000000000000004</v>
      </c>
    </row>
    <row r="52" spans="1:27" ht="45.95" customHeight="1">
      <c r="A52" s="59">
        <f>[1]Sheet1!A52</f>
        <v>74</v>
      </c>
      <c r="B52" s="220">
        <f>[1]Sheet1!B52</f>
        <v>46097.479016203702</v>
      </c>
      <c r="C52" s="220">
        <f>[1]Sheet1!C52</f>
        <v>46097.807569444398</v>
      </c>
      <c r="D52" s="59" t="str">
        <f>[1]Sheet1!D52</f>
        <v>ronald.benites@laureate.pe</v>
      </c>
      <c r="E52" s="59" t="str">
        <f>[1]Sheet1!E52</f>
        <v>Ronald Benites Vilchez</v>
      </c>
      <c r="F52" s="59" t="str">
        <f>[1]Sheet1!F52</f>
        <v>Implementación de flujos de aprobación de solicitudes de acceso a aplicaciones de UPC mediante Horacius.</v>
      </c>
      <c r="G52" s="59"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59" t="str">
        <f>[1]Sheet1!H52</f>
        <v>UPC</v>
      </c>
      <c r="I52" s="59" t="str">
        <f>[1]Sheet1!I52</f>
        <v>Humberto Marota - Tecnologías y transformación digital</v>
      </c>
      <c r="J52" s="59" t="str">
        <f>[1]Sheet1!J52</f>
        <v xml:space="preserve">Henry Logan </v>
      </c>
      <c r="K52" s="59">
        <f>[1]Sheet1!K52</f>
        <v>0</v>
      </c>
      <c r="L52" s="59" t="str">
        <f>[1]Sheet1!L52</f>
        <v xml:space="preserve">Luis Almeyda </v>
      </c>
      <c r="M52" s="68">
        <f>[1]Sheet1!M52</f>
        <v>46113</v>
      </c>
      <c r="N52" s="68" t="str">
        <f>[1]Sheet1!N52</f>
        <v>No</v>
      </c>
      <c r="O52" s="59">
        <f>[1]Sheet1!O52</f>
        <v>0</v>
      </c>
      <c r="P52" s="59">
        <f>[1]Sheet1!P52</f>
        <v>0</v>
      </c>
      <c r="Q52" s="59" t="str">
        <f>[1]Sheet1!Q52</f>
        <v>Otro</v>
      </c>
      <c r="R52" s="59"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59">
        <f>[1]Sheet1!S52</f>
        <v>0</v>
      </c>
      <c r="T52" s="59" t="str">
        <f>[1]Sheet1!T52</f>
        <v xml:space="preserve">•	Proceso de incorporación y gestión de colaboradores 
•	Procesos operativos del negocio que utilizan aplicaciones institucionales, 
•	Proceso de gestión de identidades y accesos 
•	Procesos de control y cumplimiento regulatorio
</v>
      </c>
      <c r="U52" s="59">
        <f>[1]Sheet1!U52</f>
        <v>0</v>
      </c>
      <c r="V52" s="59" t="str">
        <f>[1]Sheet1!V52</f>
        <v>Excelencia Operativa;Innovación y Crecimiento;Transformación Digital</v>
      </c>
      <c r="W52" s="59" t="str">
        <f>[1]Sheet1!W52</f>
        <v>No</v>
      </c>
      <c r="X52" s="59">
        <f>[1]Sheet1!X52</f>
        <v>0</v>
      </c>
      <c r="Y52" s="59"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59"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59">
        <f>[1]Sheet1!AA52</f>
        <v>0</v>
      </c>
    </row>
    <row r="53" spans="1:27" ht="45.95" customHeight="1">
      <c r="A53" s="59">
        <f>[1]Sheet1!A53</f>
        <v>75</v>
      </c>
      <c r="B53" s="220">
        <f>[1]Sheet1!B53</f>
        <v>46097.842962962997</v>
      </c>
      <c r="C53" s="220">
        <f>[1]Sheet1!C53</f>
        <v>46097.862928240698</v>
      </c>
      <c r="D53" s="59" t="str">
        <f>[1]Sheet1!D53</f>
        <v>ronald.benites@laureate.pe</v>
      </c>
      <c r="E53" s="59" t="str">
        <f>[1]Sheet1!E53</f>
        <v>Ronald Benites Vilchez</v>
      </c>
      <c r="F53" s="59" t="str">
        <f>[1]Sheet1!F53</f>
        <v>Implementación de APIs para la automatización del aprovisionamiento y desaprovisionamiento de accesos en aplicaciones de UPC mediante Horacius, con soporte de un proveedor especializado.</v>
      </c>
      <c r="G53" s="59"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59" t="str">
        <f>[1]Sheet1!H53</f>
        <v>UPC</v>
      </c>
      <c r="I53" s="59" t="str">
        <f>[1]Sheet1!I53</f>
        <v>Humberto Marota - Tecnologías y transformación digital</v>
      </c>
      <c r="J53" s="59" t="str">
        <f>[1]Sheet1!J53</f>
        <v xml:space="preserve">Henry Logan </v>
      </c>
      <c r="K53" s="59">
        <f>[1]Sheet1!K53</f>
        <v>0</v>
      </c>
      <c r="L53" s="59" t="str">
        <f>[1]Sheet1!L53</f>
        <v xml:space="preserve">Luis Almeyda </v>
      </c>
      <c r="M53" s="68">
        <f>[1]Sheet1!M53</f>
        <v>46113</v>
      </c>
      <c r="N53" s="68" t="str">
        <f>[1]Sheet1!N53</f>
        <v>No</v>
      </c>
      <c r="O53" s="59">
        <f>[1]Sheet1!O53</f>
        <v>0</v>
      </c>
      <c r="P53" s="59">
        <f>[1]Sheet1!P53</f>
        <v>0</v>
      </c>
      <c r="Q53" s="59" t="str">
        <f>[1]Sheet1!Q53</f>
        <v>Otro</v>
      </c>
      <c r="R53" s="59"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59">
        <f>[1]Sheet1!S53</f>
        <v>0</v>
      </c>
      <c r="T53" s="59" t="str">
        <f>[1]Sheet1!T53</f>
        <v xml:space="preserve">•	Proceso de incorporación y gestión de colaboradores 
•	Procesos operativos del negocio que utilizan aplicaciones institucionales, 
•	Proceso de gestión de identidades y accesos 
•	Procesos de control y cumplimiento regulatorio
</v>
      </c>
      <c r="U53" s="59">
        <f>[1]Sheet1!U53</f>
        <v>0</v>
      </c>
      <c r="V53" s="59" t="str">
        <f>[1]Sheet1!V53</f>
        <v>Excelencia Operativa;Innovación y Crecimiento;Transformación Digital</v>
      </c>
      <c r="W53" s="59" t="str">
        <f>[1]Sheet1!W53</f>
        <v>No</v>
      </c>
      <c r="X53" s="59">
        <f>[1]Sheet1!X53</f>
        <v>0</v>
      </c>
      <c r="Y53" s="59"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59"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59">
        <f>[1]Sheet1!AA53</f>
        <v>0</v>
      </c>
    </row>
    <row r="54" spans="1:27" ht="45.95" customHeight="1">
      <c r="A54" s="59">
        <f>[1]Sheet1!A54</f>
        <v>76</v>
      </c>
      <c r="B54" s="220">
        <f>[1]Sheet1!B54</f>
        <v>46099.400451388901</v>
      </c>
      <c r="C54" s="220">
        <f>[1]Sheet1!C54</f>
        <v>46099.413530092599</v>
      </c>
      <c r="D54" s="59" t="str">
        <f>[1]Sheet1!D54</f>
        <v>giancarlo.villacorta@upc.pe</v>
      </c>
      <c r="E54" s="59" t="str">
        <f>[1]Sheet1!E54</f>
        <v>Giancarlo Villacorta Quiñones</v>
      </c>
      <c r="F54" s="59" t="str">
        <f>[1]Sheet1!F54</f>
        <v>Implementación de clonación automática – Idiomas UPC</v>
      </c>
      <c r="G54" s="59"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59" t="str">
        <f>[1]Sheet1!H54</f>
        <v>UPC</v>
      </c>
      <c r="I54" s="59" t="str">
        <f>[1]Sheet1!I54</f>
        <v>Milagros Morgan - Rectorado UPC</v>
      </c>
      <c r="J54" s="59" t="str">
        <f>[1]Sheet1!J54</f>
        <v>Briam Ledesma</v>
      </c>
      <c r="K54" s="59">
        <f>[1]Sheet1!K54</f>
        <v>0</v>
      </c>
      <c r="L54" s="59" t="str">
        <f>[1]Sheet1!L54</f>
        <v>Ángela Lucano</v>
      </c>
      <c r="M54" s="68">
        <f>[1]Sheet1!M54</f>
        <v>46238</v>
      </c>
      <c r="N54" s="68" t="str">
        <f>[1]Sheet1!N54</f>
        <v>No</v>
      </c>
      <c r="O54" s="59">
        <f>[1]Sheet1!O54</f>
        <v>0</v>
      </c>
      <c r="P54" s="59">
        <f>[1]Sheet1!P54</f>
        <v>0</v>
      </c>
      <c r="Q54" s="59" t="str">
        <f>[1]Sheet1!Q54</f>
        <v>Otro</v>
      </c>
      <c r="R54" s="59"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59">
        <f>[1]Sheet1!S54</f>
        <v>0</v>
      </c>
      <c r="T54" s="59" t="str">
        <f>[1]Sheet1!T54</f>
        <v>Matrícula de alumnos del Centro de Idiomas para programas de Pregrado y EPE.</v>
      </c>
      <c r="U54" s="59" t="str">
        <f>[1]Sheet1!U54</f>
        <v>Alumnos</v>
      </c>
      <c r="V54" s="59" t="str">
        <f>[1]Sheet1!V54</f>
        <v>Excelencia Operativa</v>
      </c>
      <c r="W54" s="59" t="str">
        <f>[1]Sheet1!W54</f>
        <v>No</v>
      </c>
      <c r="X54" s="59" t="str">
        <f>[1]Sheet1!X54</f>
        <v>No cuantificado o S/0</v>
      </c>
      <c r="Y54" s="59"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59"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59">
        <f>[1]Sheet1!AA54</f>
        <v>1.2000000000000002</v>
      </c>
    </row>
    <row r="55" spans="1:27" ht="45.95" customHeight="1">
      <c r="A55" s="59">
        <f>[1]Sheet1!A55</f>
        <v>77</v>
      </c>
      <c r="B55" s="220">
        <f>[1]Sheet1!B55</f>
        <v>46099.589618055601</v>
      </c>
      <c r="C55" s="220">
        <f>[1]Sheet1!C55</f>
        <v>46099.6251388889</v>
      </c>
      <c r="D55" s="59" t="str">
        <f>[1]Sheet1!D55</f>
        <v>amador.pfuro@laureate.pe</v>
      </c>
      <c r="E55" s="59" t="str">
        <f>[1]Sheet1!E55</f>
        <v>Amador Pfuro Tapia</v>
      </c>
      <c r="F55" s="59" t="str">
        <f>[1]Sheet1!F55</f>
        <v>Mejora en la Plataforma de Sostenibilidad</v>
      </c>
      <c r="G55" s="59"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59" t="str">
        <f>[1]Sheet1!H55</f>
        <v>UPC</v>
      </c>
      <c r="I55" s="59" t="str">
        <f>[1]Sheet1!I55</f>
        <v>Claudia Cabrera - VP Comunicaciones</v>
      </c>
      <c r="J55" s="59" t="str">
        <f>[1]Sheet1!J55</f>
        <v xml:space="preserve">Marizoila Fontana </v>
      </c>
      <c r="K55" s="59">
        <f>[1]Sheet1!K55</f>
        <v>0</v>
      </c>
      <c r="L55" s="59" t="str">
        <f>[1]Sheet1!L55</f>
        <v>Ángela Lucano</v>
      </c>
      <c r="M55" s="68">
        <f>[1]Sheet1!M55</f>
        <v>46122</v>
      </c>
      <c r="N55" s="68" t="str">
        <f>[1]Sheet1!N55</f>
        <v>No</v>
      </c>
      <c r="O55" s="59">
        <f>[1]Sheet1!O55</f>
        <v>0</v>
      </c>
      <c r="P55" s="59">
        <f>[1]Sheet1!P55</f>
        <v>0</v>
      </c>
      <c r="Q55" s="59" t="str">
        <f>[1]Sheet1!Q55</f>
        <v>Otro</v>
      </c>
      <c r="R55" s="59"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59">
        <f>[1]Sheet1!S55</f>
        <v>0</v>
      </c>
      <c r="T55" s="59"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59" t="str">
        <f>[1]Sheet1!U55</f>
        <v>Administrativos</v>
      </c>
      <c r="V55" s="59" t="str">
        <f>[1]Sheet1!V55</f>
        <v>Excelencia operativa</v>
      </c>
      <c r="W55" s="59" t="str">
        <f>[1]Sheet1!W55</f>
        <v>No</v>
      </c>
      <c r="X55" s="59" t="str">
        <f>[1]Sheet1!X55</f>
        <v>No cuantificado o S/0</v>
      </c>
      <c r="Y55" s="59" t="str">
        <f>[1]Sheet1!Y55</f>
        <v>Mejora en la calidad, trazabilidad y confiabilidad de la información registrada, reduciendo errores, reprocesos y riesgos asociados a inconsistencias en auditorías, reportes externos y decisiones de alta dirección.</v>
      </c>
      <c r="Z55" s="59" t="str">
        <f>[1]Sheet1!Z55</f>
        <v>https://educorpperu-my.sharepoint.com/personal/diana_zapata_laureate_pe1/_layouts/15/Doc.aspx?sourcedoc=%7BFCB7DE8D-4941-4103-BDAE-025062FE0577%7D&amp;file=Solicitud%20de%20requerimientos%20Idea%20nueva%20y%20mejo_Amador%20Pfuro%20Tapia.pptx&amp;action=edit&amp;mobileredirect=true</v>
      </c>
      <c r="AA55" s="59">
        <f>[1]Sheet1!AA55</f>
        <v>0.45000000000000007</v>
      </c>
    </row>
    <row r="56" spans="1:27" ht="45.95" customHeight="1">
      <c r="A56" s="59">
        <f>[1]Sheet1!A56</f>
        <v>78</v>
      </c>
      <c r="B56" s="220">
        <f>[1]Sheet1!B56</f>
        <v>46098.392349537004</v>
      </c>
      <c r="C56" s="220">
        <f>[1]Sheet1!C56</f>
        <v>46101.478703703702</v>
      </c>
      <c r="D56" s="59" t="str">
        <f>[1]Sheet1!D56</f>
        <v>angela.lucano@upc.pe</v>
      </c>
      <c r="E56" s="59" t="str">
        <f>[1]Sheet1!E56</f>
        <v>Angela Lucano Carranza</v>
      </c>
      <c r="F56" s="59" t="str">
        <f>[1]Sheet1!F56</f>
        <v>Mejora del Reporte de Matriculados de Licencias Coursera (Sólo matriculados)</v>
      </c>
      <c r="G56" s="59"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59" t="str">
        <f>[1]Sheet1!H56</f>
        <v>UPC</v>
      </c>
      <c r="I56" s="59" t="str">
        <f>[1]Sheet1!I56</f>
        <v>Mónica García - VP Operaciones Digitales y Online</v>
      </c>
      <c r="J56" s="59" t="str">
        <f>[1]Sheet1!J56</f>
        <v xml:space="preserve">Soledad Alfaro </v>
      </c>
      <c r="K56" s="59">
        <f>[1]Sheet1!K56</f>
        <v>0</v>
      </c>
      <c r="L56" s="59" t="str">
        <f>[1]Sheet1!L56</f>
        <v>Ángela Lucano</v>
      </c>
      <c r="M56" s="68">
        <f>[1]Sheet1!M56</f>
        <v>46234</v>
      </c>
      <c r="N56" s="68" t="str">
        <f>[1]Sheet1!N56</f>
        <v>No</v>
      </c>
      <c r="O56" s="59">
        <f>[1]Sheet1!O56</f>
        <v>0</v>
      </c>
      <c r="P56" s="59">
        <f>[1]Sheet1!P56</f>
        <v>0</v>
      </c>
      <c r="Q56" s="59" t="str">
        <f>[1]Sheet1!Q56</f>
        <v>Otro</v>
      </c>
      <c r="R56" s="59"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59">
        <f>[1]Sheet1!S56</f>
        <v>0</v>
      </c>
      <c r="T56" s="59"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59" t="str">
        <f>[1]Sheet1!U56</f>
        <v>Administrativos</v>
      </c>
      <c r="V56" s="59" t="str">
        <f>[1]Sheet1!V56</f>
        <v>Excelencia operativa</v>
      </c>
      <c r="W56" s="59" t="str">
        <f>[1]Sheet1!W56</f>
        <v>Si</v>
      </c>
      <c r="X56" s="59" t="str">
        <f>[1]Sheet1!X56</f>
        <v>Menor a S/100,000.00</v>
      </c>
      <c r="Y56" s="59"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59" t="str">
        <f>[1]Sheet1!Z56</f>
        <v>https://educorpperu-my.sharepoint.com/personal/diana_zapata_laureate_pe1/_layouts/15/Doc.aspx?sourcedoc=%7B1E80FFDC-3F4D-4CFD-82C9-69626EE634C9%7D&amp;file=Plantilla%20Solicitud%20de%20requerimientos%20Reporte_Angela%20Lucano%20Carran.pptx&amp;action=edit&amp;mobileredirect=true</v>
      </c>
      <c r="AA56" s="59">
        <f>[1]Sheet1!AA56</f>
        <v>0.75000000000000011</v>
      </c>
    </row>
    <row r="57" spans="1:27" ht="45.95" customHeight="1">
      <c r="A57" s="59">
        <f>[1]Sheet1!A57</f>
        <v>79</v>
      </c>
      <c r="B57" s="220">
        <f>[1]Sheet1!B57</f>
        <v>46101.478958333297</v>
      </c>
      <c r="C57" s="220">
        <f>[1]Sheet1!C57</f>
        <v>46101.485960648097</v>
      </c>
      <c r="D57" s="59" t="str">
        <f>[1]Sheet1!D57</f>
        <v>angela.lucano@upc.pe</v>
      </c>
      <c r="E57" s="59" t="str">
        <f>[1]Sheet1!E57</f>
        <v>Angela Lucano Carranza</v>
      </c>
      <c r="F57" s="59" t="str">
        <f>[1]Sheet1!F57</f>
        <v>Mejora del Reporte de Matriculados de Licencias Coursera (Sólo notas)</v>
      </c>
      <c r="G57" s="59"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59" t="str">
        <f>[1]Sheet1!H57</f>
        <v>UPC</v>
      </c>
      <c r="I57" s="59" t="str">
        <f>[1]Sheet1!I57</f>
        <v>Mónica García - VP Operaciones Digitales y Online</v>
      </c>
      <c r="J57" s="59" t="str">
        <f>[1]Sheet1!J57</f>
        <v xml:space="preserve">Soledad Alfaro </v>
      </c>
      <c r="K57" s="59">
        <f>[1]Sheet1!K57</f>
        <v>0</v>
      </c>
      <c r="L57" s="59" t="str">
        <f>[1]Sheet1!L57</f>
        <v>Ángela Lucano</v>
      </c>
      <c r="M57" s="68">
        <f>[1]Sheet1!M57</f>
        <v>46234</v>
      </c>
      <c r="N57" s="68" t="str">
        <f>[1]Sheet1!N57</f>
        <v>No</v>
      </c>
      <c r="O57" s="59">
        <f>[1]Sheet1!O57</f>
        <v>0</v>
      </c>
      <c r="P57" s="59">
        <f>[1]Sheet1!P57</f>
        <v>0</v>
      </c>
      <c r="Q57" s="59" t="str">
        <f>[1]Sheet1!Q57</f>
        <v>Otro</v>
      </c>
      <c r="R57" s="59"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59">
        <f>[1]Sheet1!S57</f>
        <v>0</v>
      </c>
      <c r="T57" s="59" t="str">
        <f>[1]Sheet1!T57</f>
        <v>Proceso de seguimiento académico y comunicación personalizada a estudiantes (solo en el caso de notas)
Proceso de generación de reportes de cierre de ciclo (matrículas + notas)</v>
      </c>
      <c r="U57" s="59">
        <f>[1]Sheet1!U57</f>
        <v>0</v>
      </c>
      <c r="V57" s="59" t="str">
        <f>[1]Sheet1!V57</f>
        <v>Excelencia operativa</v>
      </c>
      <c r="W57" s="59" t="str">
        <f>[1]Sheet1!W57</f>
        <v>Si</v>
      </c>
      <c r="X57" s="59">
        <f>[1]Sheet1!X57</f>
        <v>0</v>
      </c>
      <c r="Y57" s="59" t="str">
        <f>[1]Sheet1!Y57</f>
        <v>Entrega de comunicaciones personalizadas a estudiantes sobre su avance.</v>
      </c>
      <c r="Z57" s="59" t="str">
        <f>[1]Sheet1!Z57</f>
        <v>https://educorpperu-my.sharepoint.com/personal/diana_zapata_laureate_pe1/_layouts/15/Doc.aspx?sourcedoc=%7BCABC557D-B48D-48A5-97C3-D586FDCFB6EB%7D&amp;file=Plantilla%20Solicitud%20de%20requerimientos%20Reporte_Angela%20Lucano%20Carran%201.pptx&amp;action=edit&amp;mobileredirect=true</v>
      </c>
      <c r="AA57" s="59">
        <f>[1]Sheet1!AA57</f>
        <v>0.30000000000000004</v>
      </c>
    </row>
    <row r="58" spans="1:27" ht="45.95" customHeight="1">
      <c r="A58" s="59">
        <f>[1]Sheet1!A58</f>
        <v>80</v>
      </c>
      <c r="B58" s="220">
        <f>[1]Sheet1!B58</f>
        <v>46105.570034722201</v>
      </c>
      <c r="C58" s="220">
        <f>[1]Sheet1!C58</f>
        <v>46105.588645833297</v>
      </c>
      <c r="D58" s="59" t="str">
        <f>[1]Sheet1!D58</f>
        <v>gerson.vereau@upn.edu.pe</v>
      </c>
      <c r="E58" s="59" t="str">
        <f>[1]Sheet1!E58</f>
        <v>Gerson Vereau Rosas</v>
      </c>
      <c r="F58" s="59" t="str">
        <f>[1]Sheet1!F58</f>
        <v>MODIFICACION DE CAMPO OBLIGATORIO EN LIBRO VIRTUAL DE RECLAMACIONES UPN</v>
      </c>
      <c r="G58" s="59" t="str">
        <f>[1]Sheet1!G58</f>
        <v xml:space="preserve">Configurar el campo EMAIL del formulario virtual del libro de reclamaciones para que no tenga la condición de obligatorio. Además que se configure un Push-up donde se muestre un texto que invite a registrar un correo electrónico
</v>
      </c>
      <c r="H58" s="59" t="str">
        <f>[1]Sheet1!H58</f>
        <v>UPN</v>
      </c>
      <c r="I58" s="59" t="str">
        <f>[1]Sheet1!I58</f>
        <v>Álvaro Valdez - VP Operaciones</v>
      </c>
      <c r="J58" s="59" t="str">
        <f>[1]Sheet1!J58</f>
        <v xml:space="preserve">Luis Roncal </v>
      </c>
      <c r="K58" s="59">
        <f>[1]Sheet1!K58</f>
        <v>0</v>
      </c>
      <c r="L58" s="59" t="str">
        <f>[1]Sheet1!L58</f>
        <v>Gerson Vereau</v>
      </c>
      <c r="M58" s="68">
        <f>[1]Sheet1!M58</f>
        <v>46118</v>
      </c>
      <c r="N58" s="68" t="str">
        <f>[1]Sheet1!N58</f>
        <v>No</v>
      </c>
      <c r="O58" s="59">
        <f>[1]Sheet1!O58</f>
        <v>0</v>
      </c>
      <c r="P58" s="59">
        <f>[1]Sheet1!P58</f>
        <v>0</v>
      </c>
      <c r="Q58" s="59" t="str">
        <f>[1]Sheet1!Q58</f>
        <v>Otro</v>
      </c>
      <c r="R58" s="59"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59">
        <f>[1]Sheet1!S58</f>
        <v>0</v>
      </c>
      <c r="T58" s="59" t="str">
        <f>[1]Sheet1!T58</f>
        <v>Proceso de Gestión de quejas y reclamos de estudiantes.</v>
      </c>
      <c r="U58" s="59">
        <f>[1]Sheet1!U58</f>
        <v>0</v>
      </c>
      <c r="V58" s="59" t="str">
        <f>[1]Sheet1!V58</f>
        <v>Excelencia Operativa</v>
      </c>
      <c r="W58" s="59" t="str">
        <f>[1]Sheet1!W58</f>
        <v>No</v>
      </c>
      <c r="X58" s="59">
        <f>[1]Sheet1!X58</f>
        <v>0</v>
      </c>
      <c r="Y58" s="59"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59" t="str">
        <f>[1]Sheet1!Z58</f>
        <v>https://educorpperu-my.sharepoint.com/personal/diana_zapata_laureate_pe1/_layouts/15/Doc.aspx?sourcedoc=%7BC9D14665-0CC6-4BCF-854A-0BBA05E5B0A2%7D&amp;file=Solicitud%20de%20requerimientos%20Idea%20nueva%20y%20mejo_Gerson%20Vereau%20Rosas.pptx&amp;action=edit&amp;mobileredirect=true</v>
      </c>
      <c r="AA58" s="59">
        <f>[1]Sheet1!AA58</f>
        <v>0.30000000000000004</v>
      </c>
    </row>
    <row r="59" spans="1:27" ht="45.95" customHeight="1">
      <c r="A59" s="59">
        <f>[1]Sheet1!A59</f>
        <v>81</v>
      </c>
      <c r="B59" s="220">
        <f>[1]Sheet1!B59</f>
        <v>46105.575358796297</v>
      </c>
      <c r="C59" s="220">
        <f>[1]Sheet1!C59</f>
        <v>46105.606215277803</v>
      </c>
      <c r="D59" s="59" t="str">
        <f>[1]Sheet1!D59</f>
        <v>carla.arias@upn.edu.pe</v>
      </c>
      <c r="E59" s="59" t="str">
        <f>[1]Sheet1!E59</f>
        <v>Carla Arias Schreiber Ulloa</v>
      </c>
      <c r="F59" s="59" t="str">
        <f>[1]Sheet1!F59</f>
        <v>Automatización de Programación UPN</v>
      </c>
      <c r="G59" s="59"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59" t="str">
        <f>[1]Sheet1!H59</f>
        <v>UPN</v>
      </c>
      <c r="I59" s="59" t="str">
        <f>[1]Sheet1!I59</f>
        <v>Martín Santana - Rectorado UPN</v>
      </c>
      <c r="J59" s="59" t="str">
        <f>[1]Sheet1!J59</f>
        <v xml:space="preserve">Janeth Albujar </v>
      </c>
      <c r="K59" s="59">
        <f>[1]Sheet1!K59</f>
        <v>0</v>
      </c>
      <c r="L59" s="59" t="str">
        <f>[1]Sheet1!L59</f>
        <v>Carla Arias-Schreiber</v>
      </c>
      <c r="M59" s="68">
        <f>[1]Sheet1!M59</f>
        <v>46356</v>
      </c>
      <c r="N59" s="68" t="str">
        <f>[1]Sheet1!N59</f>
        <v>Si</v>
      </c>
      <c r="O59" s="59" t="str">
        <f>[1]Sheet1!O59</f>
        <v>Academic Managment</v>
      </c>
      <c r="P59" s="59">
        <f>[1]Sheet1!P59</f>
        <v>76290</v>
      </c>
      <c r="Q59" s="59" t="str">
        <f>[1]Sheet1!Q59</f>
        <v>Otro</v>
      </c>
      <c r="R59" s="59"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59">
        <f>[1]Sheet1!S59</f>
        <v>0</v>
      </c>
      <c r="T59" s="59" t="str">
        <f>[1]Sheet1!T59</f>
        <v>Estimación de demanda
Planificación y programación de horarios
Matrícula de estudiantes (nuevos, continuos, reingresos)
Alcance UG/ WA, en todas las modalidades de dictado.</v>
      </c>
      <c r="U59" s="59">
        <f>[1]Sheet1!U59</f>
        <v>0</v>
      </c>
      <c r="V59" s="59" t="str">
        <f>[1]Sheet1!V59</f>
        <v>Excelencia operativa</v>
      </c>
      <c r="W59" s="59" t="str">
        <f>[1]Sheet1!W59</f>
        <v>No</v>
      </c>
      <c r="X59" s="59">
        <f>[1]Sheet1!X59</f>
        <v>0</v>
      </c>
      <c r="Y59" s="59" t="str">
        <f>[1]Sheet1!Y59</f>
        <v>Demanda confiable
Evitar tantas adecuaciones de programación durante la matrícula
Matrícula más fluida</v>
      </c>
      <c r="Z59" s="59"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59">
        <f>[1]Sheet1!AA59</f>
        <v>1.8</v>
      </c>
    </row>
    <row r="60" spans="1:27" ht="45.95" customHeight="1">
      <c r="A60" s="59">
        <f>[1]Sheet1!A60</f>
        <v>82</v>
      </c>
      <c r="B60" s="220">
        <f>[1]Sheet1!B60</f>
        <v>46106.062025462998</v>
      </c>
      <c r="C60" s="220">
        <f>[1]Sheet1!C60</f>
        <v>46106.067824074104</v>
      </c>
      <c r="D60" s="149" t="str">
        <f>[1]Sheet1!D60</f>
        <v>jose.herbozo@upn.edu.pe</v>
      </c>
      <c r="E60" s="149" t="str">
        <f>[1]Sheet1!E60</f>
        <v>Jose Paredes Herbozo</v>
      </c>
      <c r="F60" s="149" t="str">
        <f>[1]Sheet1!F60</f>
        <v>B2B inhouse - Ajuste para que en las facturas muestren la descripción del nombre del programa que se está vendiendo</v>
      </c>
      <c r="G60" s="149" t="str">
        <f>[1]Sheet1!G60</f>
        <v>Que las facturas de UPN emitidas de programas de posgrado y/o Programas Inhouse detallen el nombre largo del programa en las facturas que generamos para venta B2B.</v>
      </c>
      <c r="H60" s="149" t="str">
        <f>[1]Sheet1!H60</f>
        <v>UPN</v>
      </c>
      <c r="I60" s="149" t="str">
        <f>[1]Sheet1!I60</f>
        <v>Ivan Olivares - VP Marketing y Comercial</v>
      </c>
      <c r="J60" s="149" t="str">
        <f>[1]Sheet1!J60</f>
        <v>Tatiana Chiock</v>
      </c>
      <c r="K60" s="59">
        <f>[1]Sheet1!K60</f>
        <v>0</v>
      </c>
      <c r="L60" s="149" t="str">
        <f>[1]Sheet1!L60</f>
        <v>Jose Paredes</v>
      </c>
      <c r="M60" s="151">
        <f>[1]Sheet1!M60</f>
        <v>46127</v>
      </c>
      <c r="N60" s="151" t="str">
        <f>[1]Sheet1!N60</f>
        <v>Si</v>
      </c>
      <c r="O60" s="221" t="str">
        <f>[1]Sheet1!O60</f>
        <v>Revenue Growth</v>
      </c>
      <c r="P60" s="221">
        <f>[1]Sheet1!P60</f>
        <v>77418</v>
      </c>
      <c r="Q60" s="149" t="str">
        <f>[1]Sheet1!Q60</f>
        <v>Otro</v>
      </c>
      <c r="R60" s="221" t="str">
        <f>[1]Sheet1!R60</f>
        <v>Que las facturas de UPN emitidas de programas de posgrado y/o Programas Inhouse detallen el nombre largo del programa en las facturas emitidas a B2B</v>
      </c>
      <c r="S60" s="149">
        <f>[1]Sheet1!S60</f>
        <v>0</v>
      </c>
      <c r="T60" s="149" t="str">
        <f>[1]Sheet1!T60</f>
        <v>Venta B2B, facturación</v>
      </c>
      <c r="U60" s="149">
        <f>[1]Sheet1!U60</f>
        <v>0</v>
      </c>
      <c r="V60" s="149" t="str">
        <f>[1]Sheet1!V60</f>
        <v>Crecimiento escalable</v>
      </c>
      <c r="W60" s="149" t="str">
        <f>[1]Sheet1!W60</f>
        <v>No</v>
      </c>
      <c r="X60" s="149">
        <f>[1]Sheet1!X60</f>
        <v>0</v>
      </c>
      <c r="Y60" s="149" t="str">
        <f>[1]Sheet1!Y60</f>
        <v xml:space="preserve">Revenue estimado high level 500K PEN
</v>
      </c>
      <c r="Z60" s="59"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59">
        <f>[1]Sheet1!AA60</f>
        <v>2</v>
      </c>
    </row>
    <row r="61" spans="1:27" ht="45.95" customHeight="1">
      <c r="A61" s="59">
        <f>[1]Sheet1!A61</f>
        <v>83</v>
      </c>
      <c r="B61" s="220">
        <f>[1]Sheet1!B61</f>
        <v>46106.067951388897</v>
      </c>
      <c r="C61" s="220">
        <f>[1]Sheet1!C61</f>
        <v>46106.080798611103</v>
      </c>
      <c r="D61" s="149" t="str">
        <f>[1]Sheet1!D61</f>
        <v>jose.herbozo@upn.edu.pe</v>
      </c>
      <c r="E61" s="149" t="str">
        <f>[1]Sheet1!E61</f>
        <v>Jose Paredes Herbozo</v>
      </c>
      <c r="F61" s="149" t="str">
        <f>[1]Sheet1!F61</f>
        <v>B2B inhouse - Implementar proceso en Banner que permita la ejecución masiva de las actividades de incorporación en Banner a la población de ingresantes B2B</v>
      </c>
      <c r="G61" s="149" t="str">
        <f>[1]Sheet1!G61</f>
        <v>Reducir tiempos de ventas para B2B</v>
      </c>
      <c r="H61" s="149" t="str">
        <f>[1]Sheet1!H61</f>
        <v>UPN</v>
      </c>
      <c r="I61" s="149" t="str">
        <f>[1]Sheet1!I61</f>
        <v>Ivan Olivares - VP Marketing y Comercial</v>
      </c>
      <c r="J61" s="149" t="str">
        <f>[1]Sheet1!J61</f>
        <v>Tatiana Chiock</v>
      </c>
      <c r="K61" s="59">
        <f>[1]Sheet1!K61</f>
        <v>0</v>
      </c>
      <c r="L61" s="149" t="str">
        <f>[1]Sheet1!L61</f>
        <v>Jose Paredes</v>
      </c>
      <c r="M61" s="151">
        <f>[1]Sheet1!M61</f>
        <v>46127</v>
      </c>
      <c r="N61" s="151" t="str">
        <f>[1]Sheet1!N61</f>
        <v>Si</v>
      </c>
      <c r="O61" s="221" t="str">
        <f>[1]Sheet1!O61</f>
        <v>Revenue Growth</v>
      </c>
      <c r="P61" s="221">
        <f>[1]Sheet1!P61</f>
        <v>77418</v>
      </c>
      <c r="Q61" s="149" t="str">
        <f>[1]Sheet1!Q61</f>
        <v>Otro</v>
      </c>
      <c r="R61" s="221" t="str">
        <f>[1]Sheet1!R61</f>
        <v>Actualmente la carga en Banner para B2B es manual, 1 a 1, esto hace un trabajo operativo muy grande.</v>
      </c>
      <c r="S61" s="149">
        <f>[1]Sheet1!S61</f>
        <v>0</v>
      </c>
      <c r="T61" s="149" t="str">
        <f>[1]Sheet1!T61</f>
        <v>Admisión B2B.</v>
      </c>
      <c r="U61" s="149">
        <f>[1]Sheet1!U61</f>
        <v>0</v>
      </c>
      <c r="V61" s="149" t="str">
        <f>[1]Sheet1!V61</f>
        <v>Crecimiento escalable</v>
      </c>
      <c r="W61" s="149" t="str">
        <f>[1]Sheet1!W61</f>
        <v>No</v>
      </c>
      <c r="X61" s="149">
        <f>[1]Sheet1!X61</f>
        <v>0</v>
      </c>
      <c r="Y61" s="149" t="str">
        <f>[1]Sheet1!Y61</f>
        <v>Reducción en la operación e incremento en agilidad de venta.</v>
      </c>
      <c r="Z61" s="59"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59">
        <f>[1]Sheet1!AA61</f>
        <v>2</v>
      </c>
    </row>
    <row r="62" spans="1:27" ht="45.95" customHeight="1">
      <c r="A62" s="59">
        <f>[1]Sheet1!A62</f>
        <v>84</v>
      </c>
      <c r="B62" s="220">
        <f>[1]Sheet1!B62</f>
        <v>46106.080833333297</v>
      </c>
      <c r="C62" s="220">
        <f>[1]Sheet1!C62</f>
        <v>46106.090543981503</v>
      </c>
      <c r="D62" s="149" t="str">
        <f>[1]Sheet1!D62</f>
        <v>jose.herbozo@upn.edu.pe</v>
      </c>
      <c r="E62" s="149" t="str">
        <f>[1]Sheet1!E62</f>
        <v>Jose Paredes Herbozo</v>
      </c>
      <c r="F62" s="149" t="str">
        <f>[1]Sheet1!F62</f>
        <v>Modificación de regla en CRM cuando se ingrese un lead con fuente de ingreso mixta</v>
      </c>
      <c r="G62" s="149"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149" t="str">
        <f>[1]Sheet1!H62</f>
        <v>UPN</v>
      </c>
      <c r="I62" s="149" t="str">
        <f>[1]Sheet1!I62</f>
        <v>Ivan Olivares - VP Marketing y Comercial</v>
      </c>
      <c r="J62" s="149" t="str">
        <f>[1]Sheet1!J62</f>
        <v>José Chojeda</v>
      </c>
      <c r="K62" s="59">
        <f>[1]Sheet1!K62</f>
        <v>0</v>
      </c>
      <c r="L62" s="149" t="str">
        <f>[1]Sheet1!L62</f>
        <v>Jose Paredes</v>
      </c>
      <c r="M62" s="151">
        <f>[1]Sheet1!M62</f>
        <v>46127</v>
      </c>
      <c r="N62" s="151" t="str">
        <f>[1]Sheet1!N62</f>
        <v>No</v>
      </c>
      <c r="O62" s="221">
        <f>[1]Sheet1!O62</f>
        <v>0</v>
      </c>
      <c r="P62" s="221">
        <f>[1]Sheet1!P62</f>
        <v>0</v>
      </c>
      <c r="Q62" s="221" t="str">
        <f>[1]Sheet1!Q62</f>
        <v>Otro</v>
      </c>
      <c r="R62" s="221" t="str">
        <f>[1]Sheet1!R62</f>
        <v>Actualmente el número de celular de un lead mixto no se está actualizando con la última información.</v>
      </c>
      <c r="S62" s="149">
        <f>[1]Sheet1!S62</f>
        <v>0</v>
      </c>
      <c r="T62" s="149" t="str">
        <f>[1]Sheet1!T62</f>
        <v>Admisión</v>
      </c>
      <c r="U62" s="149" t="str">
        <f>[1]Sheet1!U62</f>
        <v>Administrativos</v>
      </c>
      <c r="V62" s="149" t="str">
        <f>[1]Sheet1!V62</f>
        <v>Crecimiento escalable</v>
      </c>
      <c r="W62" s="149" t="str">
        <f>[1]Sheet1!W62</f>
        <v>No</v>
      </c>
      <c r="X62" s="149" t="str">
        <f>[1]Sheet1!X62</f>
        <v>No cuantificado o S/0</v>
      </c>
      <c r="Y62" s="149" t="str">
        <f>[1]Sheet1!Y62</f>
        <v xml:space="preserve">Impacto en ventas directo al tener el último número de celular ingresado por el negocio. </v>
      </c>
      <c r="Z62" s="59" t="str">
        <f>[1]Sheet1!Z62</f>
        <v>https://educorpperu-my.sharepoint.com/personal/diana_zapata_laureate_pe1/_layouts/15/Doc.aspx?sourcedoc=%7B6B191BF9-63B5-46D3-94DE-F8FA06426D61%7D&amp;file=SOLICITUD%20CAMPOS%20UTM%20MADURACI%C3%93N%20-%20MODIFICACIO_Jose%20Paredes%20Herbozo.pptx&amp;action=edit&amp;mobileredirect=true</v>
      </c>
      <c r="AA62" s="59">
        <f>[1]Sheet1!AA62</f>
        <v>0.65</v>
      </c>
    </row>
    <row r="63" spans="1:27" ht="45.95" customHeight="1">
      <c r="A63" s="59">
        <f>[1]Sheet1!A63</f>
        <v>85</v>
      </c>
      <c r="B63" s="220">
        <f>[1]Sheet1!B63</f>
        <v>46105.588715277801</v>
      </c>
      <c r="C63" s="220">
        <f>[1]Sheet1!C63</f>
        <v>46106.476041666698</v>
      </c>
      <c r="D63" s="149" t="str">
        <f>[1]Sheet1!D63</f>
        <v>gerson.vereau@upn.edu.pe</v>
      </c>
      <c r="E63" s="149" t="str">
        <f>[1]Sheet1!E63</f>
        <v>Gerson Vereau Rosas</v>
      </c>
      <c r="F63" s="149" t="str">
        <f>[1]Sheet1!F63</f>
        <v>Implementación de encuesta de satisfacción post atención y base de datos en canal telefónico UPN</v>
      </c>
      <c r="G63" s="149"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149" t="str">
        <f>[1]Sheet1!H63</f>
        <v>UPN</v>
      </c>
      <c r="I63" s="149" t="str">
        <f>[1]Sheet1!I63</f>
        <v>Mónica García - VP Operaciones Digitales y Online</v>
      </c>
      <c r="J63" s="149" t="str">
        <f>[1]Sheet1!J63</f>
        <v xml:space="preserve">Luis Roncal </v>
      </c>
      <c r="K63" s="59">
        <f>[1]Sheet1!K63</f>
        <v>0</v>
      </c>
      <c r="L63" s="149" t="str">
        <f>[1]Sheet1!L63</f>
        <v>Ángela Lucano</v>
      </c>
      <c r="M63" s="151">
        <f>[1]Sheet1!M63</f>
        <v>46142</v>
      </c>
      <c r="N63" s="151" t="str">
        <f>[1]Sheet1!N63</f>
        <v>No</v>
      </c>
      <c r="O63" s="221">
        <f>[1]Sheet1!O63</f>
        <v>0</v>
      </c>
      <c r="P63" s="221">
        <f>[1]Sheet1!P63</f>
        <v>0</v>
      </c>
      <c r="Q63" s="221" t="str">
        <f>[1]Sheet1!Q63</f>
        <v>Otro</v>
      </c>
      <c r="R63" s="221" t="str">
        <f>[1]Sheet1!R63</f>
        <v>Es una encuesta manual, el desafío es poder levantar la satisfacción del alumno y reducir las horas hombre al trabajar el resultado (es un paso más en el equipo).</v>
      </c>
      <c r="S63" s="149">
        <f>[1]Sheet1!S63</f>
        <v>0</v>
      </c>
      <c r="T63" s="149" t="str">
        <f>[1]Sheet1!T63</f>
        <v>Proceso de atención al estudiante</v>
      </c>
      <c r="U63" s="149">
        <f>[1]Sheet1!U63</f>
        <v>0</v>
      </c>
      <c r="V63" s="149" t="str">
        <f>[1]Sheet1!V63</f>
        <v>Excelencia Operativa</v>
      </c>
      <c r="W63" s="149" t="str">
        <f>[1]Sheet1!W63</f>
        <v>No</v>
      </c>
      <c r="X63" s="149">
        <f>[1]Sheet1!X63</f>
        <v>0</v>
      </c>
      <c r="Y63" s="149" t="str">
        <f>[1]Sheet1!Y63</f>
        <v>Mejora la satisfacción del estudiante</v>
      </c>
      <c r="Z63" s="59" t="str">
        <f>[1]Sheet1!Z63</f>
        <v>https://educorpperu-my.sharepoint.com/personal/diana_zapata_laureate_pe1/_layouts/15/Doc.aspx?sourcedoc=%7B01D400AE-5DCC-421A-BCC5-3D78CDFEB12A%7D&amp;file=SOLICITUD%20DE%20REQUERIMIENTOS%20(1)_Gerson%20Vereau%20Rosas.pptx&amp;action=edit&amp;mobileredirect=true</v>
      </c>
      <c r="AA63" s="59">
        <f>[1]Sheet1!AA63</f>
        <v>0.30000000000000004</v>
      </c>
    </row>
    <row r="64" spans="1:27" ht="45.95" customHeight="1">
      <c r="A64" s="59">
        <f>[1]Sheet1!A64</f>
        <v>86</v>
      </c>
      <c r="B64" s="220">
        <f>[1]Sheet1!B64</f>
        <v>46106.524722222202</v>
      </c>
      <c r="C64" s="220">
        <f>[1]Sheet1!C64</f>
        <v>46106.537141203698</v>
      </c>
      <c r="D64" s="221" t="str">
        <f>[1]Sheet1!D64</f>
        <v>gerson.vereau@upn.edu.pe</v>
      </c>
      <c r="E64" s="221" t="str">
        <f>[1]Sheet1!E64</f>
        <v>Gerson Vereau Rosas</v>
      </c>
      <c r="F64" s="221" t="str">
        <f>[1]Sheet1!F64</f>
        <v>Ajustar query Reporte R2 que servirá como como input para la generación del RPA de Validación de Egreso (fase 2)</v>
      </c>
      <c r="G64" s="221" t="str">
        <f>[1]Sheet1!G64</f>
        <v>Contar con el reporte que sirve como input para la generación del RPA de Validación de Egreso (fase 2) que actualmente se viene trabajando con el equipo de Automatización de Procesos y está detenido porque se requiere este ajuste en la Query.</v>
      </c>
      <c r="H64" s="221" t="str">
        <f>[1]Sheet1!H64</f>
        <v>UPN</v>
      </c>
      <c r="I64" s="221" t="str">
        <f>[1]Sheet1!I64</f>
        <v>Martín Santana - Rectorado UPN</v>
      </c>
      <c r="J64" s="221" t="str">
        <f>[1]Sheet1!J64</f>
        <v xml:space="preserve">Carlos Diez </v>
      </c>
      <c r="K64" s="59">
        <f>[1]Sheet1!K64</f>
        <v>0</v>
      </c>
      <c r="L64" s="221" t="str">
        <f>[1]Sheet1!L64</f>
        <v>Carla Arias-Schreiber</v>
      </c>
      <c r="M64" s="151">
        <f>[1]Sheet1!M64</f>
        <v>46218</v>
      </c>
      <c r="N64" s="151" t="str">
        <f>[1]Sheet1!N64</f>
        <v>No</v>
      </c>
      <c r="O64" s="221">
        <f>[1]Sheet1!O64</f>
        <v>0</v>
      </c>
      <c r="P64" s="221">
        <f>[1]Sheet1!P64</f>
        <v>0</v>
      </c>
      <c r="Q64" s="221" t="str">
        <f>[1]Sheet1!Q64</f>
        <v>Normativa</v>
      </c>
      <c r="R64" s="221"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221">
        <f>[1]Sheet1!S64</f>
        <v>0</v>
      </c>
      <c r="T64" s="221" t="str">
        <f>[1]Sheet1!T64</f>
        <v>Proceso de egreso estudiantes</v>
      </c>
      <c r="U64" s="221">
        <f>[1]Sheet1!U64</f>
        <v>0</v>
      </c>
      <c r="V64" s="221" t="str">
        <f>[1]Sheet1!V64</f>
        <v>Excelencia operativa</v>
      </c>
      <c r="W64" s="221" t="str">
        <f>[1]Sheet1!W64</f>
        <v>No</v>
      </c>
      <c r="X64" s="221">
        <f>[1]Sheet1!X64</f>
        <v>0</v>
      </c>
      <c r="Y64" s="221"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59"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59">
        <f>[1]Sheet1!AA64</f>
        <v>1.8</v>
      </c>
    </row>
    <row r="65" spans="1:27" ht="45.95" customHeight="1">
      <c r="A65" s="59">
        <f>[1]Sheet1!A65</f>
        <v>87</v>
      </c>
      <c r="B65" s="220">
        <f>[1]Sheet1!B65</f>
        <v>46106.532939814802</v>
      </c>
      <c r="C65" s="220">
        <f>[1]Sheet1!C65</f>
        <v>46106.551574074103</v>
      </c>
      <c r="D65" s="221" t="str">
        <f>[1]Sheet1!D65</f>
        <v>giancarlo.villacorta@upc.pe</v>
      </c>
      <c r="E65" s="221" t="str">
        <f>[1]Sheet1!E65</f>
        <v>Giancarlo Villacorta Quiñones</v>
      </c>
      <c r="F65" s="221" t="str">
        <f>[1]Sheet1!F65</f>
        <v>Activar el módulo “Matrícula en bloque” de Banner para la EPG.</v>
      </c>
      <c r="G65" s="221"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221" t="str">
        <f>[1]Sheet1!H65</f>
        <v>UPC</v>
      </c>
      <c r="I65" s="221" t="str">
        <f>[1]Sheet1!I65</f>
        <v>Milagros Morgan - Rectorado UPC</v>
      </c>
      <c r="J65" s="221" t="str">
        <f>[1]Sheet1!J65</f>
        <v>Miguel Chang</v>
      </c>
      <c r="K65" s="59">
        <f>[1]Sheet1!K65</f>
        <v>0</v>
      </c>
      <c r="L65" s="221" t="str">
        <f>[1]Sheet1!L65</f>
        <v>Giancarlo Villacorta</v>
      </c>
      <c r="M65" s="151">
        <f>[1]Sheet1!M65</f>
        <v>46127</v>
      </c>
      <c r="N65" s="151" t="str">
        <f>[1]Sheet1!N65</f>
        <v>No</v>
      </c>
      <c r="O65" s="221">
        <f>[1]Sheet1!O65</f>
        <v>0</v>
      </c>
      <c r="P65" s="221">
        <f>[1]Sheet1!P65</f>
        <v>0</v>
      </c>
      <c r="Q65" s="221" t="str">
        <f>[1]Sheet1!Q65</f>
        <v>Otro</v>
      </c>
      <c r="R65" s="221"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221">
        <f>[1]Sheet1!S65</f>
        <v>0</v>
      </c>
      <c r="T65" s="221" t="str">
        <f>[1]Sheet1!T65</f>
        <v>Proceso de matricula de la EPG, habilitación en blackboard, habilitación en Portal docente.</v>
      </c>
      <c r="U65" s="221">
        <f>[1]Sheet1!U65</f>
        <v>0</v>
      </c>
      <c r="V65" s="221" t="str">
        <f>[1]Sheet1!V65</f>
        <v>Excelencia Operativa;Calidad Académica;Innovación y Crecimiento</v>
      </c>
      <c r="W65" s="221" t="str">
        <f>[1]Sheet1!W65</f>
        <v>No</v>
      </c>
      <c r="X65" s="221">
        <f>[1]Sheet1!X65</f>
        <v>0</v>
      </c>
      <c r="Y65" s="221"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59">
        <f>[1]Sheet1!Z65</f>
        <v>0</v>
      </c>
      <c r="AA65" s="59">
        <f>[1]Sheet1!AA65</f>
        <v>0</v>
      </c>
    </row>
    <row r="66" spans="1:27" ht="45.95" customHeight="1">
      <c r="A66" s="59">
        <f>[1]Sheet1!A66</f>
        <v>88</v>
      </c>
      <c r="B66" s="220">
        <f>[1]Sheet1!B66</f>
        <v>46101.486909722204</v>
      </c>
      <c r="C66" s="220">
        <f>[1]Sheet1!C66</f>
        <v>46106.567800925899</v>
      </c>
      <c r="D66" s="221" t="str">
        <f>[1]Sheet1!D66</f>
        <v>angela.lucano@upc.pe</v>
      </c>
      <c r="E66" s="221" t="str">
        <f>[1]Sheet1!E66</f>
        <v>Angela Lucano Carranza</v>
      </c>
      <c r="F66" s="221" t="str">
        <f>[1]Sheet1!F66</f>
        <v>Implementación de un modelo de reportería integrado para la gestión del estudiante becado</v>
      </c>
      <c r="G66" s="221"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221" t="str">
        <f>[1]Sheet1!H66</f>
        <v>UPC</v>
      </c>
      <c r="I66" s="221" t="str">
        <f>[1]Sheet1!I66</f>
        <v>Milagros Morgan - Rectorado UPC</v>
      </c>
      <c r="J66" s="221" t="str">
        <f>[1]Sheet1!J66</f>
        <v xml:space="preserve">Maria Cifuentes Ramseyer </v>
      </c>
      <c r="K66" s="59">
        <f>[1]Sheet1!K66</f>
        <v>0</v>
      </c>
      <c r="L66" s="221" t="str">
        <f>[1]Sheet1!L66</f>
        <v>Ángela Lucano</v>
      </c>
      <c r="M66" s="151">
        <f>[1]Sheet1!M66</f>
        <v>46129</v>
      </c>
      <c r="N66" s="151" t="str">
        <f>[1]Sheet1!N66</f>
        <v>No</v>
      </c>
      <c r="O66" s="221">
        <f>[1]Sheet1!O66</f>
        <v>0</v>
      </c>
      <c r="P66" s="221">
        <f>[1]Sheet1!P66</f>
        <v>0</v>
      </c>
      <c r="Q66" s="221" t="str">
        <f>[1]Sheet1!Q66</f>
        <v>Otro</v>
      </c>
      <c r="R66" s="221"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221">
        <f>[1]Sheet1!S66</f>
        <v>0</v>
      </c>
      <c r="T66" s="221"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221">
        <f>[1]Sheet1!U66</f>
        <v>0</v>
      </c>
      <c r="V66" s="221" t="str">
        <f>[1]Sheet1!V66</f>
        <v>Excelencia Operativa</v>
      </c>
      <c r="W66" s="221" t="str">
        <f>[1]Sheet1!W66</f>
        <v>No</v>
      </c>
      <c r="X66" s="221">
        <f>[1]Sheet1!X66</f>
        <v>0</v>
      </c>
      <c r="Y66" s="221"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59" t="str">
        <f>[1]Sheet1!Z66</f>
        <v>https://educorpperu-my.sharepoint.com/personal/diana_zapata_laureate_pe1/_layouts/15/Doc.aspx?sourcedoc=%7B5B17155A-09DE-47FC-A6C2-359025EABBD4%7D&amp;file=Solicitud%20de%20requerimientos%20Idea%20nueva%20y%20mejo_Angela%20Lucano%20Carran.pptx&amp;action=edit&amp;mobileredirect=true</v>
      </c>
      <c r="AA66" s="59">
        <f>[1]Sheet1!AA66</f>
        <v>0.30000000000000004</v>
      </c>
    </row>
    <row r="67" spans="1:27" ht="45.95" customHeight="1">
      <c r="A67" s="59">
        <f>[1]Sheet1!A67</f>
        <v>89</v>
      </c>
      <c r="B67" s="220">
        <f>[1]Sheet1!B67</f>
        <v>46108.472812499997</v>
      </c>
      <c r="C67" s="220">
        <f>[1]Sheet1!C67</f>
        <v>46108.482928240701</v>
      </c>
      <c r="D67" s="221" t="str">
        <f>[1]Sheet1!D67</f>
        <v>gerson.vereau@upn.edu.pe</v>
      </c>
      <c r="E67" s="221" t="str">
        <f>[1]Sheet1!E67</f>
        <v>Gerson Vereau Rosas</v>
      </c>
      <c r="F67" s="221" t="str">
        <f>[1]Sheet1!F67</f>
        <v>Segmentar la visualización de NRC en matrícula en línea según perfil académico del estudiante</v>
      </c>
      <c r="G67" s="221"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221" t="str">
        <f>[1]Sheet1!H67</f>
        <v>UPN</v>
      </c>
      <c r="I67" s="221" t="str">
        <f>[1]Sheet1!I67</f>
        <v>Martín Santana - Rectorado UPN</v>
      </c>
      <c r="J67" s="221" t="str">
        <f>[1]Sheet1!J67</f>
        <v xml:space="preserve">Janeth Albujar </v>
      </c>
      <c r="K67" s="221">
        <f>[1]Sheet1!K67</f>
        <v>0</v>
      </c>
      <c r="L67" s="221" t="str">
        <f>[1]Sheet1!L67</f>
        <v>Carla Arias-Schreiber</v>
      </c>
      <c r="M67" s="151">
        <f>[1]Sheet1!M67</f>
        <v>46188</v>
      </c>
      <c r="N67" s="151" t="str">
        <f>[1]Sheet1!N67</f>
        <v>No</v>
      </c>
      <c r="O67" s="221">
        <f>[1]Sheet1!O67</f>
        <v>0</v>
      </c>
      <c r="P67" s="221">
        <f>[1]Sheet1!P67</f>
        <v>0</v>
      </c>
      <c r="Q67" s="221" t="str">
        <f>[1]Sheet1!Q67</f>
        <v>Otro</v>
      </c>
      <c r="R67" s="221"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221">
        <f>[1]Sheet1!S67</f>
        <v>0</v>
      </c>
      <c r="T67" s="221" t="str">
        <f>[1]Sheet1!T67</f>
        <v>Proceso de matrícula</v>
      </c>
      <c r="U67" s="221">
        <f>[1]Sheet1!U67</f>
        <v>0</v>
      </c>
      <c r="V67" s="221" t="str">
        <f>[1]Sheet1!V67</f>
        <v>Excelencia Operativa</v>
      </c>
      <c r="W67" s="221" t="str">
        <f>[1]Sheet1!W67</f>
        <v>No</v>
      </c>
      <c r="X67" s="221">
        <f>[1]Sheet1!X67</f>
        <v>0</v>
      </c>
      <c r="Y67" s="221" t="str">
        <f>[1]Sheet1!Y67</f>
        <v>Mejorar la experiencia del estudiante durante el proceso de matrícula</v>
      </c>
      <c r="Z67" s="59"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59">
        <f>[1]Sheet1!AA67</f>
        <v>0.30000000000000004</v>
      </c>
    </row>
    <row r="68" spans="1:27" ht="45.95" customHeight="1">
      <c r="A68" s="59">
        <f>[1]Sheet1!A68</f>
        <v>90</v>
      </c>
      <c r="B68" s="220">
        <f>[1]Sheet1!B68</f>
        <v>46111.731342592597</v>
      </c>
      <c r="C68" s="220">
        <f>[1]Sheet1!C68</f>
        <v>46111.7496875</v>
      </c>
      <c r="D68" s="221" t="str">
        <f>[1]Sheet1!D68</f>
        <v>fabiola.gorbina@laureate.pe</v>
      </c>
      <c r="E68" s="221" t="str">
        <f>[1]Sheet1!E68</f>
        <v>Fabiola Gorbina Llerena</v>
      </c>
      <c r="F68" s="221" t="str">
        <f>[1]Sheet1!F68</f>
        <v>Creación y migración de datos de padres en CRM desde formularios</v>
      </c>
      <c r="G68" s="221"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221" t="str">
        <f>[1]Sheet1!H68</f>
        <v>UPC</v>
      </c>
      <c r="I68" s="221" t="str">
        <f>[1]Sheet1!I68</f>
        <v>Ivan Olivares - VP Marketing y Comercial</v>
      </c>
      <c r="J68" s="221" t="str">
        <f>[1]Sheet1!J68</f>
        <v xml:space="preserve">Mónica Castañeda Herrera </v>
      </c>
      <c r="K68" s="221">
        <f>[1]Sheet1!K68</f>
        <v>0</v>
      </c>
      <c r="L68" s="221" t="str">
        <f>[1]Sheet1!L68</f>
        <v>Jose Paredes</v>
      </c>
      <c r="M68" s="151">
        <f>[1]Sheet1!M68</f>
        <v>46132</v>
      </c>
      <c r="N68" s="151" t="str">
        <f>[1]Sheet1!N68</f>
        <v>No</v>
      </c>
      <c r="O68" s="221">
        <f>[1]Sheet1!O68</f>
        <v>0</v>
      </c>
      <c r="P68" s="221">
        <f>[1]Sheet1!P68</f>
        <v>0</v>
      </c>
      <c r="Q68" s="221" t="str">
        <f>[1]Sheet1!Q68</f>
        <v>Otro</v>
      </c>
      <c r="R68" s="221"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221">
        <f>[1]Sheet1!S68</f>
        <v>0</v>
      </c>
      <c r="T68" s="221"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221" t="str">
        <f>[1]Sheet1!U68</f>
        <v>Administrativos</v>
      </c>
      <c r="V68" s="221" t="str">
        <f>[1]Sheet1!V68</f>
        <v>Excelencia operativa</v>
      </c>
      <c r="W68" s="221" t="str">
        <f>[1]Sheet1!W68</f>
        <v>No</v>
      </c>
      <c r="X68" s="221" t="str">
        <f>[1]Sheet1!X68</f>
        <v>No cuantificado o S/0</v>
      </c>
      <c r="Y68" s="221" t="str">
        <f>[1]Sheet1!Y68</f>
        <v>Reducción de errores y reprocesos manuales, agilizando la gestión de datos y garantizando información completa y confiable para la toma de decisiones comerciales y el seguimiento efectivo de los decisores clave.</v>
      </c>
      <c r="Z68" s="59"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59">
        <f>[1]Sheet1!AA68</f>
        <v>0.45000000000000007</v>
      </c>
    </row>
    <row r="69" spans="1:27" ht="45.95" customHeight="1">
      <c r="A69" s="59">
        <f>[1]Sheet1!A69</f>
        <v>91</v>
      </c>
      <c r="B69" s="220">
        <f>[1]Sheet1!B69</f>
        <v>46111.738842592596</v>
      </c>
      <c r="C69" s="220">
        <f>[1]Sheet1!C69</f>
        <v>46111.8370138889</v>
      </c>
      <c r="D69" s="221" t="str">
        <f>[1]Sheet1!D69</f>
        <v>angela.lucano@upc.pe</v>
      </c>
      <c r="E69" s="221" t="str">
        <f>[1]Sheet1!E69</f>
        <v>Angela Lucano Carranza</v>
      </c>
      <c r="F69" s="221" t="str">
        <f>[1]Sheet1!F69</f>
        <v>Estabilización Sistema Académico UPC - 1era iteración MCH</v>
      </c>
      <c r="G69" s="221"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221" t="str">
        <f>[1]Sheet1!H69</f>
        <v>UPC</v>
      </c>
      <c r="I69" s="221" t="str">
        <f>[1]Sheet1!I69</f>
        <v>Milagros Morgan - Rectorado UPC</v>
      </c>
      <c r="J69" s="221" t="str">
        <f>[1]Sheet1!J69</f>
        <v xml:space="preserve">Miguel Chang </v>
      </c>
      <c r="K69" s="221">
        <f>[1]Sheet1!K69</f>
        <v>0</v>
      </c>
      <c r="L69" s="221" t="str">
        <f>[1]Sheet1!L69</f>
        <v>Carla Arias-Schreiber</v>
      </c>
      <c r="M69" s="151">
        <f>[1]Sheet1!M69</f>
        <v>46387</v>
      </c>
      <c r="N69" s="151" t="str">
        <f>[1]Sheet1!N69</f>
        <v>No</v>
      </c>
      <c r="O69" s="221">
        <f>[1]Sheet1!O69</f>
        <v>0</v>
      </c>
      <c r="P69" s="221">
        <f>[1]Sheet1!P69</f>
        <v>0</v>
      </c>
      <c r="Q69" s="221" t="str">
        <f>[1]Sheet1!Q69</f>
        <v>Otro</v>
      </c>
      <c r="R69" s="221"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221">
        <f>[1]Sheet1!S69</f>
        <v>0</v>
      </c>
      <c r="T69" s="221"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221" t="str">
        <f>[1]Sheet1!U69</f>
        <v>Alumnos</v>
      </c>
      <c r="V69" s="221" t="str">
        <f>[1]Sheet1!V69</f>
        <v>Excelencia operativa</v>
      </c>
      <c r="W69" s="221" t="str">
        <f>[1]Sheet1!W69</f>
        <v>Si</v>
      </c>
      <c r="X69" s="221" t="str">
        <f>[1]Sheet1!X69</f>
        <v>No cuantificado o S/0</v>
      </c>
      <c r="Y69" s="221"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59"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59">
        <f>[1]Sheet1!AA69</f>
        <v>1.05</v>
      </c>
    </row>
    <row r="70" spans="1:27" ht="45.95" customHeight="1">
      <c r="A70" s="59">
        <f>[1]Sheet1!A70</f>
        <v>92</v>
      </c>
      <c r="B70" s="220">
        <f>[1]Sheet1!B70</f>
        <v>46112.480532407397</v>
      </c>
      <c r="C70" s="220">
        <f>[1]Sheet1!C70</f>
        <v>46112.4910648148</v>
      </c>
      <c r="D70" s="221" t="str">
        <f>[1]Sheet1!D70</f>
        <v>carla.arias@upn.edu.pe</v>
      </c>
      <c r="E70" s="221" t="str">
        <f>[1]Sheet1!E70</f>
        <v>Carla Arias Schreiber Ulloa</v>
      </c>
      <c r="F70" s="221" t="str">
        <f>[1]Sheet1!F70</f>
        <v>E2E on boarding - Agregar campo Teléfono Celular - Entidad Perfect Start CRM</v>
      </c>
      <c r="G70" s="221"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221" t="str">
        <f>[1]Sheet1!H70</f>
        <v>UPN</v>
      </c>
      <c r="I70" s="221" t="str">
        <f>[1]Sheet1!I70</f>
        <v>Mónica García - VP Operaciones Digitales y Online</v>
      </c>
      <c r="J70" s="221" t="str">
        <f>[1]Sheet1!J70</f>
        <v>Orietta Mazuelos</v>
      </c>
      <c r="K70" s="221">
        <f>[1]Sheet1!K70</f>
        <v>0</v>
      </c>
      <c r="L70" s="221" t="str">
        <f>[1]Sheet1!L70</f>
        <v>Carla Arias-Schreiber</v>
      </c>
      <c r="M70" s="151">
        <f>[1]Sheet1!M70</f>
        <v>46122</v>
      </c>
      <c r="N70" s="151" t="str">
        <f>[1]Sheet1!N70</f>
        <v>Si</v>
      </c>
      <c r="O70" s="221" t="str">
        <f>[1]Sheet1!O70</f>
        <v>Digital &amp; IA</v>
      </c>
      <c r="P70" s="221">
        <f>[1]Sheet1!P70</f>
        <v>76562</v>
      </c>
      <c r="Q70" s="221" t="str">
        <f>[1]Sheet1!Q70</f>
        <v>Otro</v>
      </c>
      <c r="R70" s="221"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221">
        <f>[1]Sheet1!S70</f>
        <v>0</v>
      </c>
      <c r="T70" s="221" t="str">
        <f>[1]Sheet1!T70</f>
        <v>Onboarding.
Inicio/ desarrollo de clases</v>
      </c>
      <c r="U70" s="221">
        <f>[1]Sheet1!U70</f>
        <v>0</v>
      </c>
      <c r="V70" s="221" t="str">
        <f>[1]Sheet1!V70</f>
        <v>Crecimiento escalable</v>
      </c>
      <c r="W70" s="221" t="str">
        <f>[1]Sheet1!W70</f>
        <v>No</v>
      </c>
      <c r="X70" s="221">
        <f>[1]Sheet1!X70</f>
        <v>0</v>
      </c>
      <c r="Y70" s="221" t="str">
        <f>[1]Sheet1!Y70</f>
        <v>Fortalecer el onboarding y retención de nuevos estudiantes.</v>
      </c>
      <c r="Z70" s="59">
        <f>[1]Sheet1!Z70</f>
        <v>0</v>
      </c>
      <c r="AA70" s="59">
        <f>[1]Sheet1!AA70</f>
        <v>2</v>
      </c>
    </row>
    <row r="71" spans="1:27" ht="45.95" customHeight="1">
      <c r="A71" s="59">
        <f>[1]Sheet1!A71</f>
        <v>93</v>
      </c>
      <c r="B71" s="220">
        <f>[1]Sheet1!B71</f>
        <v>46118.532442129603</v>
      </c>
      <c r="C71" s="220">
        <f>[1]Sheet1!C71</f>
        <v>46118.569224537001</v>
      </c>
      <c r="D71" s="221" t="str">
        <f>[1]Sheet1!D71</f>
        <v>gerson.vereau@laureate.pe</v>
      </c>
      <c r="E71" s="221" t="str">
        <f>[1]Sheet1!E71</f>
        <v>Gerson Vereau Rosas</v>
      </c>
      <c r="F71" s="221" t="str">
        <f>[1]Sheet1!F71</f>
        <v>[Deuda técnica] Se requiere que las asistencias de los alumnos se visualicen diariamente en Portal</v>
      </c>
      <c r="G71" s="221"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221" t="str">
        <f>[1]Sheet1!H71</f>
        <v>UPN</v>
      </c>
      <c r="I71" s="221" t="str">
        <f>[1]Sheet1!I71</f>
        <v>Álvaro Valdez - VP Operaciones</v>
      </c>
      <c r="J71" s="221" t="str">
        <f>[1]Sheet1!J71</f>
        <v xml:space="preserve">Milthiño Zambrano </v>
      </c>
      <c r="K71" s="221">
        <f>[1]Sheet1!K71</f>
        <v>0</v>
      </c>
      <c r="L71" s="221" t="str">
        <f>[1]Sheet1!L71</f>
        <v>Gerson Vereau</v>
      </c>
      <c r="M71" s="151">
        <f>[1]Sheet1!M71</f>
        <v>46188</v>
      </c>
      <c r="N71" s="151" t="str">
        <f>[1]Sheet1!N71</f>
        <v>No</v>
      </c>
      <c r="O71" s="221">
        <f>[1]Sheet1!O71</f>
        <v>0</v>
      </c>
      <c r="P71" s="221">
        <f>[1]Sheet1!P71</f>
        <v>0</v>
      </c>
      <c r="Q71" s="221" t="str">
        <f>[1]Sheet1!Q71</f>
        <v>Otro</v>
      </c>
      <c r="R71" s="221"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221">
        <f>[1]Sheet1!S71</f>
        <v>0</v>
      </c>
      <c r="T71" s="221" t="str">
        <f>[1]Sheet1!T71</f>
        <v>Proceso de seguimiento y medición de asistencia de los estudiantes.</v>
      </c>
      <c r="U71" s="221" t="str">
        <f>[1]Sheet1!U71</f>
        <v>Administrativos</v>
      </c>
      <c r="V71" s="221" t="str">
        <f>[1]Sheet1!V71</f>
        <v>Excelencia operativa</v>
      </c>
      <c r="W71" s="221" t="str">
        <f>[1]Sheet1!W71</f>
        <v>No</v>
      </c>
      <c r="X71" s="221" t="str">
        <f>[1]Sheet1!X71</f>
        <v>No cuantificado o S/0</v>
      </c>
      <c r="Y71" s="221" t="str">
        <f>[1]Sheet1!Y71</f>
        <v>Fortalece la capacidad de reacción del equipo para intervenir de manera oportuna sobre alumnos con mayor riesgo con el aumento de cursos virtuales, es necesario contar con esta vista diaria.</v>
      </c>
      <c r="Z71" s="59">
        <f>[1]Sheet1!Z71</f>
        <v>0</v>
      </c>
      <c r="AA71" s="59">
        <f>[1]Sheet1!AA71</f>
        <v>0.45000000000000007</v>
      </c>
    </row>
    <row r="72" spans="1:27" ht="45.95" customHeight="1">
      <c r="A72" s="59">
        <f>[1]Sheet1!A72</f>
        <v>94</v>
      </c>
      <c r="B72" s="220">
        <f>[1]Sheet1!B72</f>
        <v>46119.432314814803</v>
      </c>
      <c r="C72" s="220">
        <f>[1]Sheet1!C72</f>
        <v>46119.464699074102</v>
      </c>
      <c r="D72" s="221" t="str">
        <f>[1]Sheet1!D72</f>
        <v>gerson.vereau@laureate.pe</v>
      </c>
      <c r="E72" s="221" t="str">
        <f>[1]Sheet1!E72</f>
        <v>Gerson Vereau Rosas</v>
      </c>
      <c r="F72" s="221" t="str">
        <f>[1]Sheet1!F72</f>
        <v xml:space="preserve">Automatización de Planillas Manuales de Carga Horaria </v>
      </c>
      <c r="G72" s="221"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221" t="str">
        <f>[1]Sheet1!H72</f>
        <v>UPN</v>
      </c>
      <c r="I72" s="221" t="str">
        <f>[1]Sheet1!I72</f>
        <v>Martín Santana - Rectorado UPN</v>
      </c>
      <c r="J72" s="221" t="str">
        <f>[1]Sheet1!J72</f>
        <v xml:space="preserve">Denilson Contreras </v>
      </c>
      <c r="K72" s="221">
        <f>[1]Sheet1!K72</f>
        <v>0</v>
      </c>
      <c r="L72" s="221" t="str">
        <f>[1]Sheet1!L72</f>
        <v>Ángela Lucano</v>
      </c>
      <c r="M72" s="151">
        <f>[1]Sheet1!M72</f>
        <v>46203</v>
      </c>
      <c r="N72" s="151" t="str">
        <f>[1]Sheet1!N72</f>
        <v>No</v>
      </c>
      <c r="O72" s="221">
        <f>[1]Sheet1!O72</f>
        <v>0</v>
      </c>
      <c r="P72" s="221">
        <f>[1]Sheet1!P72</f>
        <v>0</v>
      </c>
      <c r="Q72" s="221" t="str">
        <f>[1]Sheet1!Q72</f>
        <v>Otro</v>
      </c>
      <c r="R72" s="221"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221">
        <f>[1]Sheet1!S72</f>
        <v>0</v>
      </c>
      <c r="T72" s="221" t="str">
        <f>[1]Sheet1!T72</f>
        <v xml:space="preserve">Nómina docente y área usuaria (EPEC).
</v>
      </c>
      <c r="U72" s="221" t="str">
        <f>[1]Sheet1!U72</f>
        <v>Administrativos</v>
      </c>
      <c r="V72" s="221" t="str">
        <f>[1]Sheet1!V72</f>
        <v>Excelencia operativa</v>
      </c>
      <c r="W72" s="221" t="str">
        <f>[1]Sheet1!W72</f>
        <v>No</v>
      </c>
      <c r="X72" s="221" t="str">
        <f>[1]Sheet1!X72</f>
        <v>Menor a S/100,000.00</v>
      </c>
      <c r="Y72" s="221" t="str">
        <f>[1]Sheet1!Y72</f>
        <v>Cumplimiento Normativo: Mitigación del riesgo asociado al control Sox ARO.UPN.HRPAY – Validation of Teaching Hours TP, auditado por PWC, asegurando alineamiento y continuidad operativa sin observaciones.</v>
      </c>
      <c r="Z72" s="59" t="str">
        <f>[1]Sheet1!Z72</f>
        <v>https://educorpperu-my.sharepoint.com/personal/diana_zapata_laureate_pe1/_layouts/15/Doc.aspx?sourcedoc=%7B4ABE9950-C38F-4EE2-BB0D-F8DFF15B303D%7D&amp;file=Automatizaci%C3%B3n%20de%20planillas%20manuales%20de%20carga_Gerson%20Vereau%20Rosas.pptx&amp;action=edit&amp;mobileredirect=true</v>
      </c>
      <c r="AA72" s="59">
        <f>[1]Sheet1!AA72</f>
        <v>0.75000000000000011</v>
      </c>
    </row>
    <row r="73" spans="1:27" ht="45.95" customHeight="1">
      <c r="A73" s="59">
        <f>[1]Sheet1!A73</f>
        <v>95</v>
      </c>
      <c r="B73" s="220">
        <f>[1]Sheet1!B73</f>
        <v>46126.512210648099</v>
      </c>
      <c r="C73" s="220">
        <f>[1]Sheet1!C73</f>
        <v>46126.525636574101</v>
      </c>
      <c r="D73" s="221" t="str">
        <f>[1]Sheet1!D73</f>
        <v>jose.herbozo@laureate.pe</v>
      </c>
      <c r="E73" s="221" t="str">
        <f>[1]Sheet1!E73</f>
        <v>José Paredes Herbozo</v>
      </c>
      <c r="F73" s="221" t="str">
        <f>[1]Sheet1!F73</f>
        <v>E-commerce - Diseño, estimación e implementación de E Commerce de UPN</v>
      </c>
      <c r="G73" s="221" t="str">
        <f>[1]Sheet1!G73</f>
        <v>Diseño, estimación e implementación de E Commerce de UPN
Que se habilite una forma para vender cursos de educación continua de UPN en un ecommerce, con un flujo autogestionado desde la compra hasta la generación de horarios.</v>
      </c>
      <c r="H73" s="221" t="str">
        <f>[1]Sheet1!H73</f>
        <v>UPN</v>
      </c>
      <c r="I73" s="221" t="str">
        <f>[1]Sheet1!I73</f>
        <v>Ivan Olivares - VP Marketing y Comercial</v>
      </c>
      <c r="J73" s="221" t="str">
        <f>[1]Sheet1!J73</f>
        <v>Hugo Vega</v>
      </c>
      <c r="K73" s="221">
        <f>[1]Sheet1!K73</f>
        <v>0</v>
      </c>
      <c r="L73" s="221" t="str">
        <f>[1]Sheet1!L73</f>
        <v>Jose Paredes</v>
      </c>
      <c r="M73" s="151">
        <f>[1]Sheet1!M73</f>
        <v>46233</v>
      </c>
      <c r="N73" s="151" t="str">
        <f>[1]Sheet1!N73</f>
        <v>Si</v>
      </c>
      <c r="O73" s="221" t="str">
        <f>[1]Sheet1!O73</f>
        <v>Digital &amp; IA</v>
      </c>
      <c r="P73" s="221">
        <f>[1]Sheet1!P73</f>
        <v>73951</v>
      </c>
      <c r="Q73" s="221" t="str">
        <f>[1]Sheet1!Q73</f>
        <v>Otro</v>
      </c>
      <c r="R73" s="221"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221">
        <f>[1]Sheet1!S73</f>
        <v>0</v>
      </c>
      <c r="T73" s="221" t="str">
        <f>[1]Sheet1!T73</f>
        <v>Comercial, Finanzas y Académico.</v>
      </c>
      <c r="U73" s="221" t="str">
        <f>[1]Sheet1!U73</f>
        <v>Administrativos</v>
      </c>
      <c r="V73" s="221" t="str">
        <f>[1]Sheet1!V73</f>
        <v>Crecimiento escalable</v>
      </c>
      <c r="W73" s="221" t="str">
        <f>[1]Sheet1!W73</f>
        <v>No</v>
      </c>
      <c r="X73" s="221" t="str">
        <f>[1]Sheet1!X73</f>
        <v>Mayor a S/500,000.00</v>
      </c>
      <c r="Y73" s="221" t="str">
        <f>[1]Sheet1!Y73</f>
        <v xml:space="preserve">Podríamos disponer de un nuevo canal de ventas que ayude a alcanzar la meta comercial, impulsar ventas y aumentar el alcance de la marca UPN a través de estos cursos.
</v>
      </c>
      <c r="Z73" s="59"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59">
        <f>[1]Sheet1!AA73</f>
        <v>2.9</v>
      </c>
    </row>
    <row r="74" spans="1:27" ht="45.95" customHeight="1">
      <c r="A74" s="59">
        <f>[1]Sheet1!A74</f>
        <v>96</v>
      </c>
      <c r="B74" s="220">
        <f>[1]Sheet1!B74</f>
        <v>46126.7905902778</v>
      </c>
      <c r="C74" s="220">
        <f>[1]Sheet1!C74</f>
        <v>46126.826805555596</v>
      </c>
      <c r="D74" s="221" t="str">
        <f>[1]Sheet1!D74</f>
        <v>nicolas.morales@laureate.pe</v>
      </c>
      <c r="E74" s="221" t="str">
        <f>[1]Sheet1!E74</f>
        <v>Nicolas Morales Chumpitaz</v>
      </c>
      <c r="F74" s="221" t="str">
        <f>[1]Sheet1!F74</f>
        <v>Productividad - DOA UPN - Automatización del Monitoreo Académico: Trazabilidad, visualización y monitoreo del avance académico del docente</v>
      </c>
      <c r="G74" s="221" t="str">
        <f>[1]Sheet1!G74</f>
        <v>Necesitamos ser el copiloto del docente, para facilitar el cumplimiento de sus tareas diarias mediante alertas preventivas y soporte inmediato, logrando asegurar que su gestión administrativa sea impecable y nunca afecte su desempeño profesional.</v>
      </c>
      <c r="H74" s="221" t="str">
        <f>[1]Sheet1!H74</f>
        <v>UPN</v>
      </c>
      <c r="I74" s="221" t="str">
        <f>[1]Sheet1!I74</f>
        <v>Sebastian Lindley - VP Transformación</v>
      </c>
      <c r="J74" s="221" t="str">
        <f>[1]Sheet1!J74</f>
        <v xml:space="preserve">Esther Capcha </v>
      </c>
      <c r="K74" s="221">
        <f>[1]Sheet1!K74</f>
        <v>0</v>
      </c>
      <c r="L74" s="221" t="str">
        <f>[1]Sheet1!L74</f>
        <v>Carla Arias-Schreiber</v>
      </c>
      <c r="M74" s="151">
        <f>[1]Sheet1!M74</f>
        <v>46387</v>
      </c>
      <c r="N74" s="151" t="str">
        <f>[1]Sheet1!N74</f>
        <v>Si</v>
      </c>
      <c r="O74" s="221" t="str">
        <f>[1]Sheet1!O74</f>
        <v>G&amp;A</v>
      </c>
      <c r="P74" s="221">
        <f>[1]Sheet1!P74</f>
        <v>77431</v>
      </c>
      <c r="Q74" s="221" t="str">
        <f>[1]Sheet1!Q74</f>
        <v>Otro</v>
      </c>
      <c r="R74" s="221"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221">
        <f>[1]Sheet1!S74</f>
        <v>0</v>
      </c>
      <c r="T74" s="221" t="str">
        <f>[1]Sheet1!T74</f>
        <v>Proceso de monitoreo de avance académico del docente</v>
      </c>
      <c r="U74" s="221" t="str">
        <f>[1]Sheet1!U74</f>
        <v>Docentes</v>
      </c>
      <c r="V74" s="221" t="str">
        <f>[1]Sheet1!V74</f>
        <v>Excelencia académica</v>
      </c>
      <c r="W74" s="221" t="str">
        <f>[1]Sheet1!W74</f>
        <v>No</v>
      </c>
      <c r="X74" s="221" t="str">
        <f>[1]Sheet1!X74</f>
        <v>Mayor a S/500,000.00</v>
      </c>
      <c r="Y74" s="221" t="str">
        <f>[1]Sheet1!Y74</f>
        <v>Eliminación de actividades manuales
Incremento del NPS docente
Cumplimiento en PO del equipo académico</v>
      </c>
      <c r="Z74" s="59">
        <f>[1]Sheet1!Z74</f>
        <v>0</v>
      </c>
      <c r="AA74" s="59">
        <f>[1]Sheet1!AA74</f>
        <v>3.35</v>
      </c>
    </row>
    <row r="75" spans="1:27" ht="45.95" customHeight="1">
      <c r="A75" s="59">
        <f>[1]Sheet1!A75</f>
        <v>97</v>
      </c>
      <c r="B75" s="220">
        <f>[1]Sheet1!B75</f>
        <v>46126.826921296299</v>
      </c>
      <c r="C75" s="220">
        <f>[1]Sheet1!C75</f>
        <v>46126.850914351897</v>
      </c>
      <c r="D75" s="221" t="str">
        <f>[1]Sheet1!D75</f>
        <v>nicolas.morales@laureate.pe</v>
      </c>
      <c r="E75" s="221" t="str">
        <f>[1]Sheet1!E75</f>
        <v>Nicolas Morales Chumpitaz</v>
      </c>
      <c r="F75" s="221" t="str">
        <f>[1]Sheet1!F75</f>
        <v>Productividad - DOA UPN - Automatización de las planillas manuales</v>
      </c>
      <c r="G75" s="221"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221" t="str">
        <f>[1]Sheet1!H75</f>
        <v>UPN</v>
      </c>
      <c r="I75" s="221" t="str">
        <f>[1]Sheet1!I75</f>
        <v>Sebastian Lindley - VP Transformación</v>
      </c>
      <c r="J75" s="221" t="str">
        <f>[1]Sheet1!J75</f>
        <v xml:space="preserve">Esther Capcha </v>
      </c>
      <c r="K75" s="221">
        <f>[1]Sheet1!K75</f>
        <v>0</v>
      </c>
      <c r="L75" s="221" t="str">
        <f>[1]Sheet1!L75</f>
        <v>Carla Arias-Schreiber</v>
      </c>
      <c r="M75" s="151">
        <f>[1]Sheet1!M75</f>
        <v>46387</v>
      </c>
      <c r="N75" s="151" t="str">
        <f>[1]Sheet1!N75</f>
        <v>Si</v>
      </c>
      <c r="O75" s="221" t="str">
        <f>[1]Sheet1!O75</f>
        <v>G&amp;A</v>
      </c>
      <c r="P75" s="221">
        <f>[1]Sheet1!P75</f>
        <v>77431</v>
      </c>
      <c r="Q75" s="221" t="str">
        <f>[1]Sheet1!Q75</f>
        <v>Otro</v>
      </c>
      <c r="R75" s="221"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221">
        <f>[1]Sheet1!S75</f>
        <v>0</v>
      </c>
      <c r="T75" s="221" t="str">
        <f>[1]Sheet1!T75</f>
        <v>Elaboración de Planilla Docente.</v>
      </c>
      <c r="U75" s="221" t="str">
        <f>[1]Sheet1!U75</f>
        <v>Docentes</v>
      </c>
      <c r="V75" s="221" t="str">
        <f>[1]Sheet1!V75</f>
        <v>Excelencia operativa</v>
      </c>
      <c r="W75" s="221" t="str">
        <f>[1]Sheet1!W75</f>
        <v>No</v>
      </c>
      <c r="X75" s="221" t="str">
        <f>[1]Sheet1!X75</f>
        <v>Mayor a S/500,000.00</v>
      </c>
      <c r="Y75" s="221" t="str">
        <f>[1]Sheet1!Y75</f>
        <v xml:space="preserve">Eliminación del retrabajo por errores manuales
Incremento en NPS del docente
Exactitud en el Cálculo de Novedades
</v>
      </c>
      <c r="Z75" s="59">
        <f>[1]Sheet1!Z75</f>
        <v>0</v>
      </c>
      <c r="AA75" s="59">
        <f>[1]Sheet1!AA75</f>
        <v>3.15</v>
      </c>
    </row>
    <row r="76" spans="1:27" ht="45.95" customHeight="1">
      <c r="A76" s="59">
        <f>[1]Sheet1!A76</f>
        <v>98</v>
      </c>
      <c r="B76" s="220">
        <f>[1]Sheet1!B76</f>
        <v>46127.014560185198</v>
      </c>
      <c r="C76" s="220">
        <f>[1]Sheet1!C76</f>
        <v>46127.284756944398</v>
      </c>
      <c r="D76" s="221" t="str">
        <f>[1]Sheet1!D76</f>
        <v>nicolas.morales@laureate.pe</v>
      </c>
      <c r="E76" s="221" t="str">
        <f>[1]Sheet1!E76</f>
        <v>Nicolas Morales Chumpitaz</v>
      </c>
      <c r="F76" s="221" t="str">
        <f>[1]Sheet1!F76</f>
        <v>Productividad - DOA UPN - Implementación de Ticketera de solicitudes de cambios en la programación con flujos automáticos de control, respuestas y SLA</v>
      </c>
      <c r="G76" s="221" t="str">
        <f>[1]Sheet1!G76</f>
        <v>Necesitamos asegurar que los docentes cuenten con una herramienta para realizar consultas y solicitudes para que puedan obtener respuesta a las mismas dentro de plazos logrando eliminar actividades manuales del proceso y mejorar el NPS del docente.</v>
      </c>
      <c r="H76" s="221" t="str">
        <f>[1]Sheet1!H76</f>
        <v>UPN</v>
      </c>
      <c r="I76" s="221" t="str">
        <f>[1]Sheet1!I76</f>
        <v>Sebastian Lindley - VP Transformación</v>
      </c>
      <c r="J76" s="221" t="str">
        <f>[1]Sheet1!J76</f>
        <v xml:space="preserve">Esther Capcha </v>
      </c>
      <c r="K76" s="221">
        <f>[1]Sheet1!K76</f>
        <v>0</v>
      </c>
      <c r="L76" s="221" t="str">
        <f>[1]Sheet1!L76</f>
        <v>Carla Arias-Schreiber</v>
      </c>
      <c r="M76" s="151">
        <f>[1]Sheet1!M76</f>
        <v>46387</v>
      </c>
      <c r="N76" s="151" t="str">
        <f>[1]Sheet1!N76</f>
        <v>Si</v>
      </c>
      <c r="O76" s="221" t="str">
        <f>[1]Sheet1!O76</f>
        <v>G&amp;A</v>
      </c>
      <c r="P76" s="221">
        <f>[1]Sheet1!P76</f>
        <v>77431</v>
      </c>
      <c r="Q76" s="221" t="str">
        <f>[1]Sheet1!Q76</f>
        <v>Otro</v>
      </c>
      <c r="R76" s="221"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221">
        <f>[1]Sheet1!S76</f>
        <v>0</v>
      </c>
      <c r="T76" s="221" t="str">
        <f>[1]Sheet1!T76</f>
        <v>Proceso de gestión de consultas de docentes</v>
      </c>
      <c r="U76" s="221" t="str">
        <f>[1]Sheet1!U76</f>
        <v>Docentes</v>
      </c>
      <c r="V76" s="221" t="str">
        <f>[1]Sheet1!V76</f>
        <v>Excelencia operativa</v>
      </c>
      <c r="W76" s="221" t="str">
        <f>[1]Sheet1!W76</f>
        <v>No</v>
      </c>
      <c r="X76" s="221" t="str">
        <f>[1]Sheet1!X76</f>
        <v>Mayor a S/500,000.00</v>
      </c>
      <c r="Y76" s="221" t="str">
        <f>[1]Sheet1!Y76</f>
        <v>Eliminación de actividades manuales
Mejora en experiencia del Coordinador / Docente TC.
Impacto positivo en NPS del estudiante (indirecto)</v>
      </c>
      <c r="Z76" s="59">
        <f>[1]Sheet1!Z76</f>
        <v>0</v>
      </c>
      <c r="AA76" s="59">
        <f>[1]Sheet1!AA76</f>
        <v>3.15</v>
      </c>
    </row>
    <row r="77" spans="1:27" ht="45.95" customHeight="1">
      <c r="A77" s="59">
        <f>[1]Sheet1!A77</f>
        <v>99</v>
      </c>
      <c r="B77" s="220">
        <f>[1]Sheet1!B77</f>
        <v>46127.32</v>
      </c>
      <c r="C77" s="220">
        <f>[1]Sheet1!C77</f>
        <v>46127.3351273148</v>
      </c>
      <c r="D77" s="221" t="str">
        <f>[1]Sheet1!D77</f>
        <v>angela.lucano@laureate.pe</v>
      </c>
      <c r="E77" s="221" t="str">
        <f>[1]Sheet1!E77</f>
        <v>Angela Lucano Carranza</v>
      </c>
      <c r="F77" s="221" t="str">
        <f>[1]Sheet1!F77</f>
        <v>Implementación del botón de impresión en formulario Libro de reclamaciones (LDR)</v>
      </c>
      <c r="G77" s="221"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221" t="str">
        <f>[1]Sheet1!H77</f>
        <v>UPN</v>
      </c>
      <c r="I77" s="221" t="str">
        <f>[1]Sheet1!I77</f>
        <v>Mónica García - VP Operaciones Digitales y Online</v>
      </c>
      <c r="J77" s="221" t="str">
        <f>[1]Sheet1!J77</f>
        <v xml:space="preserve">Luis Roncal </v>
      </c>
      <c r="K77" s="221">
        <f>[1]Sheet1!K77</f>
        <v>0</v>
      </c>
      <c r="L77" s="221" t="str">
        <f>[1]Sheet1!L77</f>
        <v>Ángela Lucano</v>
      </c>
      <c r="M77" s="151">
        <f>[1]Sheet1!M77</f>
        <v>46132</v>
      </c>
      <c r="N77" s="151" t="str">
        <f>[1]Sheet1!N77</f>
        <v>No</v>
      </c>
      <c r="O77" s="221">
        <f>[1]Sheet1!O77</f>
        <v>0</v>
      </c>
      <c r="P77" s="221">
        <f>[1]Sheet1!P77</f>
        <v>0</v>
      </c>
      <c r="Q77" s="221" t="str">
        <f>[1]Sheet1!Q77</f>
        <v>Normativa</v>
      </c>
      <c r="R77" s="221"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221">
        <f>[1]Sheet1!S77</f>
        <v>0</v>
      </c>
      <c r="T77" s="221" t="str">
        <f>[1]Sheet1!T77</f>
        <v>Proceso integral de Atención al Estudiante, Gestión de Quejas y Reclamos</v>
      </c>
      <c r="U77" s="221" t="str">
        <f>[1]Sheet1!U77</f>
        <v>Alumnos</v>
      </c>
      <c r="V77" s="221" t="str">
        <f>[1]Sheet1!V77</f>
        <v>Experiencia</v>
      </c>
      <c r="W77" s="221" t="str">
        <f>[1]Sheet1!W77</f>
        <v>No</v>
      </c>
      <c r="X77" s="221" t="str">
        <f>[1]Sheet1!X77</f>
        <v>Menor a S/100,000.00</v>
      </c>
      <c r="Y77" s="221"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59"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59">
        <f>[1]Sheet1!AA77</f>
        <v>2.95</v>
      </c>
    </row>
    <row r="78" spans="1:27" ht="45.95" customHeight="1">
      <c r="A78" s="59">
        <f>[1]Sheet1!A78</f>
        <v>100</v>
      </c>
      <c r="B78" s="220">
        <f>[1]Sheet1!B78</f>
        <v>46127.3352662037</v>
      </c>
      <c r="C78" s="220">
        <f>[1]Sheet1!C78</f>
        <v>46127.3585648148</v>
      </c>
      <c r="D78" s="221" t="str">
        <f>[1]Sheet1!D78</f>
        <v>angela.lucano@laureate.pe</v>
      </c>
      <c r="E78" s="221" t="str">
        <f>[1]Sheet1!E78</f>
        <v>Angela Lucano Carranza</v>
      </c>
      <c r="F78" s="221" t="str">
        <f>[1]Sheet1!F78</f>
        <v>Implementación de Módulos de Proyectos de Sostenibilidad y Gestión Ambiental en la Plataforma de Sostenibilidad</v>
      </c>
      <c r="G78" s="221"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221" t="str">
        <f>[1]Sheet1!H78</f>
        <v>LAUREATE</v>
      </c>
      <c r="I78" s="221" t="str">
        <f>[1]Sheet1!I78</f>
        <v>Claudia Cabrera - VP Comunicaciones</v>
      </c>
      <c r="J78" s="221" t="str">
        <f>[1]Sheet1!J78</f>
        <v xml:space="preserve">Rubi Fox </v>
      </c>
      <c r="K78" s="221">
        <f>[1]Sheet1!K78</f>
        <v>0</v>
      </c>
      <c r="L78" s="221" t="str">
        <f>[1]Sheet1!L78</f>
        <v>Ángela Lucano</v>
      </c>
      <c r="M78" s="151">
        <f>[1]Sheet1!M78</f>
        <v>46152</v>
      </c>
      <c r="N78" s="151" t="str">
        <f>[1]Sheet1!N78</f>
        <v>No</v>
      </c>
      <c r="O78" s="221">
        <f>[1]Sheet1!O78</f>
        <v>0</v>
      </c>
      <c r="P78" s="221">
        <f>[1]Sheet1!P78</f>
        <v>0</v>
      </c>
      <c r="Q78" s="221" t="str">
        <f>[1]Sheet1!Q78</f>
        <v>Otro</v>
      </c>
      <c r="R78" s="221"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221">
        <f>[1]Sheet1!S78</f>
        <v>0</v>
      </c>
      <c r="T78" s="221"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221" t="str">
        <f>[1]Sheet1!U78</f>
        <v>Administrativos</v>
      </c>
      <c r="V78" s="221" t="str">
        <f>[1]Sheet1!V78</f>
        <v>Excelencia operativa</v>
      </c>
      <c r="W78" s="221" t="str">
        <f>[1]Sheet1!W78</f>
        <v>No</v>
      </c>
      <c r="X78" s="221" t="str">
        <f>[1]Sheet1!X78</f>
        <v>No cuantificado o S/0</v>
      </c>
      <c r="Y78" s="221"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59"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59">
        <f>[1]Sheet1!AA78</f>
        <v>0.45000000000000007</v>
      </c>
    </row>
    <row r="79" spans="1:27" ht="45.95" customHeight="1">
      <c r="A79" s="59">
        <f>[1]Sheet1!A79</f>
        <v>101</v>
      </c>
      <c r="B79" s="220">
        <f>[1]Sheet1!B79</f>
        <v>46127.284849536998</v>
      </c>
      <c r="C79" s="220">
        <f>[1]Sheet1!C79</f>
        <v>46127.470335648097</v>
      </c>
      <c r="D79" s="221" t="str">
        <f>[1]Sheet1!D79</f>
        <v>nicolas.morales@laureate.pe</v>
      </c>
      <c r="E79" s="221" t="str">
        <f>[1]Sheet1!E79</f>
        <v>Nicolas Morales Chumpitaz</v>
      </c>
      <c r="F79" s="221" t="str">
        <f>[1]Sheet1!F79</f>
        <v xml:space="preserve">Productividad - DOA UPN - Implementación de Solución que abarque el proceso integral de reclutamiento y selección (IA incorporada en cada etapa del proceso: Revisión CV, armado de documentos) </v>
      </c>
      <c r="G79" s="221"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221" t="str">
        <f>[1]Sheet1!H79</f>
        <v>UPN</v>
      </c>
      <c r="I79" s="221" t="str">
        <f>[1]Sheet1!I79</f>
        <v>Sebastian Lindley - VP Transformación</v>
      </c>
      <c r="J79" s="221" t="str">
        <f>[1]Sheet1!J79</f>
        <v xml:space="preserve">Esther Capcha </v>
      </c>
      <c r="K79" s="221">
        <f>[1]Sheet1!K79</f>
        <v>0</v>
      </c>
      <c r="L79" s="221" t="str">
        <f>[1]Sheet1!L79</f>
        <v>Carla Arias-Schreiber</v>
      </c>
      <c r="M79" s="151">
        <f>[1]Sheet1!M79</f>
        <v>46387</v>
      </c>
      <c r="N79" s="151" t="str">
        <f>[1]Sheet1!N79</f>
        <v>Si</v>
      </c>
      <c r="O79" s="221" t="str">
        <f>[1]Sheet1!O79</f>
        <v>G&amp;A</v>
      </c>
      <c r="P79" s="221">
        <f>[1]Sheet1!P79</f>
        <v>77431</v>
      </c>
      <c r="Q79" s="221" t="str">
        <f>[1]Sheet1!Q79</f>
        <v>Otro</v>
      </c>
      <c r="R79" s="221"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221">
        <f>[1]Sheet1!S79</f>
        <v>0</v>
      </c>
      <c r="T79" s="221" t="str">
        <f>[1]Sheet1!T79</f>
        <v>Proceso de Reclutamiento y selección docente</v>
      </c>
      <c r="U79" s="221" t="str">
        <f>[1]Sheet1!U79</f>
        <v>Alumnos</v>
      </c>
      <c r="V79" s="221" t="str">
        <f>[1]Sheet1!V79</f>
        <v>Excelencia operativa</v>
      </c>
      <c r="W79" s="221" t="str">
        <f>[1]Sheet1!W79</f>
        <v>No</v>
      </c>
      <c r="X79" s="221" t="str">
        <f>[1]Sheet1!X79</f>
        <v>Mayor a S/500,000.00</v>
      </c>
      <c r="Y79" s="221" t="str">
        <f>[1]Sheet1!Y79</f>
        <v>Incremento del NPS docente
Se gana una ampliación del proceso de convocatoria y evaluación de postulantes a causa de la reducción de reprocesos y tiempos operativos manuales.
Proceso escalable acorde al crecimiento de la institución.</v>
      </c>
      <c r="Z79" s="59">
        <f>[1]Sheet1!Z79</f>
        <v>0</v>
      </c>
      <c r="AA79" s="59">
        <f>[1]Sheet1!AA79</f>
        <v>3.3</v>
      </c>
    </row>
    <row r="80" spans="1:27" ht="45.95" customHeight="1">
      <c r="A80" s="59">
        <f>[1]Sheet1!A80</f>
        <v>102</v>
      </c>
      <c r="B80" s="220">
        <f>[1]Sheet1!B80</f>
        <v>46127.484085648102</v>
      </c>
      <c r="C80" s="220">
        <f>[1]Sheet1!C80</f>
        <v>46127.664236111101</v>
      </c>
      <c r="D80" s="221" t="str">
        <f>[1]Sheet1!D80</f>
        <v>angela.lucano@laureate.pe</v>
      </c>
      <c r="E80" s="221" t="str">
        <f>[1]Sheet1!E80</f>
        <v>Angela Lucano Carranza</v>
      </c>
      <c r="F80" s="221" t="str">
        <f>[1]Sheet1!F80</f>
        <v>Implementación de un reporte consolidado en tiempo real para la gestión académica de maestrías con Coursera en Postgrado</v>
      </c>
      <c r="G80" s="221"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221" t="str">
        <f>[1]Sheet1!H80</f>
        <v>UPC</v>
      </c>
      <c r="I80" s="221" t="str">
        <f>[1]Sheet1!I80</f>
        <v>Milagros Morgan - Rectorado UPC</v>
      </c>
      <c r="J80" s="221" t="str">
        <f>[1]Sheet1!J80</f>
        <v xml:space="preserve">Soledad Alfaro Jimenez </v>
      </c>
      <c r="K80" s="221">
        <f>[1]Sheet1!K80</f>
        <v>0</v>
      </c>
      <c r="L80" s="221" t="str">
        <f>[1]Sheet1!L80</f>
        <v>Ángela Lucano</v>
      </c>
      <c r="M80" s="151">
        <f>[1]Sheet1!M80</f>
        <v>46204</v>
      </c>
      <c r="N80" s="151" t="str">
        <f>[1]Sheet1!N80</f>
        <v>No</v>
      </c>
      <c r="O80" s="221">
        <f>[1]Sheet1!O80</f>
        <v>0</v>
      </c>
      <c r="P80" s="221">
        <f>[1]Sheet1!P80</f>
        <v>0</v>
      </c>
      <c r="Q80" s="221" t="str">
        <f>[1]Sheet1!Q80</f>
        <v>Otro</v>
      </c>
      <c r="R80" s="221"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221">
        <f>[1]Sheet1!S80</f>
        <v>0</v>
      </c>
      <c r="T80" s="221" t="str">
        <f>[1]Sheet1!T80</f>
        <v>Onboarding, Matrícula, Retención, Acompañamiento</v>
      </c>
      <c r="U80" s="221" t="str">
        <f>[1]Sheet1!U80</f>
        <v>Administrativos</v>
      </c>
      <c r="V80" s="221" t="str">
        <f>[1]Sheet1!V80</f>
        <v>Excelencia operativa</v>
      </c>
      <c r="W80" s="221" t="str">
        <f>[1]Sheet1!W80</f>
        <v>No</v>
      </c>
      <c r="X80" s="221" t="str">
        <f>[1]Sheet1!X80</f>
        <v>Menor a S/100,000.00</v>
      </c>
      <c r="Y80" s="221"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59" t="str">
        <f>[1]Sheet1!Z80</f>
        <v>https://educorpperu-my.sharepoint.com/personal/diana_zapata_laureate_pe1/_layouts/15/Doc.aspx?sourcedoc=%7BD1368DCA-1241-4ACD-BCDB-EC70C6727BA2%7D&amp;file=Plantilla%20Solicitud%20de%20requerimientos%20Reporte_Angela%20Lucano%20Carran%202.pptx&amp;action=edit&amp;mobileredirect=true</v>
      </c>
      <c r="AA80" s="59">
        <f>[1]Sheet1!AA80</f>
        <v>0.75000000000000011</v>
      </c>
    </row>
    <row r="81" spans="1:27" ht="45.95" customHeight="1">
      <c r="A81" s="59">
        <f>[1]Sheet1!A81</f>
        <v>103</v>
      </c>
      <c r="B81" s="220">
        <f>[1]Sheet1!B81</f>
        <v>46128.371990740699</v>
      </c>
      <c r="C81" s="220">
        <f>[1]Sheet1!C81</f>
        <v>46129.069513888899</v>
      </c>
      <c r="D81" s="221" t="str">
        <f>[1]Sheet1!D81</f>
        <v>javier.santiago@laureate.pe</v>
      </c>
      <c r="E81" s="221" t="str">
        <f>[1]Sheet1!E81</f>
        <v>Javier Santiago Modesto</v>
      </c>
      <c r="F81" s="221" t="str">
        <f>[1]Sheet1!F81</f>
        <v>Habilitación de horarios de periodo completo para el portal del estudiante Cibertec</v>
      </c>
      <c r="G81" s="221"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221" t="str">
        <f>[1]Sheet1!H81</f>
        <v>CIB</v>
      </c>
      <c r="I81" s="221" t="str">
        <f>[1]Sheet1!I81</f>
        <v>Mónica García - VP Operaciones Digitales y Online</v>
      </c>
      <c r="J81" s="221" t="str">
        <f>[1]Sheet1!J81</f>
        <v xml:space="preserve">Janny Nicasio </v>
      </c>
      <c r="K81" s="221">
        <f>[1]Sheet1!K81</f>
        <v>0</v>
      </c>
      <c r="L81" s="221" t="str">
        <f>[1]Sheet1!L81</f>
        <v>Carla Arias-Schreiber</v>
      </c>
      <c r="M81" s="151">
        <f>[1]Sheet1!M81</f>
        <v>46142</v>
      </c>
      <c r="N81" s="151" t="str">
        <f>[1]Sheet1!N81</f>
        <v>No</v>
      </c>
      <c r="O81" s="221">
        <f>[1]Sheet1!O81</f>
        <v>0</v>
      </c>
      <c r="P81" s="221">
        <f>[1]Sheet1!P81</f>
        <v>0</v>
      </c>
      <c r="Q81" s="221" t="str">
        <f>[1]Sheet1!Q81</f>
        <v>Otro</v>
      </c>
      <c r="R81" s="221" t="str">
        <f>[1]Sheet1!R81</f>
        <v>Actualmente, los horarios de cursos se visualizan por módulos activos. La cual, dificulta al alumnos la correcta visualización de todos los horarios de los módulos matriculados en el portal del estudiante Cibertec.</v>
      </c>
      <c r="S81" s="221">
        <f>[1]Sheet1!S81</f>
        <v>0</v>
      </c>
      <c r="T81" s="221" t="str">
        <f>[1]Sheet1!T81</f>
        <v>Horarios de modulos matriculados</v>
      </c>
      <c r="U81" s="221">
        <f>[1]Sheet1!U81</f>
        <v>0</v>
      </c>
      <c r="V81" s="221" t="str">
        <f>[1]Sheet1!V81</f>
        <v>Experiencia</v>
      </c>
      <c r="W81" s="221" t="str">
        <f>[1]Sheet1!W81</f>
        <v>No</v>
      </c>
      <c r="X81" s="221">
        <f>[1]Sheet1!X81</f>
        <v>0</v>
      </c>
      <c r="Y81" s="221" t="str">
        <f>[1]Sheet1!Y81</f>
        <v>Mejora de experiancia del alumno al acceder a los horarios completos del periodo acádemico activo.</v>
      </c>
      <c r="Z81" s="59">
        <f>[1]Sheet1!Z81</f>
        <v>0</v>
      </c>
      <c r="AA81" s="59">
        <f>[1]Sheet1!AA81</f>
        <v>0.4</v>
      </c>
    </row>
    <row r="82" spans="1:27" ht="45.95" customHeight="1">
      <c r="A82" s="59">
        <f>[1]Sheet1!A82</f>
        <v>104</v>
      </c>
      <c r="B82" s="220">
        <f>[1]Sheet1!B82</f>
        <v>46129.492662037002</v>
      </c>
      <c r="C82" s="220">
        <f>[1]Sheet1!C82</f>
        <v>46129.635648148098</v>
      </c>
      <c r="D82" s="221" t="str">
        <f>[1]Sheet1!D82</f>
        <v>jeaniffer.caldas@laureate.pe</v>
      </c>
      <c r="E82" s="221" t="str">
        <f>[1]Sheet1!E82</f>
        <v>Jeaniffer Caldas Caceres</v>
      </c>
      <c r="F82" s="221" t="str">
        <f>[1]Sheet1!F82</f>
        <v>AI RISK ASSESSMENT</v>
      </c>
      <c r="G82" s="221"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221" t="str">
        <f>[1]Sheet1!H82</f>
        <v>LAUREATE</v>
      </c>
      <c r="I82" s="221" t="str">
        <f>[1]Sheet1!I82</f>
        <v>Humberto Marota - Tecnologías y transformación digital</v>
      </c>
      <c r="J82" s="221" t="str">
        <f>[1]Sheet1!J82</f>
        <v>Carlos Sánchez Rubio</v>
      </c>
      <c r="K82" s="221">
        <f>[1]Sheet1!K82</f>
        <v>0</v>
      </c>
      <c r="L82" s="221" t="str">
        <f>[1]Sheet1!L82</f>
        <v>Gerson Vereau</v>
      </c>
      <c r="M82" s="151">
        <f>[1]Sheet1!M82</f>
        <v>46132</v>
      </c>
      <c r="N82" s="151" t="str">
        <f>[1]Sheet1!N82</f>
        <v>No</v>
      </c>
      <c r="O82" s="221">
        <f>[1]Sheet1!O82</f>
        <v>0</v>
      </c>
      <c r="P82" s="221">
        <f>[1]Sheet1!P82</f>
        <v>0</v>
      </c>
      <c r="Q82" s="221" t="str">
        <f>[1]Sheet1!Q82</f>
        <v>Seguridad de la información</v>
      </c>
      <c r="R82" s="221"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221">
        <f>[1]Sheet1!S82</f>
        <v>0</v>
      </c>
      <c r="T82" s="221" t="str">
        <f>[1]Sheet1!T82</f>
        <v>todos los que usen inteligencia artificial y manipulación de información sensible</v>
      </c>
      <c r="U82" s="221" t="str">
        <f>[1]Sheet1!U82</f>
        <v>Administrativos</v>
      </c>
      <c r="V82" s="221" t="str">
        <f>[1]Sheet1!V82</f>
        <v>Excelencia operativa</v>
      </c>
      <c r="W82" s="221" t="str">
        <f>[1]Sheet1!W82</f>
        <v>No</v>
      </c>
      <c r="X82" s="221" t="str">
        <f>[1]Sheet1!X82</f>
        <v>No cuantificado o S/0</v>
      </c>
      <c r="Y82" s="221"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59"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59">
        <f>[1]Sheet1!AA82</f>
        <v>1.3499999999999999</v>
      </c>
    </row>
    <row r="83" spans="1:27" ht="45.95" customHeight="1">
      <c r="A83" s="59">
        <f>[1]Sheet1!A83</f>
        <v>105</v>
      </c>
      <c r="B83" s="220">
        <f>[1]Sheet1!B83</f>
        <v>46128.739814814799</v>
      </c>
      <c r="C83" s="220">
        <f>[1]Sheet1!C83</f>
        <v>46132.560960648101</v>
      </c>
      <c r="D83" s="221" t="str">
        <f>[1]Sheet1!D83</f>
        <v>angela.lucano@laureate.pe</v>
      </c>
      <c r="E83" s="221" t="str">
        <f>[1]Sheet1!E83</f>
        <v>Angela Lucano Carranza</v>
      </c>
      <c r="F83" s="221" t="str">
        <f>[1]Sheet1!F83</f>
        <v>Acompañamiento en todo el proceso de implementación del cambio curricular</v>
      </c>
      <c r="G83" s="221"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221" t="str">
        <f>[1]Sheet1!H83</f>
        <v>UPC</v>
      </c>
      <c r="I83" s="221" t="str">
        <f>[1]Sheet1!I83</f>
        <v>Milagros Morgan - Rectorado UPC</v>
      </c>
      <c r="J83" s="221" t="str">
        <f>[1]Sheet1!J83</f>
        <v xml:space="preserve">Roxana E. Pairazaman Andrade </v>
      </c>
      <c r="K83" s="221">
        <f>[1]Sheet1!K83</f>
        <v>0</v>
      </c>
      <c r="L83" s="221" t="str">
        <f>[1]Sheet1!L83</f>
        <v>Ángela Lucano</v>
      </c>
      <c r="M83" s="151">
        <f>[1]Sheet1!M83</f>
        <v>46142</v>
      </c>
      <c r="N83" s="151" t="str">
        <f>[1]Sheet1!N83</f>
        <v>No</v>
      </c>
      <c r="O83" s="221">
        <f>[1]Sheet1!O83</f>
        <v>0</v>
      </c>
      <c r="P83" s="221">
        <f>[1]Sheet1!P83</f>
        <v>0</v>
      </c>
      <c r="Q83" s="221" t="str">
        <f>[1]Sheet1!Q83</f>
        <v>Otro</v>
      </c>
      <c r="R83" s="221"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221">
        <f>[1]Sheet1!S83</f>
        <v>0</v>
      </c>
      <c r="T83" s="221"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221" t="str">
        <f>[1]Sheet1!U83</f>
        <v>Alumnos</v>
      </c>
      <c r="V83" s="221" t="str">
        <f>[1]Sheet1!V83</f>
        <v>Excelencia académica</v>
      </c>
      <c r="W83" s="221" t="str">
        <f>[1]Sheet1!W83</f>
        <v>Si</v>
      </c>
      <c r="X83" s="221" t="str">
        <f>[1]Sheet1!X83</f>
        <v>No cuantificado o S/0</v>
      </c>
      <c r="Y83" s="221"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59">
        <f>[1]Sheet1!Z83</f>
        <v>0</v>
      </c>
      <c r="AA83" s="59">
        <f>[1]Sheet1!AA83</f>
        <v>1.25</v>
      </c>
    </row>
    <row r="84" spans="1:27" ht="29.25" customHeight="1">
      <c r="A84" s="59">
        <f>[1]Sheet1!A84</f>
        <v>106</v>
      </c>
      <c r="B84" s="220">
        <f>[1]Sheet1!B84</f>
        <v>46133.4069675926</v>
      </c>
      <c r="C84" s="220">
        <f>[1]Sheet1!C84</f>
        <v>46133.409571759301</v>
      </c>
      <c r="D84" s="221" t="str">
        <f>[1]Sheet1!D84</f>
        <v>daniella.poppe@laureate.pe</v>
      </c>
      <c r="E84" s="221" t="str">
        <f>[1]Sheet1!E84</f>
        <v>Daniella Poppe Medina</v>
      </c>
      <c r="F84" s="221" t="str">
        <f>[1]Sheet1!F84</f>
        <v>Digitalización trámite Digitalización Certificado de Estudios</v>
      </c>
      <c r="G84" s="221"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221" t="str">
        <f>[1]Sheet1!H84</f>
        <v>UPC</v>
      </c>
      <c r="I84" s="221" t="str">
        <f>[1]Sheet1!I84</f>
        <v>Mónica García - VP Operaciones Digitales y Online</v>
      </c>
      <c r="J84" s="221" t="str">
        <f>[1]Sheet1!J84</f>
        <v xml:space="preserve">Luis Roncal </v>
      </c>
      <c r="K84" s="221">
        <f>[1]Sheet1!K84</f>
        <v>0</v>
      </c>
      <c r="L84" s="221" t="str">
        <f>[1]Sheet1!L84</f>
        <v>Carla Arias-Schreiber</v>
      </c>
      <c r="M84" s="151">
        <f>[1]Sheet1!M84</f>
        <v>46173</v>
      </c>
      <c r="N84" s="151" t="str">
        <f>[1]Sheet1!N84</f>
        <v>Si</v>
      </c>
      <c r="O84" s="221" t="str">
        <f>[1]Sheet1!O84</f>
        <v>G&amp;A</v>
      </c>
      <c r="P84" s="221">
        <f>[1]Sheet1!P84</f>
        <v>0</v>
      </c>
      <c r="Q84" s="221" t="str">
        <f>[1]Sheet1!Q84</f>
        <v>Otro</v>
      </c>
      <c r="R84" s="221"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221">
        <f>[1]Sheet1!S84</f>
        <v>0</v>
      </c>
      <c r="T84" s="221" t="str">
        <f>[1]Sheet1!T84</f>
        <v>Pago de trámites</v>
      </c>
      <c r="U84" s="221">
        <f>[1]Sheet1!U84</f>
        <v>0</v>
      </c>
      <c r="V84" s="221" t="str">
        <f>[1]Sheet1!V84</f>
        <v>Experiencia</v>
      </c>
      <c r="W84" s="221" t="str">
        <f>[1]Sheet1!W84</f>
        <v>No</v>
      </c>
      <c r="X84" s="221">
        <f>[1]Sheet1!X84</f>
        <v>0</v>
      </c>
      <c r="Y84" s="221"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59"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59">
        <f>[1]Sheet1!AA84</f>
        <v>1.9</v>
      </c>
    </row>
    <row r="85" spans="1:27" ht="29.25" customHeight="1">
      <c r="A85" s="59">
        <f>[1]Sheet1!A85</f>
        <v>107</v>
      </c>
      <c r="B85" s="220">
        <f>[1]Sheet1!B85</f>
        <v>46132.585914351803</v>
      </c>
      <c r="C85" s="220">
        <f>[1]Sheet1!C85</f>
        <v>46133.479745370401</v>
      </c>
      <c r="D85" s="221" t="str">
        <f>[1]Sheet1!D85</f>
        <v>javier.santiago@laureate.pe</v>
      </c>
      <c r="E85" s="221" t="str">
        <f>[1]Sheet1!E85</f>
        <v>Javier Santiago Modesto</v>
      </c>
      <c r="F85" s="221" t="str">
        <f>[1]Sheet1!F85</f>
        <v>Agrupamiento y ordenación de cursos por módulo - Portal estudiante UPN</v>
      </c>
      <c r="G85" s="221" t="str">
        <f>[1]Sheet1!G85</f>
        <v>Necesitamos ordenar y agrupar los cursos por módulo, para mejorar la experiencia de los alumnos, logrando que el 100% de los alumnos visualizen correctamente los cursos por iniciar, iniciados y terminados.</v>
      </c>
      <c r="H85" s="221" t="str">
        <f>[1]Sheet1!H85</f>
        <v>UPN</v>
      </c>
      <c r="I85" s="221" t="str">
        <f>[1]Sheet1!I85</f>
        <v>Mónica García - VP Operaciones Digitales y Online</v>
      </c>
      <c r="J85" s="221" t="str">
        <f>[1]Sheet1!J85</f>
        <v xml:space="preserve">Janny Nicasio </v>
      </c>
      <c r="K85" s="221">
        <f>[1]Sheet1!K85</f>
        <v>0</v>
      </c>
      <c r="L85" s="221" t="str">
        <f>[1]Sheet1!L85</f>
        <v>Carla Arias-Schreiber</v>
      </c>
      <c r="M85" s="151">
        <f>[1]Sheet1!M85</f>
        <v>46142</v>
      </c>
      <c r="N85" s="151" t="str">
        <f>[1]Sheet1!N85</f>
        <v>No</v>
      </c>
      <c r="O85" s="221">
        <f>[1]Sheet1!O85</f>
        <v>0</v>
      </c>
      <c r="P85" s="221">
        <f>[1]Sheet1!P85</f>
        <v>0</v>
      </c>
      <c r="Q85" s="221" t="str">
        <f>[1]Sheet1!Q85</f>
        <v>Otro</v>
      </c>
      <c r="R85" s="221" t="str">
        <f>[1]Sheet1!R85</f>
        <v>En el portal del estudiante UPN, los alumnos visualizan los cursos denominados "Virtuales" desorganizados y con un estado incorrecto porque no cuentan con las fecha de inicio y fin de periodo.</v>
      </c>
      <c r="S85" s="221">
        <f>[1]Sheet1!S85</f>
        <v>0</v>
      </c>
      <c r="T85" s="221" t="str">
        <f>[1]Sheet1!T85</f>
        <v>Horarios de Periodos</v>
      </c>
      <c r="U85" s="221">
        <f>[1]Sheet1!U85</f>
        <v>0</v>
      </c>
      <c r="V85" s="221" t="str">
        <f>[1]Sheet1!V85</f>
        <v>Experiencia</v>
      </c>
      <c r="W85" s="221" t="str">
        <f>[1]Sheet1!W85</f>
        <v>No</v>
      </c>
      <c r="X85" s="221">
        <f>[1]Sheet1!X85</f>
        <v>0</v>
      </c>
      <c r="Y85" s="221" t="str">
        <f>[1]Sheet1!Y85</f>
        <v>Mejora de experiancia del alumno al acceder a los cursos organizados de su horarios de periodo.</v>
      </c>
      <c r="Z85" s="59">
        <f>[1]Sheet1!Z85</f>
        <v>0</v>
      </c>
      <c r="AA85" s="59">
        <f>[1]Sheet1!AA85</f>
        <v>0.4</v>
      </c>
    </row>
    <row r="86" spans="1:27" ht="29.25" customHeight="1">
      <c r="A86" s="59">
        <f>[1]Sheet1!A86</f>
        <v>108</v>
      </c>
      <c r="B86" s="220">
        <f>[1]Sheet1!B86</f>
        <v>46133.503645833298</v>
      </c>
      <c r="C86" s="220">
        <f>[1]Sheet1!C86</f>
        <v>46133.541018518503</v>
      </c>
      <c r="D86" s="221" t="str">
        <f>[1]Sheet1!D86</f>
        <v>angela.lucano@laureate.pe</v>
      </c>
      <c r="E86" s="221" t="str">
        <f>[1]Sheet1!E86</f>
        <v>Angela Lucano Carranza</v>
      </c>
      <c r="F86" s="221" t="str">
        <f>[1]Sheet1!F86</f>
        <v>Estrategia de habilitación de cursos en Blackboard UPN para evitar impactos en la operación académica</v>
      </c>
      <c r="G86" s="221"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221" t="str">
        <f>[1]Sheet1!H86</f>
        <v>UPN</v>
      </c>
      <c r="I86" s="221" t="str">
        <f>[1]Sheet1!I86</f>
        <v>Mónica García - VP Operaciones Digitales y Online</v>
      </c>
      <c r="J86" s="221" t="str">
        <f>[1]Sheet1!J86</f>
        <v xml:space="preserve">Carlos Olivera </v>
      </c>
      <c r="K86" s="221">
        <f>[1]Sheet1!K86</f>
        <v>0</v>
      </c>
      <c r="L86" s="221" t="str">
        <f>[1]Sheet1!L86</f>
        <v>Ángela Lucano</v>
      </c>
      <c r="M86" s="151">
        <f>[1]Sheet1!M86</f>
        <v>46188</v>
      </c>
      <c r="N86" s="151" t="str">
        <f>[1]Sheet1!N86</f>
        <v>No</v>
      </c>
      <c r="O86" s="221">
        <f>[1]Sheet1!O86</f>
        <v>0</v>
      </c>
      <c r="P86" s="221">
        <f>[1]Sheet1!P86</f>
        <v>0</v>
      </c>
      <c r="Q86" s="221" t="str">
        <f>[1]Sheet1!Q86</f>
        <v>Otro</v>
      </c>
      <c r="R86" s="221" t="str">
        <f>[1]Sheet1!R86</f>
        <v>La integración entre Banner y Blackboard no garantiza la creación, configuración y visibilidad oportuna de los cursos bajo criterios académicos actuales.</v>
      </c>
      <c r="S86" s="221">
        <f>[1]Sheet1!S86</f>
        <v>0</v>
      </c>
      <c r="T86" s="221" t="str">
        <f>[1]Sheet1!T86</f>
        <v>Clonación en Blackboard</v>
      </c>
      <c r="U86" s="221" t="str">
        <f>[1]Sheet1!U86</f>
        <v>Alumnos</v>
      </c>
      <c r="V86" s="221" t="str">
        <f>[1]Sheet1!V86</f>
        <v>Excelencia operativa</v>
      </c>
      <c r="W86" s="221" t="str">
        <f>[1]Sheet1!W86</f>
        <v>No</v>
      </c>
      <c r="X86" s="221" t="str">
        <f>[1]Sheet1!X86</f>
        <v>No cuantificado o S/0</v>
      </c>
      <c r="Y86" s="221"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59" t="str">
        <f>[1]Sheet1!Z86</f>
        <v>https://educorpperu-my.sharepoint.com/personal/diana_zapata_laureate_pe1/_layouts/15/Doc.aspx?sourcedoc=%7B0DDE374D-C347-4DB4-B1BA-BD0C3FD83E2E%7D&amp;file=Solicitud%20de%20cambio%20-%20NRC%20Anticipados%20y%20Modul_Angela%20Lucano%20Carran.pptx&amp;action=edit&amp;mobileredirect=true</v>
      </c>
      <c r="AA86" s="59">
        <f>[1]Sheet1!AA86</f>
        <v>1.05</v>
      </c>
    </row>
    <row r="87" spans="1:27" ht="29.25" customHeight="1">
      <c r="A87" s="59">
        <f>[1]Sheet1!A87</f>
        <v>109</v>
      </c>
      <c r="B87" s="220">
        <f>[1]Sheet1!B87</f>
        <v>46133.621030092603</v>
      </c>
      <c r="C87" s="220">
        <f>[1]Sheet1!C87</f>
        <v>46133.642569444397</v>
      </c>
      <c r="D87" s="221" t="str">
        <f>[1]Sheet1!D87</f>
        <v>jose.herbozo@laureate.pe</v>
      </c>
      <c r="E87" s="221" t="str">
        <f>[1]Sheet1!E87</f>
        <v>José Paredes Herbozo</v>
      </c>
      <c r="F87" s="221" t="str">
        <f>[1]Sheet1!F87</f>
        <v>Adelantar horario de generación de los reportes: Plano, llamadas y GD Banner</v>
      </c>
      <c r="G87" s="221"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221" t="str">
        <f>[1]Sheet1!H87</f>
        <v>UPN</v>
      </c>
      <c r="I87" s="221" t="str">
        <f>[1]Sheet1!I87</f>
        <v>Ivan Olivares - VP Marketing y Comercial</v>
      </c>
      <c r="J87" s="221" t="str">
        <f>[1]Sheet1!J87</f>
        <v xml:space="preserve">Álvaro Verástegui </v>
      </c>
      <c r="K87" s="221">
        <f>[1]Sheet1!K87</f>
        <v>0</v>
      </c>
      <c r="L87" s="221" t="str">
        <f>[1]Sheet1!L87</f>
        <v>Jose Paredes</v>
      </c>
      <c r="M87" s="151">
        <f>[1]Sheet1!M87</f>
        <v>46157</v>
      </c>
      <c r="N87" s="151" t="str">
        <f>[1]Sheet1!N87</f>
        <v>No</v>
      </c>
      <c r="O87" s="221">
        <f>[1]Sheet1!O87</f>
        <v>0</v>
      </c>
      <c r="P87" s="221">
        <f>[1]Sheet1!P87</f>
        <v>0</v>
      </c>
      <c r="Q87" s="221" t="str">
        <f>[1]Sheet1!Q87</f>
        <v>Otro</v>
      </c>
      <c r="R87" s="221" t="str">
        <f>[1]Sheet1!R87</f>
        <v>Se requiere que los 3 reportes estén listos y disponibles para el uso del equipo Comercial a las 6 am.</v>
      </c>
      <c r="S87" s="221">
        <f>[1]Sheet1!S87</f>
        <v>0</v>
      </c>
      <c r="T87" s="221" t="str">
        <f>[1]Sheet1!T87</f>
        <v>Ventas, admisión, Marketing.</v>
      </c>
      <c r="U87" s="221" t="str">
        <f>[1]Sheet1!U87</f>
        <v>Administrativos</v>
      </c>
      <c r="V87" s="221" t="str">
        <f>[1]Sheet1!V87</f>
        <v>Crecimiento escalable</v>
      </c>
      <c r="W87" s="221" t="str">
        <f>[1]Sheet1!W87</f>
        <v>No</v>
      </c>
      <c r="X87" s="221" t="str">
        <f>[1]Sheet1!X87</f>
        <v>No cuantificado o S/0</v>
      </c>
      <c r="Y87" s="221" t="str">
        <f>[1]Sheet1!Y87</f>
        <v>Incremento en las ventas</v>
      </c>
      <c r="Z87" s="59">
        <f>[1]Sheet1!Z87</f>
        <v>0</v>
      </c>
      <c r="AA87" s="59">
        <f>[1]Sheet1!AA87</f>
        <v>0.65</v>
      </c>
    </row>
    <row r="88" spans="1:27" ht="29.25" customHeight="1">
      <c r="A88" s="59">
        <f>[1]Sheet1!A88</f>
        <v>110</v>
      </c>
      <c r="B88" s="220">
        <f>[1]Sheet1!B88</f>
        <v>46133.981412036999</v>
      </c>
      <c r="C88" s="220">
        <f>[1]Sheet1!C88</f>
        <v>46133.989837963003</v>
      </c>
      <c r="D88" s="221" t="str">
        <f>[1]Sheet1!D88</f>
        <v>jose.herbozo@laureate.pe</v>
      </c>
      <c r="E88" s="221" t="str">
        <f>[1]Sheet1!E88</f>
        <v>José Paredes Herbozo</v>
      </c>
      <c r="F88" s="221" t="str">
        <f>[1]Sheet1!F88</f>
        <v>Incorporar los descuentos con 100% al reporte de matrícula que emite CRM</v>
      </c>
      <c r="G88" s="221"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221" t="str">
        <f>[1]Sheet1!H88</f>
        <v>UPN</v>
      </c>
      <c r="I88" s="221" t="str">
        <f>[1]Sheet1!I88</f>
        <v>Ivan Olivares - VP Marketing y Comercial</v>
      </c>
      <c r="J88" s="221" t="str">
        <f>[1]Sheet1!J88</f>
        <v>Álvaro Verástegui</v>
      </c>
      <c r="K88" s="221">
        <f>[1]Sheet1!K88</f>
        <v>0</v>
      </c>
      <c r="L88" s="221" t="str">
        <f>[1]Sheet1!L88</f>
        <v>Jose Paredes</v>
      </c>
      <c r="M88" s="151">
        <f>[1]Sheet1!M88</f>
        <v>46157</v>
      </c>
      <c r="N88" s="151" t="str">
        <f>[1]Sheet1!N88</f>
        <v>No</v>
      </c>
      <c r="O88" s="221">
        <f>[1]Sheet1!O88</f>
        <v>0</v>
      </c>
      <c r="P88" s="221">
        <f>[1]Sheet1!P88</f>
        <v>0</v>
      </c>
      <c r="Q88" s="221" t="str">
        <f>[1]Sheet1!Q88</f>
        <v>Otro</v>
      </c>
      <c r="R88" s="221"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221">
        <f>[1]Sheet1!S88</f>
        <v>0</v>
      </c>
      <c r="T88" s="221" t="str">
        <f>[1]Sheet1!T88</f>
        <v>Comercial</v>
      </c>
      <c r="U88" s="221" t="str">
        <f>[1]Sheet1!U88</f>
        <v>Administrativos</v>
      </c>
      <c r="V88" s="221" t="str">
        <f>[1]Sheet1!V88</f>
        <v>Crecimiento escalable</v>
      </c>
      <c r="W88" s="221" t="str">
        <f>[1]Sheet1!W88</f>
        <v>No</v>
      </c>
      <c r="X88" s="221" t="str">
        <f>[1]Sheet1!X88</f>
        <v>No cuantificado o S/0</v>
      </c>
      <c r="Y88" s="221" t="str">
        <f>[1]Sheet1!Y88</f>
        <v>Toma de decisiones corporativas que da beneficios a todos</v>
      </c>
      <c r="Z88" s="59">
        <f>[1]Sheet1!Z88</f>
        <v>0</v>
      </c>
      <c r="AA88" s="59">
        <f>[1]Sheet1!AA88</f>
        <v>0.65</v>
      </c>
    </row>
    <row r="89" spans="1:27" ht="29.25" customHeight="1">
      <c r="A89" s="59">
        <f>[1]Sheet1!A89</f>
        <v>111</v>
      </c>
      <c r="B89" s="220">
        <f>[1]Sheet1!B89</f>
        <v>46134.395162036999</v>
      </c>
      <c r="C89" s="220">
        <f>[1]Sheet1!C89</f>
        <v>46134.427453703698</v>
      </c>
      <c r="D89" s="221" t="str">
        <f>[1]Sheet1!D89</f>
        <v>angela.lucano@laureate.pe</v>
      </c>
      <c r="E89" s="221" t="str">
        <f>[1]Sheet1!E89</f>
        <v>Angela Lucano Carranza</v>
      </c>
      <c r="F89" s="221" t="str">
        <f>[1]Sheet1!F89</f>
        <v>Automatización RPA para la Actualización de Contenido en Cursos Asíncronos UPN</v>
      </c>
      <c r="G89" s="221"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221" t="str">
        <f>[1]Sheet1!H89</f>
        <v>UPN</v>
      </c>
      <c r="I89" s="221" t="str">
        <f>[1]Sheet1!I89</f>
        <v>Mónica García - VP Operaciones Digitales y Online</v>
      </c>
      <c r="J89" s="221" t="str">
        <f>[1]Sheet1!J89</f>
        <v xml:space="preserve">Carlos Olivera </v>
      </c>
      <c r="K89" s="221">
        <f>[1]Sheet1!K89</f>
        <v>0</v>
      </c>
      <c r="L89" s="221" t="str">
        <f>[1]Sheet1!L89</f>
        <v>Ángela Lucano</v>
      </c>
      <c r="M89" s="151">
        <f>[1]Sheet1!M89</f>
        <v>46234</v>
      </c>
      <c r="N89" s="151" t="str">
        <f>[1]Sheet1!N89</f>
        <v>No</v>
      </c>
      <c r="O89" s="221">
        <f>[1]Sheet1!O89</f>
        <v>0</v>
      </c>
      <c r="P89" s="221">
        <f>[1]Sheet1!P89</f>
        <v>0</v>
      </c>
      <c r="Q89" s="221" t="str">
        <f>[1]Sheet1!Q89</f>
        <v>Otro</v>
      </c>
      <c r="R89" s="221" t="str">
        <f>[1]Sheet1!R89</f>
        <v>El proceso de actualización de cursos asíncronos presenta alta carga manual y variabilidad, generando errores frecuentes en bancos de preguntas y contenido, lo que afecta la eficiencia operativa y la calidad de los cursos.</v>
      </c>
      <c r="S89" s="221">
        <f>[1]Sheet1!S89</f>
        <v>0</v>
      </c>
      <c r="T89" s="221" t="str">
        <f>[1]Sheet1!T89</f>
        <v>Ensamblaje de cursos asíncronos
Actualización de contenido y banco de preguntas
Control de calidad y corrección de errores en clones
Clonación de cursos</v>
      </c>
      <c r="U89" s="221" t="str">
        <f>[1]Sheet1!U89</f>
        <v>Administrativos</v>
      </c>
      <c r="V89" s="221" t="str">
        <f>[1]Sheet1!V89</f>
        <v>Excelencia operativa</v>
      </c>
      <c r="W89" s="221" t="str">
        <f>[1]Sheet1!W89</f>
        <v>No</v>
      </c>
      <c r="X89" s="221" t="str">
        <f>[1]Sheet1!X89</f>
        <v>Menor a S/100,000.00</v>
      </c>
      <c r="Y89" s="221" t="str">
        <f>[1]Sheet1!Y89</f>
        <v>Cursos con contenido y evaluaciones consistentes y sin errores.
Mayor confiabilidad en las evaluaciones y materiales de aprendizaje.
Experiencia más fluida, estandarizada y predecible en todos los cursos asíncronos.</v>
      </c>
      <c r="Z89" s="59"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59">
        <f>[1]Sheet1!AA89</f>
        <v>0.75000000000000011</v>
      </c>
    </row>
    <row r="90" spans="1:27" ht="29.25" customHeight="1">
      <c r="A90" s="59">
        <f>[1]Sheet1!A90</f>
        <v>112</v>
      </c>
      <c r="B90" s="220">
        <f>[1]Sheet1!B90</f>
        <v>46135.002974536997</v>
      </c>
      <c r="C90" s="220">
        <f>[1]Sheet1!C90</f>
        <v>46135.0083101852</v>
      </c>
      <c r="D90" s="221" t="str">
        <f>[1]Sheet1!D90</f>
        <v>jose.herbozo@laureate.pe</v>
      </c>
      <c r="E90" s="221" t="str">
        <f>[1]Sheet1!E90</f>
        <v>José Paredes Herbozo</v>
      </c>
      <c r="F90" s="221" t="str">
        <f>[1]Sheet1!F90</f>
        <v>Habilitar uso de External Tag</v>
      </c>
      <c r="G90" s="221" t="str">
        <f>[1]Sheet1!G90</f>
        <v>Implementar en Genesys Cloud la transferencia automática del campo "Código de Persona", ubicado en la lista de contactos, hacia la Etiqueta Externa de la interacción outbound.</v>
      </c>
      <c r="H90" s="221" t="str">
        <f>[1]Sheet1!H90</f>
        <v>LAUREATE</v>
      </c>
      <c r="I90" s="221" t="str">
        <f>[1]Sheet1!I90</f>
        <v>Ivan Olivares - VP Marketing y Comercial</v>
      </c>
      <c r="J90" s="221" t="str">
        <f>[1]Sheet1!J90</f>
        <v>Roberto Yepez</v>
      </c>
      <c r="K90" s="221">
        <f>[1]Sheet1!K90</f>
        <v>0</v>
      </c>
      <c r="L90" s="221" t="str">
        <f>[1]Sheet1!L90</f>
        <v>Jose Paredes</v>
      </c>
      <c r="M90" s="151">
        <f>[1]Sheet1!M90</f>
        <v>46157</v>
      </c>
      <c r="N90" s="151" t="str">
        <f>[1]Sheet1!N90</f>
        <v>No</v>
      </c>
      <c r="O90" s="221">
        <f>[1]Sheet1!O90</f>
        <v>0</v>
      </c>
      <c r="P90" s="221">
        <f>[1]Sheet1!P90</f>
        <v>0</v>
      </c>
      <c r="Q90" s="221" t="str">
        <f>[1]Sheet1!Q90</f>
        <v>Otro</v>
      </c>
      <c r="R90" s="221" t="str">
        <f>[1]Sheet1!R90</f>
        <v>Implementar en Genesys Cloud la transferencia automática del campo "Código de Persona", ubicado en la lista de contactos, hacia la Etiqueta Externa de la interacción outbound.</v>
      </c>
      <c r="S90" s="221">
        <f>[1]Sheet1!S90</f>
        <v>0</v>
      </c>
      <c r="T90" s="221" t="str">
        <f>[1]Sheet1!T90</f>
        <v>Implementar en Genesys Cloud la transferencia automática del campo "Código de Persona", ubicado en la lista de contactos, hacia la Etiqueta Externa de la interacción outbound.</v>
      </c>
      <c r="U90" s="221" t="str">
        <f>[1]Sheet1!U90</f>
        <v>Administrativos</v>
      </c>
      <c r="V90" s="221" t="str">
        <f>[1]Sheet1!V90</f>
        <v>Excelencia operativa</v>
      </c>
      <c r="W90" s="221" t="str">
        <f>[1]Sheet1!W90</f>
        <v>No</v>
      </c>
      <c r="X90" s="221" t="str">
        <f>[1]Sheet1!X90</f>
        <v>No cuantificado o S/0</v>
      </c>
      <c r="Y90" s="221" t="str">
        <f>[1]Sheet1!Y90</f>
        <v xml:space="preserve">Mejora la trazabilidad del lead, la calidad de la reportería y reduce reprocesos manuales de conciliación
</v>
      </c>
      <c r="Z90" s="59" t="str">
        <f>[1]Sheet1!Z90</f>
        <v>https://educorpperu-my.sharepoint.com/personal/diana_zapata_laureate_pe1/_layouts/15/Doc.aspx?sourcedoc=%7BAAC2DFB6-6438-4925-B98C-55078195DC5E%7D&amp;file=Solicitud%20de%20requerimientos_Etiqueta%20Externa_Jos%C3%A9%20Paredes%20Herbozo.pptx&amp;action=edit&amp;mobileredirect=true</v>
      </c>
      <c r="AA90" s="59">
        <f>[1]Sheet1!AA90</f>
        <v>0.45000000000000007</v>
      </c>
    </row>
    <row r="91" spans="1:27" ht="29.25" customHeight="1">
      <c r="A91" s="59">
        <f>[1]Sheet1!A91</f>
        <v>113</v>
      </c>
      <c r="B91" s="220">
        <f>[1]Sheet1!B91</f>
        <v>46135.407118055598</v>
      </c>
      <c r="C91" s="220">
        <f>[1]Sheet1!C91</f>
        <v>46135.410821759302</v>
      </c>
      <c r="D91" s="221" t="str">
        <f>[1]Sheet1!D91</f>
        <v>jose.herbozo@laureate.pe</v>
      </c>
      <c r="E91" s="221" t="str">
        <f>[1]Sheet1!E91</f>
        <v>José Paredes Herbozo</v>
      </c>
      <c r="F91" s="221" t="str">
        <f>[1]Sheet1!F91</f>
        <v>Elaborar un Funnel para el equipo de We Talk</v>
      </c>
      <c r="G91" s="221" t="str">
        <f>[1]Sheet1!G91</f>
        <v>Tener visibilidad de la información de ventas de We Talk que se ofrece para las 3 instituciones.</v>
      </c>
      <c r="H91" s="221" t="str">
        <f>[1]Sheet1!H91</f>
        <v>LAUREATE</v>
      </c>
      <c r="I91" s="221" t="str">
        <f>[1]Sheet1!I91</f>
        <v>Ivan Olivares - VP Marketing y Comercial</v>
      </c>
      <c r="J91" s="221" t="str">
        <f>[1]Sheet1!J91</f>
        <v>Gianfranco Espinoza</v>
      </c>
      <c r="K91" s="221">
        <f>[1]Sheet1!K91</f>
        <v>0</v>
      </c>
      <c r="L91" s="221" t="str">
        <f>[1]Sheet1!L91</f>
        <v>Jose Paredes</v>
      </c>
      <c r="M91" s="151">
        <f>[1]Sheet1!M91</f>
        <v>46172</v>
      </c>
      <c r="N91" s="151" t="str">
        <f>[1]Sheet1!N91</f>
        <v>Si</v>
      </c>
      <c r="O91" s="221" t="str">
        <f>[1]Sheet1!O91</f>
        <v>Revenue Growth</v>
      </c>
      <c r="P91" s="221">
        <f>[1]Sheet1!P91</f>
        <v>77760</v>
      </c>
      <c r="Q91" s="221" t="str">
        <f>[1]Sheet1!Q91</f>
        <v>Otro</v>
      </c>
      <c r="R91" s="221" t="str">
        <f>[1]Sheet1!R91</f>
        <v>Actualmente el equipo de We Talk no tiene un dashboard para visualizar sus ventas en las 3 instituciones.</v>
      </c>
      <c r="S91" s="221">
        <f>[1]Sheet1!S91</f>
        <v>0</v>
      </c>
      <c r="T91" s="221" t="str">
        <f>[1]Sheet1!T91</f>
        <v>Ventas</v>
      </c>
      <c r="U91" s="221" t="str">
        <f>[1]Sheet1!U91</f>
        <v>Administrativos</v>
      </c>
      <c r="V91" s="221" t="str">
        <f>[1]Sheet1!V91</f>
        <v>Crecimiento escalable</v>
      </c>
      <c r="W91" s="221" t="str">
        <f>[1]Sheet1!W91</f>
        <v>No</v>
      </c>
      <c r="X91" s="221" t="str">
        <f>[1]Sheet1!X91</f>
        <v>No cuantificado o S/0</v>
      </c>
      <c r="Y91" s="221" t="str">
        <f>[1]Sheet1!Y91</f>
        <v>Mejor toma de decisiones, incremento en ventas</v>
      </c>
      <c r="Z91" s="59">
        <f>[1]Sheet1!Z91</f>
        <v>0</v>
      </c>
      <c r="AA91" s="59">
        <f>[1]Sheet1!AA91</f>
        <v>2.15</v>
      </c>
    </row>
    <row r="92" spans="1:27" ht="29.25" customHeight="1">
      <c r="A92" s="59">
        <f>[1]Sheet1!A92</f>
        <v>114</v>
      </c>
      <c r="B92" s="220">
        <f>[1]Sheet1!B92</f>
        <v>46136.035648148099</v>
      </c>
      <c r="C92" s="220">
        <f>[1]Sheet1!C92</f>
        <v>46136.0446296296</v>
      </c>
      <c r="D92" s="221" t="str">
        <f>[1]Sheet1!D92</f>
        <v>jose.herbozo@laureate.pe</v>
      </c>
      <c r="E92" s="221" t="str">
        <f>[1]Sheet1!E92</f>
        <v>José Paredes Herbozo</v>
      </c>
      <c r="F92" s="221" t="str">
        <f>[1]Sheet1!F92</f>
        <v>Automatización del reporte de recálculo de ingresos contables</v>
      </c>
      <c r="G92" s="221" t="str">
        <f>[1]Sheet1!G92</f>
        <v xml:space="preserve">Automatizar un reporte estandarizado que permita recalcular y conciliar los ingresos contables desde PeopleSoft, considerando alumnos matriculados, patrocinados y no matriculados, con corte por periodo académico y fecha de cierre.
</v>
      </c>
      <c r="H92" s="221" t="str">
        <f>[1]Sheet1!H92</f>
        <v>UPN</v>
      </c>
      <c r="I92" s="221" t="str">
        <f>[1]Sheet1!I92</f>
        <v>Alex Pendavis - VP Finanzas</v>
      </c>
      <c r="J92" s="221" t="str">
        <f>[1]Sheet1!J92</f>
        <v xml:space="preserve">Elian I. Chumbimune Yauri </v>
      </c>
      <c r="K92" s="221">
        <f>[1]Sheet1!K92</f>
        <v>0</v>
      </c>
      <c r="L92" s="221" t="str">
        <f>[1]Sheet1!L92</f>
        <v>Gerson Vereau</v>
      </c>
      <c r="M92" s="151">
        <f>[1]Sheet1!M92</f>
        <v>46172</v>
      </c>
      <c r="N92" s="151" t="str">
        <f>[1]Sheet1!N92</f>
        <v>No</v>
      </c>
      <c r="O92" s="221">
        <f>[1]Sheet1!O92</f>
        <v>0</v>
      </c>
      <c r="P92" s="221">
        <f>[1]Sheet1!P92</f>
        <v>0</v>
      </c>
      <c r="Q92" s="221" t="str">
        <f>[1]Sheet1!Q92</f>
        <v>Otro</v>
      </c>
      <c r="R92" s="221"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221">
        <f>[1]Sheet1!S92</f>
        <v>0</v>
      </c>
      <c r="T92" s="221" t="str">
        <f>[1]Sheet1!T92</f>
        <v xml:space="preserve">Contabilidad </v>
      </c>
      <c r="U92" s="221" t="str">
        <f>[1]Sheet1!U92</f>
        <v>Administrativos</v>
      </c>
      <c r="V92" s="221" t="str">
        <f>[1]Sheet1!V92</f>
        <v>Excelencia operativa</v>
      </c>
      <c r="W92" s="221" t="str">
        <f>[1]Sheet1!W92</f>
        <v>No</v>
      </c>
      <c r="X92" s="221" t="str">
        <f>[1]Sheet1!X92</f>
        <v>No cuantificado o S/0</v>
      </c>
      <c r="Y92" s="221"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59" t="str">
        <f>[1]Sheet1!Z92</f>
        <v>https://educorpperu-my.sharepoint.com/personal/diana_zapata_laureate_pe1/_layouts/15/Doc.aspx?sourcedoc=%7BAC80CDFA-327B-47AB-A478-0577DBD8FE0E%7D&amp;file=Requerimiento%20Reporte%20Recalculo%20de%20ingresos_Jos%C3%A9%20Paredes%20Herbozo.pptx&amp;action=edit&amp;mobileredirect=true</v>
      </c>
      <c r="AA92" s="59">
        <f>[1]Sheet1!AA92</f>
        <v>0.45000000000000007</v>
      </c>
    </row>
    <row r="93" spans="1:27" ht="38.450000000000003" customHeight="1">
      <c r="A93" s="59">
        <f>[1]Sheet1!A93</f>
        <v>115</v>
      </c>
      <c r="B93" s="220">
        <f>[1]Sheet1!B93</f>
        <v>46136.386631944399</v>
      </c>
      <c r="C93" s="220">
        <f>[1]Sheet1!C93</f>
        <v>46136.399050925902</v>
      </c>
      <c r="D93" s="221" t="str">
        <f>[1]Sheet1!D93</f>
        <v>gerson.vereau@laureate.pe</v>
      </c>
      <c r="E93" s="221" t="str">
        <f>[1]Sheet1!E93</f>
        <v>Gerson Vereau Rosas</v>
      </c>
      <c r="F93" s="221" t="str">
        <f>[1]Sheet1!F93</f>
        <v>Cambio SAC - SRL</v>
      </c>
      <c r="G93" s="221" t="str">
        <f>[1]Sheet1!G93</f>
        <v>Proceso de cambio de tipo de sociedad de Cibertec, pasando de SAC a SRL.</v>
      </c>
      <c r="H93" s="221" t="str">
        <f>[1]Sheet1!H93</f>
        <v>CIB</v>
      </c>
      <c r="I93" s="221" t="str">
        <f>[1]Sheet1!I93</f>
        <v>Alex Pendavis - VP Finanzas</v>
      </c>
      <c r="J93" s="221" t="str">
        <f>[1]Sheet1!J93</f>
        <v xml:space="preserve">Rafael Andrade </v>
      </c>
      <c r="K93" s="221">
        <f>[1]Sheet1!K93</f>
        <v>0</v>
      </c>
      <c r="L93" s="221" t="str">
        <f>[1]Sheet1!L93</f>
        <v>Gerson Vereau</v>
      </c>
      <c r="M93" s="151">
        <f>[1]Sheet1!M93</f>
        <v>46136</v>
      </c>
      <c r="N93" s="151" t="str">
        <f>[1]Sheet1!N93</f>
        <v>No</v>
      </c>
      <c r="O93" s="221">
        <f>[1]Sheet1!O93</f>
        <v>0</v>
      </c>
      <c r="P93" s="221">
        <f>[1]Sheet1!P93</f>
        <v>0</v>
      </c>
      <c r="Q93" s="221" t="str">
        <f>[1]Sheet1!Q93</f>
        <v>Legal</v>
      </c>
      <c r="R93" s="221" t="str">
        <f>[1]Sheet1!R93</f>
        <v>Proceso de cambio de tipo de sociedad de Cibertec, pasando de SAC a SRL.</v>
      </c>
      <c r="S93" s="221">
        <f>[1]Sheet1!S93</f>
        <v>0</v>
      </c>
      <c r="T93" s="221" t="str">
        <f>[1]Sheet1!T93</f>
        <v>Procesos de facturación</v>
      </c>
      <c r="U93" s="221" t="str">
        <f>[1]Sheet1!U93</f>
        <v>Ninguno</v>
      </c>
      <c r="V93" s="221" t="str">
        <f>[1]Sheet1!V93</f>
        <v>Excelencia operativa</v>
      </c>
      <c r="W93" s="221" t="str">
        <f>[1]Sheet1!W93</f>
        <v>No</v>
      </c>
      <c r="X93" s="221" t="str">
        <f>[1]Sheet1!X93</f>
        <v>No cuantificado o S/0</v>
      </c>
      <c r="Y93" s="221" t="str">
        <f>[1]Sheet1!Y93</f>
        <v>Regulatorio - Evitar sanciones a CIB</v>
      </c>
      <c r="Z93" s="59">
        <f>[1]Sheet1!Z93</f>
        <v>0</v>
      </c>
      <c r="AA93" s="59">
        <f>[1]Sheet1!AA93</f>
        <v>1.8</v>
      </c>
    </row>
    <row r="94" spans="1:27" ht="38.450000000000003" customHeight="1">
      <c r="A94" s="59">
        <f>[1]Sheet1!A94</f>
        <v>116</v>
      </c>
      <c r="B94" s="220">
        <f>[1]Sheet1!B94</f>
        <v>46136.677083333299</v>
      </c>
      <c r="C94" s="220">
        <f>[1]Sheet1!C94</f>
        <v>46136.683622685203</v>
      </c>
      <c r="D94" s="221" t="str">
        <f>[1]Sheet1!D94</f>
        <v>jose.herbozo@laureate.pe</v>
      </c>
      <c r="E94" s="221" t="str">
        <f>[1]Sheet1!E94</f>
        <v>José Paredes Herbozo</v>
      </c>
      <c r="F94" s="221" t="str">
        <f>[1]Sheet1!F94</f>
        <v>Mejora en el proceso de migración de incorporados de Socrates a Banner</v>
      </c>
      <c r="G94" s="221" t="str">
        <f>[1]Sheet1!G94</f>
        <v>Asegurar una migración automática, consistente y sin errores para garantizar la correcta matrícula de los incorporados.</v>
      </c>
      <c r="H94" s="221" t="str">
        <f>[1]Sheet1!H94</f>
        <v>UPC</v>
      </c>
      <c r="I94" s="221" t="str">
        <f>[1]Sheet1!I94</f>
        <v>Ivan Olivares - VP Marketing y Comercial</v>
      </c>
      <c r="J94" s="221" t="str">
        <f>[1]Sheet1!J94</f>
        <v>Nestor Ayasta</v>
      </c>
      <c r="K94" s="221">
        <f>[1]Sheet1!K94</f>
        <v>0</v>
      </c>
      <c r="L94" s="221" t="str">
        <f>[1]Sheet1!L94</f>
        <v>Jose Paredes</v>
      </c>
      <c r="M94" s="151">
        <f>[1]Sheet1!M94</f>
        <v>46218</v>
      </c>
      <c r="N94" s="151" t="str">
        <f>[1]Sheet1!N94</f>
        <v>No</v>
      </c>
      <c r="O94" s="221">
        <f>[1]Sheet1!O94</f>
        <v>0</v>
      </c>
      <c r="P94" s="221">
        <f>[1]Sheet1!P94</f>
        <v>0</v>
      </c>
      <c r="Q94" s="221" t="str">
        <f>[1]Sheet1!Q94</f>
        <v>Otro</v>
      </c>
      <c r="R94" s="221" t="str">
        <f>[1]Sheet1!R94</f>
        <v>Errores e incongruencias en los datos, alta carga operativa (+400 horas hombre estimadas), baja trazabilidad y riesgo de afectar la experiencia del alumno.</v>
      </c>
      <c r="S94" s="221">
        <f>[1]Sheet1!S94</f>
        <v>0</v>
      </c>
      <c r="T94" s="221" t="str">
        <f>[1]Sheet1!T94</f>
        <v>Migración de incorporados</v>
      </c>
      <c r="U94" s="221">
        <f>[1]Sheet1!U94</f>
        <v>0</v>
      </c>
      <c r="V94" s="221" t="str">
        <f>[1]Sheet1!V94</f>
        <v>Excelencia operativa</v>
      </c>
      <c r="W94" s="221" t="str">
        <f>[1]Sheet1!W94</f>
        <v>No</v>
      </c>
      <c r="X94" s="221">
        <f>[1]Sheet1!X94</f>
        <v>0</v>
      </c>
      <c r="Y94" s="221" t="str">
        <f>[1]Sheet1!Y94</f>
        <v>Reducción de tareas manuales, disminución de errores, disponibilidad de información confiable en tiempo real y mejora en la eficiencia operativa.</v>
      </c>
      <c r="Z94" s="59" t="str">
        <f>[1]Sheet1!Z94</f>
        <v>https://educorpperu-my.sharepoint.com/personal/diana_zapata_laureate_pe1/_layouts/15/Doc.aspx?sourcedoc=%7BD5626DB0-B57E-42ED-B1EA-B6C45012A9F8%7D&amp;file=Plantilla%20Solicitud%20de%20requerimientos%20Mejora_Jos%C3%A9%20Paredes%20Herbozo.pptx&amp;action=edit&amp;mobileredirect=true</v>
      </c>
      <c r="AA94" s="59">
        <f>[1]Sheet1!AA94</f>
        <v>0.30000000000000004</v>
      </c>
    </row>
    <row r="95" spans="1:27" ht="38.450000000000003" customHeight="1">
      <c r="A95" s="59">
        <f>[1]Sheet1!A95</f>
        <v>117</v>
      </c>
      <c r="B95" s="220">
        <f>[1]Sheet1!B95</f>
        <v>46139.615439814799</v>
      </c>
      <c r="C95" s="220">
        <f>[1]Sheet1!C95</f>
        <v>46139.628645833298</v>
      </c>
      <c r="D95" s="221" t="str">
        <f>[1]Sheet1!D95</f>
        <v>carla.arias@laureate.pe</v>
      </c>
      <c r="E95" s="221" t="str">
        <f>[1]Sheet1!E95</f>
        <v>Carla Arias Schreiber Ulloa</v>
      </c>
      <c r="F95" s="221" t="str">
        <f>[1]Sheet1!F95</f>
        <v>Migración de Notas desde Blackboard a Gestión Docente</v>
      </c>
      <c r="G95" s="221" t="str">
        <f>[1]Sheet1!G95</f>
        <v>Lograr eficiencia en la gestión docente, ahora la asignación es manual es ambos sistemas.
Nota: Esta es la mejora top 2 del workshop Better Together con Cibertec.</v>
      </c>
      <c r="H95" s="221" t="str">
        <f>[1]Sheet1!H95</f>
        <v>CIB</v>
      </c>
      <c r="I95" s="221" t="str">
        <f>[1]Sheet1!I95</f>
        <v>Danilo Tauil - GM TecVoc</v>
      </c>
      <c r="J95" s="221" t="str">
        <f>[1]Sheet1!J95</f>
        <v>sfafag</v>
      </c>
      <c r="K95" s="221">
        <f>[1]Sheet1!K95</f>
        <v>0</v>
      </c>
      <c r="L95" s="221" t="str">
        <f>[1]Sheet1!L95</f>
        <v>Carla Arias-Schreiber</v>
      </c>
      <c r="M95" s="151">
        <f>[1]Sheet1!M95</f>
        <v>46172</v>
      </c>
      <c r="N95" s="151" t="str">
        <f>[1]Sheet1!N95</f>
        <v>No</v>
      </c>
      <c r="O95" s="221">
        <f>[1]Sheet1!O95</f>
        <v>0</v>
      </c>
      <c r="P95" s="221">
        <f>[1]Sheet1!P95</f>
        <v>0</v>
      </c>
      <c r="Q95" s="221" t="str">
        <f>[1]Sheet1!Q95</f>
        <v>Otro</v>
      </c>
      <c r="R95" s="221"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221">
        <f>[1]Sheet1!S95</f>
        <v>0</v>
      </c>
      <c r="T95" s="221" t="str">
        <f>[1]Sheet1!T95</f>
        <v>Desarrollo de clases
Cierre de ciclo
Retención de estudiantes
Programación de horarios (faculty cost)</v>
      </c>
      <c r="U95" s="221" t="str">
        <f>[1]Sheet1!U95</f>
        <v>Docentes</v>
      </c>
      <c r="V95" s="221" t="str">
        <f>[1]Sheet1!V95</f>
        <v>Excelencia operativa</v>
      </c>
      <c r="W95" s="221" t="str">
        <f>[1]Sheet1!W95</f>
        <v>No</v>
      </c>
      <c r="X95" s="221" t="str">
        <f>[1]Sheet1!X95</f>
        <v>No cuantificado o S/0</v>
      </c>
      <c r="Y95" s="221" t="str">
        <f>[1]Sheet1!Y95</f>
        <v>Mejorar experiencia de estudiantes (poder visualizar sus notas en Mi Cibertec más rápido), la gestión docente y acciones de retención.</v>
      </c>
      <c r="Z95" s="59">
        <f>[1]Sheet1!Z95</f>
        <v>0</v>
      </c>
      <c r="AA95" s="59">
        <f>[1]Sheet1!AA95</f>
        <v>0.9</v>
      </c>
    </row>
    <row r="96" spans="1:27" ht="38.450000000000003" customHeight="1">
      <c r="A96" s="59">
        <f>[1]Sheet1!A96</f>
        <v>118</v>
      </c>
      <c r="B96" s="220">
        <f>[1]Sheet1!B96</f>
        <v>46139.628726851799</v>
      </c>
      <c r="C96" s="220">
        <f>[1]Sheet1!C96</f>
        <v>46139.650196759299</v>
      </c>
      <c r="D96" s="221" t="str">
        <f>[1]Sheet1!D96</f>
        <v>carla.arias@laureate.pe</v>
      </c>
      <c r="E96" s="221" t="str">
        <f>[1]Sheet1!E96</f>
        <v>Carla Arias Schreiber Ulloa</v>
      </c>
      <c r="F96" s="221" t="str">
        <f>[1]Sheet1!F96</f>
        <v>LEGO Cibertec</v>
      </c>
      <c r="G96" s="221"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221" t="str">
        <f>[1]Sheet1!H96</f>
        <v>CIB</v>
      </c>
      <c r="I96" s="221" t="str">
        <f>[1]Sheet1!I96</f>
        <v>Danilo Tauil - GM TecVoc</v>
      </c>
      <c r="J96" s="221" t="str">
        <f>[1]Sheet1!J96</f>
        <v>Davi Paula Lima Goulart</v>
      </c>
      <c r="K96" s="221">
        <f>[1]Sheet1!K96</f>
        <v>0</v>
      </c>
      <c r="L96" s="221" t="str">
        <f>[1]Sheet1!L96</f>
        <v>Carla Arias-Schreiber</v>
      </c>
      <c r="M96" s="151">
        <f>[1]Sheet1!M96</f>
        <v>46353</v>
      </c>
      <c r="N96" s="151" t="str">
        <f>[1]Sheet1!N96</f>
        <v>Si</v>
      </c>
      <c r="O96" s="221" t="str">
        <f>[1]Sheet1!O96</f>
        <v>Academic Managment</v>
      </c>
      <c r="P96" s="221">
        <f>[1]Sheet1!P96</f>
        <v>77625</v>
      </c>
      <c r="Q96" s="221" t="str">
        <f>[1]Sheet1!Q96</f>
        <v>Otro</v>
      </c>
      <c r="R96" s="221" t="str">
        <f>[1]Sheet1!R96</f>
        <v>Dentro del ecosistema académico, Cibertec tiene muchas actividades manuales, que generen ineficiencia y errores.</v>
      </c>
      <c r="S96" s="221">
        <f>[1]Sheet1!S96</f>
        <v>0</v>
      </c>
      <c r="T96" s="221" t="str">
        <f>[1]Sheet1!T96</f>
        <v xml:space="preserve">Malla Curricular
Programación Horaria
Perfil Docente
Compactaciones
Nómina / Pago Docente
Ocupabilidad
Ambientes Académicos
Evaluación Académica
Calendario Académico
Reportes / Dashboard
</v>
      </c>
      <c r="U96" s="221" t="str">
        <f>[1]Sheet1!U96</f>
        <v>Todos</v>
      </c>
      <c r="V96" s="221" t="str">
        <f>[1]Sheet1!V96</f>
        <v>Excelencia académica</v>
      </c>
      <c r="W96" s="221" t="str">
        <f>[1]Sheet1!W96</f>
        <v>No</v>
      </c>
      <c r="X96" s="221" t="str">
        <f>[1]Sheet1!X96</f>
        <v>Mayor a S/500,000.00</v>
      </c>
      <c r="Y96" s="221" t="str">
        <f>[1]Sheet1!Y96</f>
        <v>REDUCCIÓN DE ERRORES, CENTRALIZACIÓN Y ESTANDARIZACIÓN, MAYOR EFICIENCIA Y AHORROS, RAPIDEZ, MENOS HEADCOUNT, ​MENOR FRICCIÓN PARA EL ESTUDIANTE</v>
      </c>
      <c r="Z96" s="59">
        <f>[1]Sheet1!Z96</f>
        <v>0</v>
      </c>
      <c r="AA96" s="59">
        <f>[1]Sheet1!AA96</f>
        <v>3.5</v>
      </c>
    </row>
    <row r="97" spans="1:27" ht="38.450000000000003" customHeight="1">
      <c r="A97" s="59">
        <f>[1]Sheet1!A97</f>
        <v>119</v>
      </c>
      <c r="B97" s="220">
        <f>[1]Sheet1!B97</f>
        <v>46140.4612962963</v>
      </c>
      <c r="C97" s="220">
        <f>[1]Sheet1!C97</f>
        <v>46140.463483796302</v>
      </c>
      <c r="D97" s="221" t="str">
        <f>[1]Sheet1!D97</f>
        <v>carla.arias@laureate.pe</v>
      </c>
      <c r="E97" s="221" t="str">
        <f>[1]Sheet1!E97</f>
        <v>Carla Arias Schreiber Ulloa</v>
      </c>
      <c r="F97" s="221" t="str">
        <f>[1]Sheet1!F97</f>
        <v>Implementar encuesta de satisfacción automática - Genesys</v>
      </c>
      <c r="G97" s="221"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221" t="str">
        <f>[1]Sheet1!H97</f>
        <v>UPN</v>
      </c>
      <c r="I97" s="221" t="str">
        <f>[1]Sheet1!I97</f>
        <v>Mónica García - VP Operaciones Digitales y Online</v>
      </c>
      <c r="J97" s="221" t="str">
        <f>[1]Sheet1!J97</f>
        <v xml:space="preserve">Lizbeth Bautista </v>
      </c>
      <c r="K97" s="221">
        <f>[1]Sheet1!K97</f>
        <v>0</v>
      </c>
      <c r="L97" s="221" t="str">
        <f>[1]Sheet1!L97</f>
        <v>Ángela Lucano</v>
      </c>
      <c r="M97" s="151">
        <f>[1]Sheet1!M97</f>
        <v>46199</v>
      </c>
      <c r="N97" s="151" t="str">
        <f>[1]Sheet1!N97</f>
        <v>No</v>
      </c>
      <c r="O97" s="221">
        <f>[1]Sheet1!O97</f>
        <v>0</v>
      </c>
      <c r="P97" s="221">
        <f>[1]Sheet1!P97</f>
        <v>0</v>
      </c>
      <c r="Q97" s="221" t="str">
        <f>[1]Sheet1!Q97</f>
        <v>Otro</v>
      </c>
      <c r="R97" s="221" t="str">
        <f>[1]Sheet1!R97</f>
        <v xml:space="preserve">No podremos medir la satisfacción de los estudiantes en el proceso de matrícula 2026-02
</v>
      </c>
      <c r="S97" s="221">
        <f>[1]Sheet1!S97</f>
        <v>0</v>
      </c>
      <c r="T97" s="221" t="str">
        <f>[1]Sheet1!T97</f>
        <v>Matrícula
Soporte de canales inbound</v>
      </c>
      <c r="U97" s="221" t="str">
        <f>[1]Sheet1!U97</f>
        <v>Alumnos</v>
      </c>
      <c r="V97" s="221" t="str">
        <f>[1]Sheet1!V97</f>
        <v>Experiencia</v>
      </c>
      <c r="W97" s="221" t="str">
        <f>[1]Sheet1!W97</f>
        <v>No</v>
      </c>
      <c r="X97" s="221" t="str">
        <f>[1]Sheet1!X97</f>
        <v>No cuantificado o S/0</v>
      </c>
      <c r="Y97" s="221" t="str">
        <f>[1]Sheet1!Y97</f>
        <v>Al tener visibilidad, se podrán activar acciones mejor orientadas al logro de este objetivo.</v>
      </c>
      <c r="Z97" s="59" t="str">
        <f>[1]Sheet1!Z97</f>
        <v>https://educorpperu-my.sharepoint.com/personal/diana_zapata_laureate_pe1/_layouts/15/Doc.aspx?sourcedoc=%7B4A032391-1102-4C72-8BF4-5F7566C7D028%7D&amp;file=SOLICITUD%20DE%20REQUERIMIENTOS_Carla%20Arias%20Schreibe.pptx&amp;action=edit&amp;mobileredirect=true</v>
      </c>
      <c r="AA97" s="59">
        <f>[1]Sheet1!AA97</f>
        <v>1.1499999999999999</v>
      </c>
    </row>
    <row r="98" spans="1:27" ht="38.450000000000003" customHeight="1">
      <c r="A98" s="59">
        <f>[1]Sheet1!A98</f>
        <v>120</v>
      </c>
      <c r="B98" s="220">
        <f>[1]Sheet1!B98</f>
        <v>46140.504409722198</v>
      </c>
      <c r="C98" s="220">
        <f>[1]Sheet1!C98</f>
        <v>46140.510578703703</v>
      </c>
      <c r="D98" s="221" t="str">
        <f>[1]Sheet1!D98</f>
        <v>gerson.vereau@laureate.pe</v>
      </c>
      <c r="E98" s="221" t="str">
        <f>[1]Sheet1!E98</f>
        <v>Gerson Vereau Rosas</v>
      </c>
      <c r="F98" s="221" t="str">
        <f>[1]Sheet1!F98</f>
        <v>Creación del query para la generación de información en la tabla de Cobranzas del Data Lake</v>
      </c>
      <c r="G98" s="221" t="str">
        <f>[1]Sheet1!G98</f>
        <v xml:space="preserve">Generar una lógica a a nivel de Base de Datos, con el fin de mostrar la tabla de Cobranzas de UPC en el Datalake a nivel de tipo de pago y no genere duplicidad en los montos  que viene construyendo el equipo de Data &amp; BI.
</v>
      </c>
      <c r="H98" s="221" t="str">
        <f>[1]Sheet1!H98</f>
        <v>UPC</v>
      </c>
      <c r="I98" s="221" t="str">
        <f>[1]Sheet1!I98</f>
        <v>Alex Pendavis - VP Finanzas</v>
      </c>
      <c r="J98" s="221" t="str">
        <f>[1]Sheet1!J98</f>
        <v>Franco Chiappe</v>
      </c>
      <c r="K98" s="221">
        <f>[1]Sheet1!K98</f>
        <v>0</v>
      </c>
      <c r="L98" s="221" t="str">
        <f>[1]Sheet1!L98</f>
        <v>Gerson Vereau</v>
      </c>
      <c r="M98" s="151">
        <f>[1]Sheet1!M98</f>
        <v>46142</v>
      </c>
      <c r="N98" s="151" t="str">
        <f>[1]Sheet1!N98</f>
        <v>No</v>
      </c>
      <c r="O98" s="221">
        <f>[1]Sheet1!O98</f>
        <v>0</v>
      </c>
      <c r="P98" s="221">
        <f>[1]Sheet1!P98</f>
        <v>0</v>
      </c>
      <c r="Q98" s="221" t="str">
        <f>[1]Sheet1!Q98</f>
        <v>Otro</v>
      </c>
      <c r="R98" s="221"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221">
        <f>[1]Sheet1!S98</f>
        <v>0</v>
      </c>
      <c r="T98" s="221" t="str">
        <f>[1]Sheet1!T98</f>
        <v xml:space="preserve">Proceso de Cobranzas, utilizando información para el seguimiento y control de los indicadores.
</v>
      </c>
      <c r="U98" s="221" t="str">
        <f>[1]Sheet1!U98</f>
        <v>Ninguno</v>
      </c>
      <c r="V98" s="221" t="str">
        <f>[1]Sheet1!V98</f>
        <v>Excelencia operativa</v>
      </c>
      <c r="W98" s="221" t="str">
        <f>[1]Sheet1!W98</f>
        <v>No</v>
      </c>
      <c r="X98" s="221" t="str">
        <f>[1]Sheet1!X98</f>
        <v>No cuantificado o S/0</v>
      </c>
      <c r="Y98" s="221" t="str">
        <f>[1]Sheet1!Y98</f>
        <v>Visibilidad correcta de la información, tal como se muestra en Spring UPC</v>
      </c>
      <c r="Z98" s="59"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59">
        <f>[1]Sheet1!AA98</f>
        <v>0.30000000000000004</v>
      </c>
    </row>
    <row r="99" spans="1:27" ht="38.450000000000003" customHeight="1">
      <c r="A99" s="59">
        <f>[1]Sheet1!A99</f>
        <v>121</v>
      </c>
      <c r="B99" s="220">
        <f>[1]Sheet1!B99</f>
        <v>46140.764629629601</v>
      </c>
      <c r="C99" s="220">
        <f>[1]Sheet1!C99</f>
        <v>46140.901574074102</v>
      </c>
      <c r="D99" s="221" t="str">
        <f>[1]Sheet1!D99</f>
        <v>javier.santiago@laureate.pe</v>
      </c>
      <c r="E99" s="221" t="str">
        <f>[1]Sheet1!E99</f>
        <v>Javier Santiago Modesto</v>
      </c>
      <c r="F99" s="221" t="str">
        <f>[1]Sheet1!F99</f>
        <v>Implementación de una Api Banner para consultar los asesores de alumnos cachimbo - Onboarding Portal del Estudiante UPN</v>
      </c>
      <c r="G99" s="221" t="str">
        <f>[1]Sheet1!G99</f>
        <v>Necesitamos mostrar a los alumnos cachimbos sus asesores designados, para garantizar la experiencia en Onboarding, logrando que el 100% de alumnos cachimbos esten informados correctamente acerca de sus clases en el primer periodo académico.</v>
      </c>
      <c r="H99" s="221" t="str">
        <f>[1]Sheet1!H99</f>
        <v>UPN</v>
      </c>
      <c r="I99" s="221" t="str">
        <f>[1]Sheet1!I99</f>
        <v>Mónica García - VP Operaciones Digitales y Online</v>
      </c>
      <c r="J99" s="221" t="str">
        <f>[1]Sheet1!J99</f>
        <v xml:space="preserve">Janny Nicasio </v>
      </c>
      <c r="K99" s="221">
        <f>[1]Sheet1!K99</f>
        <v>0</v>
      </c>
      <c r="L99" s="221" t="str">
        <f>[1]Sheet1!L99</f>
        <v>Carla Arias-Schreiber</v>
      </c>
      <c r="M99" s="151">
        <f>[1]Sheet1!M99</f>
        <v>46157</v>
      </c>
      <c r="N99" s="151" t="str">
        <f>[1]Sheet1!N99</f>
        <v>No</v>
      </c>
      <c r="O99" s="221">
        <f>[1]Sheet1!O99</f>
        <v>0</v>
      </c>
      <c r="P99" s="221">
        <f>[1]Sheet1!P99</f>
        <v>0</v>
      </c>
      <c r="Q99" s="221" t="str">
        <f>[1]Sheet1!Q99</f>
        <v>Otro</v>
      </c>
      <c r="R99" s="221" t="str">
        <f>[1]Sheet1!R99</f>
        <v>Actualmente no existe una Api para mostrar los asesores a los alumnos chachimbos, sin embargo para presentar los asesores a los estudiantes se tiene que carga de forma manual un excel en el Portal del Estudiante.</v>
      </c>
      <c r="S99" s="221">
        <f>[1]Sheet1!S99</f>
        <v>0</v>
      </c>
      <c r="T99" s="221" t="str">
        <f>[1]Sheet1!T99</f>
        <v>Onboarding del Portal del Estudiante</v>
      </c>
      <c r="U99" s="221" t="str">
        <f>[1]Sheet1!U99</f>
        <v>Alumnos</v>
      </c>
      <c r="V99" s="221" t="str">
        <f>[1]Sheet1!V99</f>
        <v>Experiencia</v>
      </c>
      <c r="W99" s="221" t="str">
        <f>[1]Sheet1!W99</f>
        <v>No</v>
      </c>
      <c r="X99" s="221" t="str">
        <f>[1]Sheet1!X99</f>
        <v>No cuantificado o S/0</v>
      </c>
      <c r="Y99" s="221" t="str">
        <f>[1]Sheet1!Y99</f>
        <v>Mejora de experiencia del alumno en Onboarding</v>
      </c>
      <c r="Z99" s="59">
        <f>[1]Sheet1!Z99</f>
        <v>0</v>
      </c>
      <c r="AA99" s="59">
        <f>[1]Sheet1!AA99</f>
        <v>1.1499999999999999</v>
      </c>
    </row>
    <row r="100" spans="1:27" ht="38.450000000000003" customHeight="1">
      <c r="A100" s="59">
        <f>[1]Sheet1!A100</f>
        <v>122</v>
      </c>
      <c r="B100" s="220">
        <f>[1]Sheet1!B100</f>
        <v>46141.427557870396</v>
      </c>
      <c r="C100" s="220">
        <f>[1]Sheet1!C100</f>
        <v>46141.475474537001</v>
      </c>
      <c r="D100" s="221" t="str">
        <f>[1]Sheet1!D100</f>
        <v>gerson.vereau@laureate.pe</v>
      </c>
      <c r="E100" s="221" t="str">
        <f>[1]Sheet1!E100</f>
        <v>Gerson Vereau Rosas</v>
      </c>
      <c r="F100" s="221" t="str">
        <f>[1]Sheet1!F100</f>
        <v>Cambio de SAC a SRL - UPC</v>
      </c>
      <c r="G100" s="221" t="str">
        <f>[1]Sheet1!G100</f>
        <v>Cambiar de SAC a SRL - UPC, normativo</v>
      </c>
      <c r="H100" s="221" t="str">
        <f>[1]Sheet1!H100</f>
        <v>UPC</v>
      </c>
      <c r="I100" s="221" t="str">
        <f>[1]Sheet1!I100</f>
        <v>Alex Pendavis - VP Finanzas</v>
      </c>
      <c r="J100" s="221" t="str">
        <f>[1]Sheet1!J100</f>
        <v>Franco Chiappe</v>
      </c>
      <c r="K100" s="221">
        <f>[1]Sheet1!K100</f>
        <v>0</v>
      </c>
      <c r="L100" s="221" t="str">
        <f>[1]Sheet1!L100</f>
        <v>Gerson Vereau</v>
      </c>
      <c r="M100" s="151">
        <f>[1]Sheet1!M100</f>
        <v>46150</v>
      </c>
      <c r="N100" s="151" t="str">
        <f>[1]Sheet1!N100</f>
        <v>No</v>
      </c>
      <c r="O100" s="221">
        <f>[1]Sheet1!O100</f>
        <v>0</v>
      </c>
      <c r="P100" s="221">
        <f>[1]Sheet1!P100</f>
        <v>0</v>
      </c>
      <c r="Q100" s="221" t="str">
        <f>[1]Sheet1!Q100</f>
        <v>Legal</v>
      </c>
      <c r="R100" s="221" t="str">
        <f>[1]Sheet1!R100</f>
        <v>Proceso de cambio de tipo de sociedad de UPC, pasando de SAC a SRL.</v>
      </c>
      <c r="S100" s="221">
        <f>[1]Sheet1!S100</f>
        <v>0</v>
      </c>
      <c r="T100" s="221" t="str">
        <f>[1]Sheet1!T100</f>
        <v>Procesos de facturación</v>
      </c>
      <c r="U100" s="221" t="str">
        <f>[1]Sheet1!U100</f>
        <v>Ninguno</v>
      </c>
      <c r="V100" s="221" t="str">
        <f>[1]Sheet1!V100</f>
        <v>Excelencia operativa</v>
      </c>
      <c r="W100" s="221" t="str">
        <f>[1]Sheet1!W100</f>
        <v>No</v>
      </c>
      <c r="X100" s="221" t="str">
        <f>[1]Sheet1!X100</f>
        <v>No cuantificado o S/0</v>
      </c>
      <c r="Y100" s="221" t="str">
        <f>[1]Sheet1!Y100</f>
        <v>Normativo</v>
      </c>
      <c r="Z100" s="59"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59">
        <f>[1]Sheet1!AA100</f>
        <v>1.8</v>
      </c>
    </row>
    <row r="101" spans="1:27" ht="38.450000000000003" customHeight="1">
      <c r="A101" s="59">
        <f>[1]Sheet1!A101</f>
        <v>123</v>
      </c>
      <c r="B101" s="220">
        <f>[1]Sheet1!B101</f>
        <v>46141.475590277798</v>
      </c>
      <c r="C101" s="220">
        <f>[1]Sheet1!C101</f>
        <v>46141.484548611101</v>
      </c>
      <c r="D101" s="221" t="str">
        <f>[1]Sheet1!D101</f>
        <v>gerson.vereau@laureate.pe</v>
      </c>
      <c r="E101" s="221" t="str">
        <f>[1]Sheet1!E101</f>
        <v>Gerson Vereau Rosas</v>
      </c>
      <c r="F101" s="221" t="str">
        <f>[1]Sheet1!F101</f>
        <v>Creación del query para la generación de información en la tabla de Cobranzas del Data Lake</v>
      </c>
      <c r="G101" s="221" t="str">
        <f>[1]Sheet1!G101</f>
        <v>Generar una lógica a a nivel de Base de Datos, con el fin de mostrar la tabla de Cobranzas de UPC en el Datalake a nivel de tipo de pago y no genere duplicidad en los montos  que viene construyendo el equipo de Data &amp; BI.</v>
      </c>
      <c r="H101" s="221" t="str">
        <f>[1]Sheet1!H101</f>
        <v>UPC</v>
      </c>
      <c r="I101" s="221" t="str">
        <f>[1]Sheet1!I101</f>
        <v>Alex Pendavis - VP Finanzas</v>
      </c>
      <c r="J101" s="221" t="str">
        <f>[1]Sheet1!J101</f>
        <v>Franco Chiappe</v>
      </c>
      <c r="K101" s="221">
        <f>[1]Sheet1!K101</f>
        <v>0</v>
      </c>
      <c r="L101" s="221" t="str">
        <f>[1]Sheet1!L101</f>
        <v>Gerson Vereau</v>
      </c>
      <c r="M101" s="151">
        <f>[1]Sheet1!M101</f>
        <v>46150</v>
      </c>
      <c r="N101" s="151" t="str">
        <f>[1]Sheet1!N101</f>
        <v>No</v>
      </c>
      <c r="O101" s="221">
        <f>[1]Sheet1!O101</f>
        <v>0</v>
      </c>
      <c r="P101" s="221">
        <f>[1]Sheet1!P101</f>
        <v>0</v>
      </c>
      <c r="Q101" s="221" t="str">
        <f>[1]Sheet1!Q101</f>
        <v>Otro</v>
      </c>
      <c r="R101" s="221"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221">
        <f>[1]Sheet1!S101</f>
        <v>0</v>
      </c>
      <c r="T101" s="221" t="str">
        <f>[1]Sheet1!T101</f>
        <v>Proceso de Cobranzas, utilizando información para el seguimiento y control de los indicadores</v>
      </c>
      <c r="U101" s="221" t="str">
        <f>[1]Sheet1!U101</f>
        <v>Ninguno</v>
      </c>
      <c r="V101" s="221" t="str">
        <f>[1]Sheet1!V101</f>
        <v>Excelencia operativa</v>
      </c>
      <c r="W101" s="221" t="str">
        <f>[1]Sheet1!W101</f>
        <v>No</v>
      </c>
      <c r="X101" s="221" t="str">
        <f>[1]Sheet1!X101</f>
        <v>No cuantificado o S/0</v>
      </c>
      <c r="Y101" s="221" t="str">
        <f>[1]Sheet1!Y101</f>
        <v>Visibilidad correcta de la información, tal como se muestra en Spring UPC</v>
      </c>
      <c r="Z101" s="59"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59">
        <f>[1]Sheet1!AA101</f>
        <v>0.30000000000000004</v>
      </c>
    </row>
    <row r="102" spans="1:27" ht="38.450000000000003" customHeight="1">
      <c r="A102" s="59">
        <f>[1]Sheet1!A102</f>
        <v>124</v>
      </c>
      <c r="B102" s="220">
        <f>[1]Sheet1!B102</f>
        <v>46141.490138888897</v>
      </c>
      <c r="C102" s="220">
        <f>[1]Sheet1!C102</f>
        <v>46141.504571759302</v>
      </c>
      <c r="D102" s="221" t="str">
        <f>[1]Sheet1!D102</f>
        <v>gerson.vereau@laureate.pe</v>
      </c>
      <c r="E102" s="221" t="str">
        <f>[1]Sheet1!E102</f>
        <v>Gerson Vereau Rosas</v>
      </c>
      <c r="F102" s="221" t="str">
        <f>[1]Sheet1!F102</f>
        <v>Corrección del reporte de Spring UPC</v>
      </c>
      <c r="G102" s="221"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221" t="str">
        <f>[1]Sheet1!H102</f>
        <v>UPC</v>
      </c>
      <c r="I102" s="221" t="str">
        <f>[1]Sheet1!I102</f>
        <v>Alex Pendavis - VP Finanzas</v>
      </c>
      <c r="J102" s="221" t="str">
        <f>[1]Sheet1!J102</f>
        <v>Franco Chiappe</v>
      </c>
      <c r="K102" s="221">
        <f>[1]Sheet1!K102</f>
        <v>0</v>
      </c>
      <c r="L102" s="221" t="str">
        <f>[1]Sheet1!L102</f>
        <v>Gerson Vereau</v>
      </c>
      <c r="M102" s="151">
        <f>[1]Sheet1!M102</f>
        <v>46150</v>
      </c>
      <c r="N102" s="151" t="str">
        <f>[1]Sheet1!N102</f>
        <v>No</v>
      </c>
      <c r="O102" s="221">
        <f>[1]Sheet1!O102</f>
        <v>0</v>
      </c>
      <c r="P102" s="221">
        <f>[1]Sheet1!P102</f>
        <v>0</v>
      </c>
      <c r="Q102" s="221" t="str">
        <f>[1]Sheet1!Q102</f>
        <v>Otro</v>
      </c>
      <c r="R102" s="221"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221">
        <f>[1]Sheet1!S102</f>
        <v>0</v>
      </c>
      <c r="T102" s="221" t="str">
        <f>[1]Sheet1!T102</f>
        <v>Proceso de Cobranzas, utilizando información para el seguimiento y control de los indicadores.</v>
      </c>
      <c r="U102" s="221" t="str">
        <f>[1]Sheet1!U102</f>
        <v>Ninguno</v>
      </c>
      <c r="V102" s="221" t="str">
        <f>[1]Sheet1!V102</f>
        <v>Excelencia operativa</v>
      </c>
      <c r="W102" s="221" t="str">
        <f>[1]Sheet1!W102</f>
        <v>No</v>
      </c>
      <c r="X102" s="221" t="str">
        <f>[1]Sheet1!X102</f>
        <v>No cuantificado o S/0</v>
      </c>
      <c r="Y102" s="221" t="str">
        <f>[1]Sheet1!Y102</f>
        <v>Menor error de la data al momento de extaer el reporte</v>
      </c>
      <c r="Z102" s="59"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59">
        <f>[1]Sheet1!AA102</f>
        <v>0.30000000000000004</v>
      </c>
    </row>
    <row r="103" spans="1:27" ht="38.450000000000003" customHeight="1">
      <c r="A103" s="59">
        <f>[1]Sheet1!A103</f>
        <v>125</v>
      </c>
      <c r="B103" s="220">
        <f>[1]Sheet1!B103</f>
        <v>46141.514305555596</v>
      </c>
      <c r="C103" s="220">
        <f>[1]Sheet1!C103</f>
        <v>46141.571064814802</v>
      </c>
      <c r="D103" s="221" t="str">
        <f>[1]Sheet1!D103</f>
        <v>jhon.huanca@upn.edu.pe</v>
      </c>
      <c r="E103" s="221" t="str">
        <f>[1]Sheet1!E103</f>
        <v>Jhon Huanca Huaman</v>
      </c>
      <c r="F103" s="221" t="str">
        <f>[1]Sheet1!F103</f>
        <v>Implementación de Plataforma con Power Platform para la generación y envío de constancias y certificados.</v>
      </c>
      <c r="G103" s="221"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221" t="str">
        <f>[1]Sheet1!H103</f>
        <v>UPN</v>
      </c>
      <c r="I103" s="221" t="str">
        <f>[1]Sheet1!I103</f>
        <v>Álvaro Valdez - VP Operaciones</v>
      </c>
      <c r="J103" s="221" t="str">
        <f>[1]Sheet1!J103</f>
        <v xml:space="preserve">Sally Vilcapoma </v>
      </c>
      <c r="K103" s="221">
        <f>[1]Sheet1!K103</f>
        <v>0</v>
      </c>
      <c r="L103" s="221">
        <f>[1]Sheet1!L103</f>
        <v>0</v>
      </c>
      <c r="M103" s="151">
        <f>[1]Sheet1!M103</f>
        <v>46158</v>
      </c>
      <c r="N103" s="151" t="str">
        <f>[1]Sheet1!N103</f>
        <v>No</v>
      </c>
      <c r="O103" s="221">
        <f>[1]Sheet1!O103</f>
        <v>0</v>
      </c>
      <c r="P103" s="221">
        <f>[1]Sheet1!P103</f>
        <v>0</v>
      </c>
      <c r="Q103" s="221" t="str">
        <f>[1]Sheet1!Q103</f>
        <v>Otro</v>
      </c>
      <c r="R103" s="221"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221">
        <f>[1]Sheet1!S103</f>
        <v>0</v>
      </c>
      <c r="T103" s="221" t="str">
        <f>[1]Sheet1!T103</f>
        <v>Proceso de envío de constancias y certificados</v>
      </c>
      <c r="U103" s="221">
        <f>[1]Sheet1!U103</f>
        <v>0</v>
      </c>
      <c r="V103" s="221" t="str">
        <f>[1]Sheet1!V103</f>
        <v>Excelencia operativa</v>
      </c>
      <c r="W103" s="221" t="str">
        <f>[1]Sheet1!W103</f>
        <v>No</v>
      </c>
      <c r="X103" s="221">
        <f>[1]Sheet1!X103</f>
        <v>0</v>
      </c>
      <c r="Y103" s="221"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59">
        <f>[1]Sheet1!Z103</f>
        <v>0</v>
      </c>
      <c r="AA103" s="59">
        <f>[1]Sheet1!AA103</f>
        <v>0.30000000000000004</v>
      </c>
    </row>
    <row r="104" spans="1:27" ht="38.450000000000003" customHeight="1">
      <c r="A104" s="59">
        <f>[1]Sheet1!A104</f>
        <v>126</v>
      </c>
      <c r="B104" s="220">
        <f>[1]Sheet1!B104</f>
        <v>46141.590185185203</v>
      </c>
      <c r="C104" s="220">
        <f>[1]Sheet1!C104</f>
        <v>46141.600729166697</v>
      </c>
      <c r="D104" s="221" t="str">
        <f>[1]Sheet1!D104</f>
        <v>johnny.rodriguez@laureate.pe</v>
      </c>
      <c r="E104" s="221" t="str">
        <f>[1]Sheet1!E104</f>
        <v>Johnny Rodríguez Godos</v>
      </c>
      <c r="F104" s="221" t="str">
        <f>[1]Sheet1!F104</f>
        <v>Optimización de arquitectura de integración de procesos de Admisión y Pagos de UPN</v>
      </c>
      <c r="G104" s="221"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221" t="str">
        <f>[1]Sheet1!H104</f>
        <v>UPN</v>
      </c>
      <c r="I104" s="221" t="str">
        <f>[1]Sheet1!I104</f>
        <v>Humberto Marota - Tecnologías y transformación digital</v>
      </c>
      <c r="J104" s="221" t="str">
        <f>[1]Sheet1!J104</f>
        <v>Franco Vera</v>
      </c>
      <c r="K104" s="221">
        <f>[1]Sheet1!K104</f>
        <v>0</v>
      </c>
      <c r="L104" s="221" t="str">
        <f>[1]Sheet1!L104</f>
        <v>Jose Paredes</v>
      </c>
      <c r="M104" s="151">
        <f>[1]Sheet1!M104</f>
        <v>46326</v>
      </c>
      <c r="N104" s="151" t="str">
        <f>[1]Sheet1!N104</f>
        <v>No</v>
      </c>
      <c r="O104" s="221">
        <f>[1]Sheet1!O104</f>
        <v>0</v>
      </c>
      <c r="P104" s="221">
        <f>[1]Sheet1!P104</f>
        <v>0</v>
      </c>
      <c r="Q104" s="221" t="str">
        <f>[1]Sheet1!Q104</f>
        <v>Otro</v>
      </c>
      <c r="R104" s="221" t="str">
        <f>[1]Sheet1!R104</f>
        <v>Constantemente se reportan incidencias de Prioridad 1 relacionadas a las integraciones de los procesos de Admisión y Pagos. Incluye sistemas como CRM, Banner y Peoplesoft.</v>
      </c>
      <c r="S104" s="221">
        <f>[1]Sheet1!S104</f>
        <v>0</v>
      </c>
      <c r="T104" s="221" t="str">
        <f>[1]Sheet1!T104</f>
        <v>Admisión y Pagos</v>
      </c>
      <c r="U104" s="221" t="str">
        <f>[1]Sheet1!U104</f>
        <v>Ninguno</v>
      </c>
      <c r="V104" s="221" t="str">
        <f>[1]Sheet1!V104</f>
        <v>Excelencia operativa</v>
      </c>
      <c r="W104" s="221" t="str">
        <f>[1]Sheet1!W104</f>
        <v>No</v>
      </c>
      <c r="X104" s="221" t="str">
        <f>[1]Sheet1!X104</f>
        <v>No cuantificado o S/0</v>
      </c>
      <c r="Y104" s="221" t="str">
        <f>[1]Sheet1!Y104</f>
        <v>Alto</v>
      </c>
      <c r="Z104" s="59">
        <f>[1]Sheet1!Z104</f>
        <v>0</v>
      </c>
      <c r="AA104" s="59">
        <f>[1]Sheet1!AA104</f>
        <v>0.30000000000000004</v>
      </c>
    </row>
    <row r="105" spans="1:27" ht="38.450000000000003" customHeight="1">
      <c r="A105" s="59">
        <f>[1]Sheet1!A105</f>
        <v>127</v>
      </c>
      <c r="B105" s="220">
        <f>[1]Sheet1!B105</f>
        <v>46141.881620370397</v>
      </c>
      <c r="C105" s="220">
        <f>[1]Sheet1!C105</f>
        <v>46141.898564814801</v>
      </c>
      <c r="D105" s="221" t="str">
        <f>[1]Sheet1!D105</f>
        <v>carla.arias@laureate.pe</v>
      </c>
      <c r="E105" s="221" t="str">
        <f>[1]Sheet1!E105</f>
        <v>Carla Arias Schreiber Ulloa</v>
      </c>
      <c r="F105" s="221" t="str">
        <f>[1]Sheet1!F105</f>
        <v>Carga masiva de programación de horarios</v>
      </c>
      <c r="G105" s="221"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221" t="str">
        <f>[1]Sheet1!H105</f>
        <v>CIB</v>
      </c>
      <c r="I105" s="221" t="str">
        <f>[1]Sheet1!I105</f>
        <v>Danilo Tauil - GM TecVoc</v>
      </c>
      <c r="J105" s="221" t="str">
        <f>[1]Sheet1!J105</f>
        <v xml:space="preserve">Spencer Camacho </v>
      </c>
      <c r="K105" s="221">
        <f>[1]Sheet1!K105</f>
        <v>0</v>
      </c>
      <c r="L105" s="221" t="str">
        <f>[1]Sheet1!L105</f>
        <v>Carla Arias-Schreiber</v>
      </c>
      <c r="M105" s="151">
        <f>[1]Sheet1!M105</f>
        <v>46172</v>
      </c>
      <c r="N105" s="151" t="str">
        <f>[1]Sheet1!N105</f>
        <v>No</v>
      </c>
      <c r="O105" s="221">
        <f>[1]Sheet1!O105</f>
        <v>0</v>
      </c>
      <c r="P105" s="221">
        <f>[1]Sheet1!P105</f>
        <v>0</v>
      </c>
      <c r="Q105" s="221" t="str">
        <f>[1]Sheet1!Q105</f>
        <v>Otro</v>
      </c>
      <c r="R105" s="221" t="str">
        <f>[1]Sheet1!R105</f>
        <v>Registro de programación de horarios en Banner 100% individual (NRC por NRC) - Cada programación tiene aprox 4000 NRC. Toma 1 semana, con 4 asistentes dedicados.</v>
      </c>
      <c r="S105" s="221">
        <f>[1]Sheet1!S105</f>
        <v>0</v>
      </c>
      <c r="T105" s="221" t="str">
        <f>[1]Sheet1!T105</f>
        <v>Programación de horarios
Matrícula</v>
      </c>
      <c r="U105" s="221" t="str">
        <f>[1]Sheet1!U105</f>
        <v>Administrativos</v>
      </c>
      <c r="V105" s="221" t="str">
        <f>[1]Sheet1!V105</f>
        <v>Excelencia operativa</v>
      </c>
      <c r="W105" s="221" t="str">
        <f>[1]Sheet1!W105</f>
        <v>No</v>
      </c>
      <c r="X105" s="221" t="str">
        <f>[1]Sheet1!X105</f>
        <v>Menor a S/100,000.00</v>
      </c>
      <c r="Y105" s="221" t="str">
        <f>[1]Sheet1!Y105</f>
        <v>Reducción de errores manuales e impactos/ reprocesos en matrícula</v>
      </c>
      <c r="Z105" s="59">
        <f>[1]Sheet1!Z105</f>
        <v>0</v>
      </c>
      <c r="AA105" s="59">
        <f>[1]Sheet1!AA105</f>
        <v>0.75000000000000011</v>
      </c>
    </row>
    <row r="106" spans="1:27" ht="18.600000000000001" customHeight="1">
      <c r="A106" s="59">
        <f>[1]Sheet1!A106</f>
        <v>128</v>
      </c>
      <c r="B106" s="220">
        <f>[1]Sheet1!B106</f>
        <v>46142.473877314798</v>
      </c>
      <c r="C106" s="220">
        <f>[1]Sheet1!C106</f>
        <v>46142.488136574102</v>
      </c>
      <c r="D106" s="221" t="str">
        <f>[1]Sheet1!D106</f>
        <v>franco.vera@laureate.pe</v>
      </c>
      <c r="E106" s="221" t="str">
        <f>[1]Sheet1!E106</f>
        <v>Franco Manuel Vera Sanchez</v>
      </c>
      <c r="F106" s="221" t="str">
        <f>[1]Sheet1!F106</f>
        <v>Cargos de estudiantes aparecen con las fechas de vencimiento incorrectas (Portal y Bancos)</v>
      </c>
      <c r="G106" s="221" t="str">
        <f>[1]Sheet1!G106</f>
        <v>Que el negocio pueda realizar los cambios sin depender de los tiempos de TI, asegurando a la vez que los cambios que realicen no ocasiones otras caídas de integración,</v>
      </c>
      <c r="H106" s="221" t="str">
        <f>[1]Sheet1!H106</f>
        <v>UPN</v>
      </c>
      <c r="I106" s="221" t="str">
        <f>[1]Sheet1!I106</f>
        <v>Alex Pendavis - VP Finanzas</v>
      </c>
      <c r="J106" s="221" t="str">
        <f>[1]Sheet1!J106</f>
        <v xml:space="preserve">Yna Loussiana Pacheco </v>
      </c>
      <c r="K106" s="221">
        <f>[1]Sheet1!K106</f>
        <v>0</v>
      </c>
      <c r="L106" s="221" t="str">
        <f>[1]Sheet1!L106</f>
        <v>Gerson Vereau</v>
      </c>
      <c r="M106" s="151">
        <f>[1]Sheet1!M106</f>
        <v>46167</v>
      </c>
      <c r="N106" s="151" t="str">
        <f>[1]Sheet1!N106</f>
        <v>No</v>
      </c>
      <c r="O106" s="221">
        <f>[1]Sheet1!O106</f>
        <v>0</v>
      </c>
      <c r="P106" s="221">
        <f>[1]Sheet1!P106</f>
        <v>0</v>
      </c>
      <c r="Q106" s="221" t="str">
        <f>[1]Sheet1!Q106</f>
        <v>Otro</v>
      </c>
      <c r="R106" s="221" t="str">
        <f>[1]Sheet1!R106</f>
        <v>Cargos de estudiantes aparecen con las fechas de vencimiento incorrectas (Portal y Bancos).</v>
      </c>
      <c r="S106" s="221">
        <f>[1]Sheet1!S106</f>
        <v>0</v>
      </c>
      <c r="T106" s="221" t="str">
        <f>[1]Sheet1!T106</f>
        <v>Cargo de fechas de vencimiento para estudiantes con fecha incorrecta.</v>
      </c>
      <c r="U106" s="221" t="str">
        <f>[1]Sheet1!U106</f>
        <v>Alumnos</v>
      </c>
      <c r="V106" s="221" t="str">
        <f>[1]Sheet1!V106</f>
        <v>Excelencia operativa</v>
      </c>
      <c r="W106" s="221" t="str">
        <f>[1]Sheet1!W106</f>
        <v>No</v>
      </c>
      <c r="X106" s="221" t="str">
        <f>[1]Sheet1!X106</f>
        <v>No cuantificado o S/0</v>
      </c>
      <c r="Y106" s="221" t="str">
        <f>[1]Sheet1!Y106</f>
        <v>Autonomía y eficiencia de 7 días a 2 días en la ejecución del proceso.</v>
      </c>
      <c r="Z106" s="59"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59">
        <f>[1]Sheet1!AA106</f>
        <v>1.05</v>
      </c>
    </row>
    <row r="107" spans="1:27" ht="18.600000000000001" customHeight="1">
      <c r="A107" s="59">
        <f>[1]Sheet1!A107</f>
        <v>129</v>
      </c>
      <c r="B107" s="220">
        <f>[1]Sheet1!B107</f>
        <v>46142.488923611098</v>
      </c>
      <c r="C107" s="220">
        <f>[1]Sheet1!C107</f>
        <v>46142.509629629603</v>
      </c>
      <c r="D107" s="221" t="str">
        <f>[1]Sheet1!D107</f>
        <v>franco.vera@laureate.pe</v>
      </c>
      <c r="E107" s="221" t="str">
        <f>[1]Sheet1!E107</f>
        <v>Franco Manuel Vera Sanchez</v>
      </c>
      <c r="F107" s="221" t="str">
        <f>[1]Sheet1!F107</f>
        <v>CENTRALIZACIÓN DE CCTV</v>
      </c>
      <c r="G107" s="221"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221" t="str">
        <f>[1]Sheet1!H107</f>
        <v>UPC</v>
      </c>
      <c r="I107" s="221" t="str">
        <f>[1]Sheet1!I107</f>
        <v>Álvaro Valdez - VP Operaciones</v>
      </c>
      <c r="J107" s="221" t="str">
        <f>[1]Sheet1!J107</f>
        <v xml:space="preserve">Alexander Sindical </v>
      </c>
      <c r="K107" s="221">
        <f>[1]Sheet1!K107</f>
        <v>0</v>
      </c>
      <c r="L107" s="221" t="str">
        <f>[1]Sheet1!L107</f>
        <v>Gerson Vereau</v>
      </c>
      <c r="M107" s="151">
        <f>[1]Sheet1!M107</f>
        <v>46325</v>
      </c>
      <c r="N107" s="151" t="str">
        <f>[1]Sheet1!N107</f>
        <v>No</v>
      </c>
      <c r="O107" s="221">
        <f>[1]Sheet1!O107</f>
        <v>0</v>
      </c>
      <c r="P107" s="221">
        <f>[1]Sheet1!P107</f>
        <v>0</v>
      </c>
      <c r="Q107" s="221" t="str">
        <f>[1]Sheet1!Q107</f>
        <v>Otro</v>
      </c>
      <c r="R107" s="221"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221">
        <f>[1]Sheet1!S107</f>
        <v>0</v>
      </c>
      <c r="T107" s="221" t="str">
        <f>[1]Sheet1!T107</f>
        <v xml:space="preserve">Proceso de personal de vigilancia físico. </v>
      </c>
      <c r="U107" s="221">
        <f>[1]Sheet1!U107</f>
        <v>0</v>
      </c>
      <c r="V107" s="221" t="str">
        <f>[1]Sheet1!V107</f>
        <v>Excelencia operativa</v>
      </c>
      <c r="W107" s="221" t="str">
        <f>[1]Sheet1!W107</f>
        <v>No</v>
      </c>
      <c r="X107" s="221">
        <f>[1]Sheet1!X107</f>
        <v>0</v>
      </c>
      <c r="Y107" s="221" t="str">
        <f>[1]Sheet1!Y107</f>
        <v>Implementar un Centro de Control Corporativo Unificado en sede Villa, de tal manera que se mitiguen riesgos operativos. Actualmente el sistema se encuentra descentralizado.</v>
      </c>
      <c r="Z107" s="59"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59">
        <f>[1]Sheet1!AA107</f>
        <v>0.30000000000000004</v>
      </c>
    </row>
    <row r="108" spans="1:27" ht="18.600000000000001" customHeight="1">
      <c r="A108" s="59">
        <f>[1]Sheet1!A108</f>
        <v>130</v>
      </c>
      <c r="B108" s="220">
        <f>[1]Sheet1!B108</f>
        <v>46142.660879629599</v>
      </c>
      <c r="C108" s="220">
        <f>[1]Sheet1!C108</f>
        <v>46142.680972222202</v>
      </c>
      <c r="D108" s="221" t="str">
        <f>[1]Sheet1!D108</f>
        <v>franco.vera@laureate.pe</v>
      </c>
      <c r="E108" s="221" t="str">
        <f>[1]Sheet1!E108</f>
        <v>Franco Manuel Vera Sanchez</v>
      </c>
      <c r="F108" s="221" t="str">
        <f>[1]Sheet1!F108</f>
        <v>Actualización de CALIDAD UPN</v>
      </c>
      <c r="G108" s="221" t="str">
        <f>[1]Sheet1!G108</f>
        <v>Necesitamos asegurar que Calidad UPN tenga soporte técnico, ya que actualmente no se cuenta con ello.</v>
      </c>
      <c r="H108" s="221" t="str">
        <f>[1]Sheet1!H108</f>
        <v>UPN</v>
      </c>
      <c r="I108" s="221" t="str">
        <f>[1]Sheet1!I108</f>
        <v>Martín Santana - Rectorado UPN</v>
      </c>
      <c r="J108" s="221" t="str">
        <f>[1]Sheet1!J108</f>
        <v xml:space="preserve">Ana Karina Rozas </v>
      </c>
      <c r="K108" s="221">
        <f>[1]Sheet1!K108</f>
        <v>0</v>
      </c>
      <c r="L108" s="221" t="str">
        <f>[1]Sheet1!L108</f>
        <v>Gerson Vereau</v>
      </c>
      <c r="M108" s="151">
        <f>[1]Sheet1!M108</f>
        <v>46296</v>
      </c>
      <c r="N108" s="151" t="str">
        <f>[1]Sheet1!N108</f>
        <v>No</v>
      </c>
      <c r="O108" s="221">
        <f>[1]Sheet1!O108</f>
        <v>0</v>
      </c>
      <c r="P108" s="221">
        <f>[1]Sheet1!P108</f>
        <v>0</v>
      </c>
      <c r="Q108" s="221" t="str">
        <f>[1]Sheet1!Q108</f>
        <v>Otro</v>
      </c>
      <c r="R108" s="221" t="str">
        <f>[1]Sheet1!R108</f>
        <v>Actualmente Calidad UPN no cuenta con soporte por parte de Microsoft, generando un riesgo continuo ante cualquier incidencia en la plataforma.</v>
      </c>
      <c r="S108" s="221">
        <f>[1]Sheet1!S108</f>
        <v>0</v>
      </c>
      <c r="T108" s="221" t="str">
        <f>[1]Sheet1!T108</f>
        <v>Certificación de la norma ISO 21001 y el proceso regulatorio de Auditoría Externa.</v>
      </c>
      <c r="U108" s="221" t="str">
        <f>[1]Sheet1!U108</f>
        <v>Administrativos</v>
      </c>
      <c r="V108" s="221" t="str">
        <f>[1]Sheet1!V108</f>
        <v>Excelencia operativa</v>
      </c>
      <c r="W108" s="221" t="str">
        <f>[1]Sheet1!W108</f>
        <v>No</v>
      </c>
      <c r="X108" s="221" t="str">
        <f>[1]Sheet1!X108</f>
        <v>No cuantificado o S/0</v>
      </c>
      <c r="Y108" s="221" t="str">
        <f>[1]Sheet1!Y108</f>
        <v>Asegurar cualquier incidente que pudiese ocurrir en la plataforma antes de la auditoría externa de octubre.</v>
      </c>
      <c r="Z108" s="59">
        <f>[1]Sheet1!Z108</f>
        <v>0</v>
      </c>
      <c r="AA108" s="59">
        <f>[1]Sheet1!AA108</f>
        <v>0.45000000000000007</v>
      </c>
    </row>
    <row r="109" spans="1:27" ht="18.600000000000001" customHeight="1">
      <c r="A109" s="59">
        <f>[1]Sheet1!A109</f>
        <v>131</v>
      </c>
      <c r="B109" s="220">
        <f>[1]Sheet1!B109</f>
        <v>46142.716261574104</v>
      </c>
      <c r="C109" s="220">
        <f>[1]Sheet1!C109</f>
        <v>46142.721655092602</v>
      </c>
      <c r="D109" s="221" t="str">
        <f>[1]Sheet1!D109</f>
        <v>gerson.vereau@laureate.pe</v>
      </c>
      <c r="E109" s="221" t="str">
        <f>[1]Sheet1!E109</f>
        <v>Gerson Vereau Rosas</v>
      </c>
      <c r="F109" s="221" t="str">
        <f>[1]Sheet1!F109</f>
        <v>Cambio de SAC a SRL - UPN</v>
      </c>
      <c r="G109" s="221" t="str">
        <f>[1]Sheet1!G109</f>
        <v>Cambiar de SAC a SRL - UPN</v>
      </c>
      <c r="H109" s="221" t="str">
        <f>[1]Sheet1!H109</f>
        <v>UPN</v>
      </c>
      <c r="I109" s="221" t="str">
        <f>[1]Sheet1!I109</f>
        <v>Alex Pendavis - VP Finanzas</v>
      </c>
      <c r="J109" s="221" t="str">
        <f>[1]Sheet1!J109</f>
        <v>Franco chiappe</v>
      </c>
      <c r="K109" s="221">
        <f>[1]Sheet1!K109</f>
        <v>0</v>
      </c>
      <c r="L109" s="221" t="str">
        <f>[1]Sheet1!L109</f>
        <v>Gerson Vereau</v>
      </c>
      <c r="M109" s="151">
        <f>[1]Sheet1!M109</f>
        <v>46154</v>
      </c>
      <c r="N109" s="151" t="str">
        <f>[1]Sheet1!N109</f>
        <v>No</v>
      </c>
      <c r="O109" s="221">
        <f>[1]Sheet1!O109</f>
        <v>0</v>
      </c>
      <c r="P109" s="221">
        <f>[1]Sheet1!P109</f>
        <v>0</v>
      </c>
      <c r="Q109" s="221" t="str">
        <f>[1]Sheet1!Q109</f>
        <v>Legal</v>
      </c>
      <c r="R109" s="221" t="str">
        <f>[1]Sheet1!R109</f>
        <v>Proceso de cambio de tipo de sociedad de UPN, pasando de SAC a SRL.</v>
      </c>
      <c r="S109" s="221">
        <f>[1]Sheet1!S109</f>
        <v>0</v>
      </c>
      <c r="T109" s="221" t="str">
        <f>[1]Sheet1!T109</f>
        <v>Procesos de facturación</v>
      </c>
      <c r="U109" s="221" t="str">
        <f>[1]Sheet1!U109</f>
        <v>Ninguno</v>
      </c>
      <c r="V109" s="221" t="str">
        <f>[1]Sheet1!V109</f>
        <v>Excelencia académica</v>
      </c>
      <c r="W109" s="221" t="str">
        <f>[1]Sheet1!W109</f>
        <v>No</v>
      </c>
      <c r="X109" s="221" t="str">
        <f>[1]Sheet1!X109</f>
        <v>No cuantificado o S/0</v>
      </c>
      <c r="Y109" s="221" t="str">
        <f>[1]Sheet1!Y109</f>
        <v>Normativo</v>
      </c>
      <c r="Z109" s="59">
        <f>[1]Sheet1!Z109</f>
        <v>0</v>
      </c>
      <c r="AA109" s="59">
        <f>[1]Sheet1!AA109</f>
        <v>2</v>
      </c>
    </row>
    <row r="110" spans="1:27" ht="18.600000000000001" customHeight="1">
      <c r="A110" s="59">
        <f>[1]Sheet1!A110</f>
        <v>132</v>
      </c>
      <c r="B110" s="220">
        <f>[1]Sheet1!B110</f>
        <v>46153.716261574074</v>
      </c>
      <c r="C110" s="220">
        <f>[1]Sheet1!C110</f>
        <v>46153.721655092595</v>
      </c>
      <c r="D110" s="221" t="str">
        <f>[1]Sheet1!D110</f>
        <v>julio.rodriguez@laureate.pe</v>
      </c>
      <c r="E110" s="221" t="str">
        <f>[1]Sheet1!E110</f>
        <v>Julio Rodriguez</v>
      </c>
      <c r="F110" s="221" t="str">
        <f>[1]Sheet1!F110</f>
        <v>CRM - Nueva plataforma CRM</v>
      </c>
      <c r="G110" s="221" t="str">
        <f>[1]Sheet1!G110</f>
        <v>Implementación de Microsoft Dynamics 365 Sales, Customer Insights y Customer Service para optimizar el proceso de Admisión y seguimiento de Alumnos.</v>
      </c>
      <c r="H110" s="221" t="str">
        <f>[1]Sheet1!H110</f>
        <v>UPN</v>
      </c>
      <c r="I110" s="221" t="str">
        <f>[1]Sheet1!I110</f>
        <v>Ivan Olivares - VP Marketing y Comercial</v>
      </c>
      <c r="J110" s="221" t="str">
        <f>[1]Sheet1!J110</f>
        <v>Abel Reyes</v>
      </c>
      <c r="K110" s="221" t="str">
        <f>[1]Sheet1!K110</f>
        <v> </v>
      </c>
      <c r="L110" s="221" t="str">
        <f>[1]Sheet1!L110</f>
        <v>Jose Paredes</v>
      </c>
      <c r="M110" s="151">
        <f>[1]Sheet1!M110</f>
        <v>0</v>
      </c>
      <c r="N110" s="151" t="str">
        <f>[1]Sheet1!N110</f>
        <v>Si</v>
      </c>
      <c r="O110" s="221" t="str">
        <f>[1]Sheet1!O110</f>
        <v>Por entregar</v>
      </c>
      <c r="P110" s="221">
        <f>[1]Sheet1!P110</f>
        <v>75722</v>
      </c>
      <c r="Q110" s="221" t="str">
        <f>[1]Sheet1!Q110</f>
        <v>Otro</v>
      </c>
      <c r="R110" s="221"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221">
        <f>[1]Sheet1!S110</f>
        <v>0</v>
      </c>
      <c r="T110" s="221" t="str">
        <f>[1]Sheet1!T110</f>
        <v>Admisión Pregrado, EPE y Postgrado
Prospección</v>
      </c>
      <c r="U110" s="221">
        <f>[1]Sheet1!U110</f>
        <v>0</v>
      </c>
      <c r="V110" s="221" t="str">
        <f>[1]Sheet1!V110</f>
        <v>Excelencia operativa</v>
      </c>
      <c r="W110" s="221" t="str">
        <f>[1]Sheet1!W110</f>
        <v>No</v>
      </c>
      <c r="X110" s="221">
        <f>[1]Sheet1!X110</f>
        <v>0</v>
      </c>
      <c r="Y110" s="221" t="str">
        <f>[1]Sheet1!Y110</f>
        <v>Esta iniciativa busca fortalecer la eficiencia operativa, mejorar la experiencia del usuario y asegurar la escalabilidad tecnológica en línea con los objetivos institucionales.</v>
      </c>
      <c r="Z110" s="59" t="str">
        <f>[1]Sheet1!Z110</f>
        <v> </v>
      </c>
      <c r="AA110" s="59">
        <f>[1]Sheet1!AA110</f>
        <v>1.8</v>
      </c>
    </row>
    <row r="111" spans="1:27" ht="18.600000000000001" customHeight="1">
      <c r="A111" s="59">
        <f>[1]Sheet1!A111</f>
        <v>134</v>
      </c>
      <c r="B111" s="220">
        <f>[1]Sheet1!B111</f>
        <v>46146.699976851902</v>
      </c>
      <c r="C111" s="220">
        <f>[1]Sheet1!C111</f>
        <v>46146.714398148099</v>
      </c>
      <c r="D111" s="221" t="str">
        <f>[1]Sheet1!D111</f>
        <v>jorge.santacruz@laureate.pe</v>
      </c>
      <c r="E111" s="221" t="str">
        <f>[1]Sheet1!E111</f>
        <v>Jorge Santa Cruz Espinoza</v>
      </c>
      <c r="F111" s="221" t="str">
        <f>[1]Sheet1!F111</f>
        <v>Fase 2 Mis Procesos Goldenbelt</v>
      </c>
      <c r="G111" s="221" t="str">
        <f>[1]Sheet1!G111</f>
        <v>Como parte de los acuerdos de continuidad para el proyecto de Mis Procesos Goldenbelt, en esta Fase 2 se requiere incorporar toda la documentación de procesos de Laureate Perú.</v>
      </c>
      <c r="H111" s="221" t="str">
        <f>[1]Sheet1!H111</f>
        <v>LAUREATE</v>
      </c>
      <c r="I111" s="221" t="str">
        <f>[1]Sheet1!I111</f>
        <v>Rossina Caballero - VP Legal</v>
      </c>
      <c r="J111" s="221" t="str">
        <f>[1]Sheet1!J111</f>
        <v xml:space="preserve">Jorge Luis Santa Cruz Espinoza </v>
      </c>
      <c r="K111" s="221" t="str">
        <f>[1]Sheet1!K111</f>
        <v>https://educorpperu-my.sharepoint.com/personal/diana_zapata_laureate_pe1/Documents/Aplicaciones/Microsoft%20Forms/REGISTRO%20DE%20INICIATIVAS%20-%20GESTI%C3%93N%20DE%20LA%20DEMANDA%20(2%201/Pregunta/Aprobaci%C3%B3n%20de%20inicio%20de%20Fase%20II%20Mis%20Procesos_Jorge%20Santa%20Cruz%20Esp.pdf</v>
      </c>
      <c r="L111" s="221" t="str">
        <f>[1]Sheet1!L111</f>
        <v>Franco Vera</v>
      </c>
      <c r="M111" s="151">
        <f>[1]Sheet1!M111</f>
        <v>46238</v>
      </c>
      <c r="N111" s="151" t="str">
        <f>[1]Sheet1!N111</f>
        <v>No</v>
      </c>
      <c r="O111" s="221">
        <f>[1]Sheet1!O111</f>
        <v>0</v>
      </c>
      <c r="P111" s="221">
        <f>[1]Sheet1!P111</f>
        <v>0</v>
      </c>
      <c r="Q111" s="221" t="str">
        <f>[1]Sheet1!Q111</f>
        <v>Otro</v>
      </c>
      <c r="R111" s="221" t="str">
        <f>[1]Sheet1!R111</f>
        <v>Actualmente contamos con un aplicativo diseñado en PowerApps que gestiona y tiene como repositorio la documentación de Laureate Perú, y se plantea migrar toda información a la plataforma centralizada de Mis Procesos Goldenbelt</v>
      </c>
      <c r="S111" s="221">
        <f>[1]Sheet1!S111</f>
        <v>0</v>
      </c>
      <c r="T111" s="221" t="str">
        <f>[1]Sheet1!T111</f>
        <v xml:space="preserve">Todos los procesos centralizados de la organización </v>
      </c>
      <c r="U111" s="221" t="str">
        <f>[1]Sheet1!U111</f>
        <v>Administrativos</v>
      </c>
      <c r="V111" s="221" t="str">
        <f>[1]Sheet1!V111</f>
        <v>Excelencia operativa</v>
      </c>
      <c r="W111" s="221" t="str">
        <f>[1]Sheet1!W111</f>
        <v>No</v>
      </c>
      <c r="X111" s="221" t="str">
        <f>[1]Sheet1!X111</f>
        <v>No cuantificado o S/0</v>
      </c>
      <c r="Y111" s="221" t="str">
        <f>[1]Sheet1!Y111</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1" s="59" t="str">
        <f>[1]Sheet1!Z111</f>
        <v>https://educorpperu-my.sharepoint.com/personal/diana_zapata_laureate_pe1/_layouts/15/Doc.aspx?sourcedoc=%7B624F527C-33C1-4CED-9E49-04BF8077595A%7D&amp;file=Goldenbelt_presentaci%C3%B3n_Jorge%20Santa%20Cruz%20Esp.pptx&amp;action=edit&amp;mobileredirect=true</v>
      </c>
      <c r="AA111" s="59">
        <f>[1]Sheet1!AA111</f>
        <v>0.45000000000000007</v>
      </c>
    </row>
    <row r="112" spans="1:27" ht="18.600000000000001" customHeight="1">
      <c r="A112" s="59">
        <f>[1]Sheet1!A112</f>
        <v>135</v>
      </c>
      <c r="B112" s="220">
        <f>[1]Sheet1!B112</f>
        <v>46148.721481481502</v>
      </c>
      <c r="C112" s="220">
        <f>[1]Sheet1!C112</f>
        <v>46148.761435185203</v>
      </c>
      <c r="D112" s="221" t="str">
        <f>[1]Sheet1!D112</f>
        <v>franco.vera@laureate.pe</v>
      </c>
      <c r="E112" s="221" t="str">
        <f>[1]Sheet1!E112</f>
        <v>Franco Manuel Vera Sanchez</v>
      </c>
      <c r="F112" s="221" t="str">
        <f>[1]Sheet1!F112</f>
        <v xml:space="preserve">Depuración de RPA ineficientes </v>
      </c>
      <c r="G112" s="221" t="str">
        <f>[1]Sheet1!G112</f>
        <v>Necesitamos asegurar el retiro de 10 RPA deficientes, para ejecutar un plan de acción definido (rediseño de procesos, desarrollo, integración), logrando quedarnos sólo con los RPA justificados, según Plan de Trabajo realizado.</v>
      </c>
      <c r="H112" s="221" t="str">
        <f>[1]Sheet1!H112</f>
        <v>LAUREATE</v>
      </c>
      <c r="I112" s="221" t="str">
        <f>[1]Sheet1!I112</f>
        <v>Humberto Marota - Tecnologías y transformación digital</v>
      </c>
      <c r="J112" s="221" t="str">
        <f>[1]Sheet1!J112</f>
        <v xml:space="preserve">Christian Quiroz </v>
      </c>
      <c r="K112" s="221" t="str">
        <f>[1]Sheet1!K112</f>
        <v>https://educorpperu-my.sharepoint.com/:b:/g/personal/franco_vera_laureate_pe/IQAeX2Tg8y1WSYeioPE9dNhYAVKWmQNzPEOjQhlY8RjQY4k?e=bEb9WD</v>
      </c>
      <c r="L112" s="221" t="str">
        <f>[1]Sheet1!L112</f>
        <v>Franco Vera</v>
      </c>
      <c r="M112" s="151">
        <f>[1]Sheet1!M112</f>
        <v>46203</v>
      </c>
      <c r="N112" s="151" t="str">
        <f>[1]Sheet1!N112</f>
        <v>No</v>
      </c>
      <c r="O112" s="221">
        <f>[1]Sheet1!O112</f>
        <v>0</v>
      </c>
      <c r="P112" s="221">
        <f>[1]Sheet1!P112</f>
        <v>0</v>
      </c>
      <c r="Q112" s="221" t="str">
        <f>[1]Sheet1!Q112</f>
        <v>Otro</v>
      </c>
      <c r="R112" s="221" t="str">
        <f>[1]Sheet1!R112</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2" s="221">
        <f>[1]Sheet1!S112</f>
        <v>0</v>
      </c>
      <c r="T112" s="221" t="str">
        <f>[1]Sheet1!T112</f>
        <v>Académicos y de operaciones</v>
      </c>
      <c r="U112" s="221" t="str">
        <f>[1]Sheet1!U112</f>
        <v>Ninguno</v>
      </c>
      <c r="V112" s="221" t="str">
        <f>[1]Sheet1!V112</f>
        <v>Excelencia operativa</v>
      </c>
      <c r="W112" s="221" t="str">
        <f>[1]Sheet1!W112</f>
        <v>No</v>
      </c>
      <c r="X112" s="221" t="str">
        <f>[1]Sheet1!X112</f>
        <v>No cuantificado o S/0</v>
      </c>
      <c r="Y112" s="221" t="str">
        <f>[1]Sheet1!Y112</f>
        <v>Elevar el grado de alineamiento de los RPA y la optimización del modelo de automatización en UPN y UPC.</v>
      </c>
      <c r="Z112" s="59" t="str">
        <f>[1]Sheet1!Z112</f>
        <v>https://educorpperu-my.sharepoint.com/personal/diana_zapata_laureate_pe1/_layouts/15/Doc.aspx?sourcedoc=%7B24A1BDF7-9308-49FC-8068-7E45AEA5D050%7D&amp;file=Status%20RPA%202026-04-01_Franco%20Manuel%20Vera%20S.pptx&amp;action=edit&amp;mobileredirect=true</v>
      </c>
      <c r="AA112" s="59">
        <f>[1]Sheet1!AA112</f>
        <v>0.30000000000000004</v>
      </c>
    </row>
    <row r="113" spans="1:27" ht="18.600000000000001" customHeight="1">
      <c r="A113" s="59">
        <f>[1]Sheet1!A113</f>
        <v>136</v>
      </c>
      <c r="B113" s="220">
        <f>[1]Sheet1!B113</f>
        <v>46148.807418981502</v>
      </c>
      <c r="C113" s="220">
        <f>[1]Sheet1!C113</f>
        <v>46148.817395833299</v>
      </c>
      <c r="D113" s="221" t="str">
        <f>[1]Sheet1!D113</f>
        <v>jose.herbozo@laureate.pe</v>
      </c>
      <c r="E113" s="221" t="str">
        <f>[1]Sheet1!E113</f>
        <v>José Paredes Herbozo</v>
      </c>
      <c r="F113" s="221" t="str">
        <f>[1]Sheet1!F113</f>
        <v>Admisión Online (Fase 2)</v>
      </c>
      <c r="G113" s="221" t="str">
        <f>[1]Sheet1!G113</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3" s="221" t="str">
        <f>[1]Sheet1!H113</f>
        <v>UPN</v>
      </c>
      <c r="I113" s="221" t="str">
        <f>[1]Sheet1!I113</f>
        <v>Ivan Olivares - VP Marketing y Comercial</v>
      </c>
      <c r="J113" s="221" t="str">
        <f>[1]Sheet1!J113</f>
        <v>Alejandro Tello</v>
      </c>
      <c r="K113" s="221" t="str">
        <f>[1]Sheet1!K113</f>
        <v>https://educorpperu-my.sharepoint.com/personal/diana_zapata_laureate_pe1/Documents/Aplicaciones/Microsoft%20Forms/REGISTRO%20DE%20INICIATIVAS%20-%20GESTI%C3%93N%20DE%20LA%20DEMANDA%20(2%201/Pregunta/olk_GiZq5TaWKA_Jos%C3%A9%20Paredes%20Herbozo.png</v>
      </c>
      <c r="L113" s="221" t="str">
        <f>[1]Sheet1!L113</f>
        <v>Jose Paredes</v>
      </c>
      <c r="M113" s="151">
        <f>[1]Sheet1!M113</f>
        <v>46234</v>
      </c>
      <c r="N113" s="151" t="str">
        <f>[1]Sheet1!N113</f>
        <v>Si</v>
      </c>
      <c r="O113" s="221" t="str">
        <f>[1]Sheet1!O113</f>
        <v>Digital &amp; IA</v>
      </c>
      <c r="P113" s="221">
        <f>[1]Sheet1!P113</f>
        <v>75722</v>
      </c>
      <c r="Q113" s="221" t="str">
        <f>[1]Sheet1!Q113</f>
        <v>Otro</v>
      </c>
      <c r="R113" s="221" t="str">
        <f>[1]Sheet1!R113</f>
        <v>Actualmente la operación manual dilata la venta.</v>
      </c>
      <c r="S113" s="221">
        <f>[1]Sheet1!S113</f>
        <v>0</v>
      </c>
      <c r="T113" s="221" t="str">
        <f>[1]Sheet1!T113</f>
        <v>Admisión, Marketing</v>
      </c>
      <c r="U113" s="221" t="str">
        <f>[1]Sheet1!U113</f>
        <v>Administrativos</v>
      </c>
      <c r="V113" s="221" t="str">
        <f>[1]Sheet1!V113</f>
        <v>Crecimiento escalable</v>
      </c>
      <c r="W113" s="221" t="str">
        <f>[1]Sheet1!W113</f>
        <v>No</v>
      </c>
      <c r="X113" s="221" t="str">
        <f>[1]Sheet1!X113</f>
        <v>Mayor a S/500,000.00</v>
      </c>
      <c r="Y113" s="221" t="str">
        <f>[1]Sheet1!Y113</f>
        <v xml:space="preserve">Desarrollar e implementar una plataforma digital que permita realizar el proceso de admisión de manera completamente online, integrando IA para mejorar la experiencia del prospecto y automatizar procesos operativos.
</v>
      </c>
      <c r="Z113" s="59" t="str">
        <f>[1]Sheet1!Z113</f>
        <v>https://educorpperu-my.sharepoint.com/personal/diana_zapata_laureate_pe1/_layouts/15/Doc.aspx?sourcedoc=%7B5D291B10-5066-4D8A-AD65-AE4310DF4BE6%7D&amp;file=Solicitud%20de%20requerimientos%20Idea%20nueva%20y%20mejo_Jos%C3%A9%20Paredes%20Herbozo.pptx&amp;action=edit&amp;mobileredirect=true</v>
      </c>
      <c r="AA113" s="59">
        <f>[1]Sheet1!AA113</f>
        <v>2.9</v>
      </c>
    </row>
    <row r="114" spans="1:27" ht="18.600000000000001" customHeight="1">
      <c r="A114" s="59">
        <f>[1]Sheet1!A114</f>
        <v>137</v>
      </c>
      <c r="B114" s="220">
        <f>[1]Sheet1!B114</f>
        <v>46148.786018518498</v>
      </c>
      <c r="C114" s="220">
        <f>[1]Sheet1!C114</f>
        <v>46148.8413657407</v>
      </c>
      <c r="D114" s="221" t="str">
        <f>[1]Sheet1!D114</f>
        <v>jhoy.vargas@laureate.pe</v>
      </c>
      <c r="E114" s="221" t="str">
        <f>[1]Sheet1!E114</f>
        <v>Jhoy Vargas Fatama</v>
      </c>
      <c r="F114" s="221" t="str">
        <f>[1]Sheet1!F114</f>
        <v>Actualizacion de Árbol de tipificaciones CRM Cibertec</v>
      </c>
      <c r="G114" s="221" t="str">
        <f>[1]Sheet1!G114</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4" s="221" t="str">
        <f>[1]Sheet1!H114</f>
        <v>CIB</v>
      </c>
      <c r="I114" s="221" t="str">
        <f>[1]Sheet1!I114</f>
        <v>Álvaro Valdez - VP Operaciones</v>
      </c>
      <c r="J114" s="221" t="str">
        <f>[1]Sheet1!J114</f>
        <v xml:space="preserve">Jhoy Vargas </v>
      </c>
      <c r="K114" s="221" t="str">
        <f>[1]Sheet1!K114</f>
        <v>https://educorpperu-my.sharepoint.com/personal/diana_zapata_laureate_pe1/Documents/Aplicaciones/Microsoft%20Forms/REGISTRO%20DE%20INICIATIVAS%20-%20GESTI%C3%93N%20DE%20LA%20DEMANDA%20(2%201/Pregunta/PROYECTO_%20%C3%81rbol%20de%20tipificaciones%20CRM%20Ciberte_Jhoy%20Vargas%20Fatama.pdf</v>
      </c>
      <c r="L114" s="221" t="str">
        <f>[1]Sheet1!L114</f>
        <v>Gerson Vereau</v>
      </c>
      <c r="M114" s="151">
        <f>[1]Sheet1!M114</f>
        <v>46174</v>
      </c>
      <c r="N114" s="151" t="str">
        <f>[1]Sheet1!N114</f>
        <v>No</v>
      </c>
      <c r="O114" s="221">
        <f>[1]Sheet1!O114</f>
        <v>0</v>
      </c>
      <c r="P114" s="221">
        <f>[1]Sheet1!P114</f>
        <v>0</v>
      </c>
      <c r="Q114" s="221" t="str">
        <f>[1]Sheet1!Q114</f>
        <v>Otro</v>
      </c>
      <c r="R114" s="221" t="str">
        <f>[1]Sheet1!R114</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4" s="221">
        <f>[1]Sheet1!S114</f>
        <v>0</v>
      </c>
      <c r="T114" s="221" t="str">
        <f>[1]Sheet1!T114</f>
        <v xml:space="preserve">Gestión de seguimiento Intracycle, tipificación y registro de interacciones con estudiantes, control de calidad de datos, campañas de matrícula y recaudación, atención y soporte estudiantil.
</v>
      </c>
      <c r="U114" s="221" t="str">
        <f>[1]Sheet1!U114</f>
        <v>Administrativos</v>
      </c>
      <c r="V114" s="221" t="str">
        <f>[1]Sheet1!V114</f>
        <v>Excelencia operativa</v>
      </c>
      <c r="W114" s="221" t="str">
        <f>[1]Sheet1!W114</f>
        <v>No</v>
      </c>
      <c r="X114" s="221" t="str">
        <f>[1]Sheet1!X114</f>
        <v>No cuantificado o S/0</v>
      </c>
      <c r="Y114" s="221" t="str">
        <f>[1]Sheet1!Y114</f>
        <v xml:space="preserve">Impacta en los controles de cumplimiento normativo (protección de datos personales), control de calidad de datos, control de acceso y seguridad de la información, y control operativo de campañas de seguimiento Intracycle.
</v>
      </c>
      <c r="Z114" s="59" t="str">
        <f>[1]Sheet1!Z114</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4" s="59">
        <f>[1]Sheet1!AA114</f>
        <v>0.45000000000000007</v>
      </c>
    </row>
    <row r="115" spans="1:27" ht="18.600000000000001" customHeight="1">
      <c r="A115" s="59">
        <f>[1]Sheet1!A115</f>
        <v>138</v>
      </c>
      <c r="B115" s="220">
        <f>[1]Sheet1!B115</f>
        <v>46149.350358796299</v>
      </c>
      <c r="C115" s="220">
        <f>[1]Sheet1!C115</f>
        <v>46149.484409722201</v>
      </c>
      <c r="D115" s="221" t="str">
        <f>[1]Sheet1!D115</f>
        <v>javier.santiago@laureate.pe</v>
      </c>
      <c r="E115" s="221" t="str">
        <f>[1]Sheet1!E115</f>
        <v>Javier Santiago Modesto</v>
      </c>
      <c r="F115" s="221" t="str">
        <f>[1]Sheet1!F115</f>
        <v>Implementación de nueva API Banner de validación de solicitud de Constancia de Matricula simple y con cursos incluidos</v>
      </c>
      <c r="G115" s="221" t="str">
        <f>[1]Sheet1!G115</f>
        <v>Necesitamos validar el proceso de solicitud de constancia de matricula, para garantizar la integridad de la información de los estudiantes solicitantes, logrando que el 100% de solicitudes se apliquen correctamente.</v>
      </c>
      <c r="H115" s="221" t="str">
        <f>[1]Sheet1!H115</f>
        <v>UPC</v>
      </c>
      <c r="I115" s="221" t="str">
        <f>[1]Sheet1!I115</f>
        <v>Mónica García - VP Operaciones Digitales y Online</v>
      </c>
      <c r="J115" s="221" t="str">
        <f>[1]Sheet1!J115</f>
        <v>Janny Nicasio - Aceleradora Digital</v>
      </c>
      <c r="K115" s="221" t="str">
        <f>[1]Sheet1!K115</f>
        <v>https://educorpperu-my.sharepoint.com/personal/diana_zapata_laureate_pe1/_layouts/15/Doc.aspx?sourcedoc=%7B291EB381-3170-4446-8D73-91136D380F38%7D&amp;file=Aprobacion-VP-11-05-2026_Javier%20Santiago%20Mode.docx&amp;action=default&amp;mobileredirect=true</v>
      </c>
      <c r="L115" s="221" t="str">
        <f>[1]Sheet1!L115</f>
        <v>Ninguno</v>
      </c>
      <c r="M115" s="151">
        <f>[1]Sheet1!M115</f>
        <v>46172</v>
      </c>
      <c r="N115" s="151" t="str">
        <f>[1]Sheet1!N115</f>
        <v>No</v>
      </c>
      <c r="O115" s="221">
        <f>[1]Sheet1!O115</f>
        <v>0</v>
      </c>
      <c r="P115" s="221">
        <f>[1]Sheet1!P115</f>
        <v>0</v>
      </c>
      <c r="Q115" s="221" t="str">
        <f>[1]Sheet1!Q115</f>
        <v>Otro</v>
      </c>
      <c r="R115" s="221" t="str">
        <f>[1]Sheet1!R115</f>
        <v>El proceso de solicitud de constancia de matricula se consultan cuatro distintas APIs para validar la información del estudiante solicitante, afectando la performance de la respuesta y generando errores de consistencia de datos.</v>
      </c>
      <c r="S115" s="221" t="str">
        <f>[1]Sheet1!S115</f>
        <v>Tener una unica API que valide la elegibilidad de constancia de matrícula.</v>
      </c>
      <c r="T115" s="221" t="str">
        <f>[1]Sheet1!T115</f>
        <v>Proceso de solicitud de constancia de matricula simple y con cursos incluidos</v>
      </c>
      <c r="U115" s="221" t="str">
        <f>[1]Sheet1!U115</f>
        <v>Alumnos</v>
      </c>
      <c r="V115" s="221" t="str">
        <f>[1]Sheet1!V115</f>
        <v>Experiencia</v>
      </c>
      <c r="W115" s="221" t="str">
        <f>[1]Sheet1!W115</f>
        <v>No</v>
      </c>
      <c r="X115" s="221" t="str">
        <f>[1]Sheet1!X115</f>
        <v>No cuantificado o S/0</v>
      </c>
      <c r="Y115" s="221" t="str">
        <f>[1]Sheet1!Y115</f>
        <v>Mejora la experiencia del estudiante en la solicitud de la constancia de matricula.</v>
      </c>
      <c r="Z115" s="59" t="str">
        <f>[1]Sheet1!Z115</f>
        <v>https://educorpperu-my.sharepoint.com/personal/diana_zapata_laureate_pe1/_layouts/15/Doc.aspx?sourcedoc=%7BED719568-FBD6-4E30-B823-05F1A6731E92%7D&amp;file=Solicitud%20de%20requerimientos%20Idea%20nueva%20y%20mejo_Javier%20Santiago%20Mode.pptx&amp;action=edit&amp;mobileredirect=true</v>
      </c>
      <c r="AA115" s="59">
        <f>[1]Sheet1!AA115</f>
        <v>1.3</v>
      </c>
    </row>
    <row r="116" spans="1:27" ht="18.600000000000001" customHeight="1">
      <c r="A116" s="59">
        <f>[1]Sheet1!A116</f>
        <v>139</v>
      </c>
      <c r="B116" s="220">
        <f>[1]Sheet1!B116</f>
        <v>46149.750567129602</v>
      </c>
      <c r="C116" s="220">
        <f>[1]Sheet1!C116</f>
        <v>46149.757731481499</v>
      </c>
      <c r="D116" s="221" t="str">
        <f>[1]Sheet1!D116</f>
        <v>johnny.rodriguez@laureate.pe</v>
      </c>
      <c r="E116" s="221" t="str">
        <f>[1]Sheet1!E116</f>
        <v>Johnny Rodríguez Godos</v>
      </c>
      <c r="F116" s="221" t="str">
        <f>[1]Sheet1!F116</f>
        <v>Estimación de cambios para liberación de Backfill - Área de Experiencia</v>
      </c>
      <c r="G116" s="221" t="str">
        <f>[1]Sheet1!G116</f>
        <v xml:space="preserve">Realizar la estimación de los 18 puntos compartidos en el excel que se disponibiliza en esta solicitud. La estimación y ejecución de estos requerimientos permitirá la liberación de los backfills que tiene asignado el área de Experiencia. </v>
      </c>
      <c r="H116" s="221" t="str">
        <f>[1]Sheet1!H116</f>
        <v>UPC</v>
      </c>
      <c r="I116" s="221" t="str">
        <f>[1]Sheet1!I116</f>
        <v>Mónica García - VP Operaciones Digitales y Online</v>
      </c>
      <c r="J116" s="221" t="str">
        <f>[1]Sheet1!J116</f>
        <v>Luis Roncal</v>
      </c>
      <c r="K116" s="221" t="str">
        <f>[1]Sheet1!K116</f>
        <v>https://educorpperu-my.sharepoint.com/personal/diana_zapata_laureate_pe1/Documents/Aplicaciones/Microsoft%20Forms/REGISTRO%20DE%20INICIATIVAS%20-%20GESTI%C3%93N%20DE%20LA%20DEMANDA%20(2%201/Pregunta/Captura%20de%20pantalla%202026-05-07%20180534_Johnny%20Rodr%C3%ADguez%20God.jpg</v>
      </c>
      <c r="L116" s="221" t="str">
        <f>[1]Sheet1!L116</f>
        <v>Carla Arias-Schreiber</v>
      </c>
      <c r="M116" s="151">
        <f>[1]Sheet1!M116</f>
        <v>46265</v>
      </c>
      <c r="N116" s="151" t="str">
        <f>[1]Sheet1!N116</f>
        <v>No</v>
      </c>
      <c r="O116" s="221">
        <f>[1]Sheet1!O116</f>
        <v>0</v>
      </c>
      <c r="P116" s="221">
        <f>[1]Sheet1!P116</f>
        <v>0</v>
      </c>
      <c r="Q116" s="221" t="str">
        <f>[1]Sheet1!Q116</f>
        <v>Otro</v>
      </c>
      <c r="R116" s="221" t="str">
        <f>[1]Sheet1!R116</f>
        <v>Estimación para liberar backfills</v>
      </c>
      <c r="S116" s="221">
        <f>[1]Sheet1!S116</f>
        <v>0</v>
      </c>
      <c r="T116" s="221" t="str">
        <f>[1]Sheet1!T116</f>
        <v>Trámites, Balckboard, MiUPC</v>
      </c>
      <c r="U116" s="221" t="str">
        <f>[1]Sheet1!U116</f>
        <v>Ninguno</v>
      </c>
      <c r="V116" s="221" t="str">
        <f>[1]Sheet1!V116</f>
        <v>Excelencia operativa</v>
      </c>
      <c r="W116" s="221" t="str">
        <f>[1]Sheet1!W116</f>
        <v>No</v>
      </c>
      <c r="X116" s="221" t="str">
        <f>[1]Sheet1!X116</f>
        <v>Mayor a S/500,000.00</v>
      </c>
      <c r="Y116" s="221" t="str">
        <f>[1]Sheet1!Y116</f>
        <v>Mejor servicio a los alumnos</v>
      </c>
      <c r="Z116" s="59" t="str">
        <f>[1]Sheet1!Z116</f>
        <v>https://educorpperu-my.sharepoint.com/personal/diana_zapata_laureate_pe1/_layouts/15/Doc.aspx?sourcedoc=%7BD22D2A6B-4EE3-4CE0-B5F4-5B298832110E%7D&amp;file=Listado%20de%20necesidades%20TI%20-%20Direcci%C3%B3n%20de%20Expe_Johnny%20Rodr%C3%ADguez%20God.xlsx&amp;action=default&amp;mobileredirect=true</v>
      </c>
      <c r="AA116" s="59">
        <f>[1]Sheet1!AA116</f>
        <v>1.05</v>
      </c>
    </row>
    <row r="117" spans="1:27" ht="18.600000000000001" customHeight="1">
      <c r="A117" s="59">
        <f>[1]Sheet1!A117</f>
        <v>140</v>
      </c>
      <c r="B117" s="220">
        <f>[1]Sheet1!B117</f>
        <v>46150.379953703698</v>
      </c>
      <c r="C117" s="220">
        <f>[1]Sheet1!C117</f>
        <v>46150.452800925901</v>
      </c>
      <c r="D117" s="221" t="str">
        <f>[1]Sheet1!D117</f>
        <v>franco.vera@laureate.pe</v>
      </c>
      <c r="E117" s="221" t="str">
        <f>[1]Sheet1!E117</f>
        <v>Franco Manuel Vera Sanchez</v>
      </c>
      <c r="F117" s="221" t="str">
        <f>[1]Sheet1!F117</f>
        <v>Requerimiento reporte CB008 en BI - Compra de carpetas de becas socioeconómicas</v>
      </c>
      <c r="G117" s="221" t="str">
        <f>[1]Sheet1!G117</f>
        <v>Este se requiere para identificar a estudiantes que han adquirido su carpeta para postular a esta beca e iniciar su postulación para el 2026-2.</v>
      </c>
      <c r="H117" s="221" t="str">
        <f>[1]Sheet1!H117</f>
        <v>UPN</v>
      </c>
      <c r="I117" s="221" t="str">
        <f>[1]Sheet1!I117</f>
        <v>Alex Pendavis - VP Finanzas</v>
      </c>
      <c r="J117" s="221" t="str">
        <f>[1]Sheet1!J117</f>
        <v>Loussiana Pacheco</v>
      </c>
      <c r="K117" s="221" t="str">
        <f>[1]Sheet1!K117</f>
        <v>https://educorpperu-my.sharepoint.com/personal/diana_zapata_laureate_pe1/Documents/Aplicaciones/Microsoft%20Forms/REGISTRO%20DE%20INICIATIVAS%20-%20GESTI%C3%93N%20DE%20LA%20DEMANDA%20(2%201/Pregunta/VB%20Miguel%20Bandach_CB008_Franco%20Manuel%20Vera%20S.pdf</v>
      </c>
      <c r="L117" s="221" t="str">
        <f>[1]Sheet1!L117</f>
        <v>Franco Vera</v>
      </c>
      <c r="M117" s="151">
        <f>[1]Sheet1!M117</f>
        <v>46153</v>
      </c>
      <c r="N117" s="151" t="str">
        <f>[1]Sheet1!N117</f>
        <v>No</v>
      </c>
      <c r="O117" s="221">
        <f>[1]Sheet1!O117</f>
        <v>0</v>
      </c>
      <c r="P117" s="221">
        <f>[1]Sheet1!P117</f>
        <v>0</v>
      </c>
      <c r="Q117" s="221" t="str">
        <f>[1]Sheet1!Q117</f>
        <v>Otro</v>
      </c>
      <c r="R117" s="221" t="str">
        <f>[1]Sheet1!R117</f>
        <v xml:space="preserve">No se cuenta con un reporte de compra de becas socioeconómicas, lo cual genera un trabajo manual y por lo tanto, demora en las comunicaciones hacia el estudiante.
</v>
      </c>
      <c r="S117" s="221">
        <f>[1]Sheet1!S117</f>
        <v>0</v>
      </c>
      <c r="T117" s="221" t="str">
        <f>[1]Sheet1!T117</f>
        <v>Compra de becas socioeconómicas.</v>
      </c>
      <c r="U117" s="221" t="str">
        <f>[1]Sheet1!U117</f>
        <v>Administrativos</v>
      </c>
      <c r="V117" s="221" t="str">
        <f>[1]Sheet1!V117</f>
        <v>Excelencia operativa</v>
      </c>
      <c r="W117" s="221" t="str">
        <f>[1]Sheet1!W117</f>
        <v>No</v>
      </c>
      <c r="X117" s="221" t="str">
        <f>[1]Sheet1!X117</f>
        <v>No cuantificado o S/0</v>
      </c>
      <c r="Y117" s="221" t="str">
        <f>[1]Sheet1!Y117</f>
        <v>Integración, automatización y mejora de la experiencia del estudiante.</v>
      </c>
      <c r="Z117" s="59" t="str">
        <f>[1]Sheet1!Z117</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7" s="59">
        <f>[1]Sheet1!AA117</f>
        <v>0.45000000000000007</v>
      </c>
    </row>
    <row r="118" spans="1:27" ht="18.600000000000001" customHeight="1">
      <c r="A118" s="59">
        <f>[1]Sheet1!A118</f>
        <v>141</v>
      </c>
      <c r="B118" s="220">
        <f>[1]Sheet1!B118</f>
        <v>46153.3528703704</v>
      </c>
      <c r="C118" s="220">
        <f>[1]Sheet1!C118</f>
        <v>46153.391863425903</v>
      </c>
      <c r="D118" s="221" t="str">
        <f>[1]Sheet1!D118</f>
        <v>angela.lucano@laureate.pe</v>
      </c>
      <c r="E118" s="221" t="str">
        <f>[1]Sheet1!E118</f>
        <v>Angela Lucano Carranza</v>
      </c>
      <c r="F118" s="221" t="str">
        <f>[1]Sheet1!F118</f>
        <v>Implementación del Portal Web de Course Catalog UPC</v>
      </c>
      <c r="G118" s="221" t="str">
        <f>[1]Sheet1!G118</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8" s="221" t="str">
        <f>[1]Sheet1!H118</f>
        <v>UPC</v>
      </c>
      <c r="I118" s="221" t="str">
        <f>[1]Sheet1!I118</f>
        <v>Milagros Morgan - Rectorado UPC</v>
      </c>
      <c r="J118" s="221" t="str">
        <f>[1]Sheet1!J118</f>
        <v xml:space="preserve">Daniel Ticona </v>
      </c>
      <c r="K118" s="221" t="str">
        <f>[1]Sheet1!K118</f>
        <v>https://educorpperu-my.sharepoint.com/personal/diana_zapata_laureate_pe1/Documents/Aplicaciones/Microsoft%20Forms/REGISTRO%20DE%20INICIATIVAS%20-%20GESTI%C3%93N%20DE%20LA%20DEMANDA%20(2%201/Pregunta/RE_%20Requerimiento%20-%20Soporte%20para%20despliegue%20d_Angela%20Lucano%20Carran.pdf</v>
      </c>
      <c r="L118" s="221" t="str">
        <f>[1]Sheet1!L118</f>
        <v>Gerson Vereau</v>
      </c>
      <c r="M118" s="151">
        <f>[1]Sheet1!M118</f>
        <v>46234</v>
      </c>
      <c r="N118" s="151" t="str">
        <f>[1]Sheet1!N118</f>
        <v>No</v>
      </c>
      <c r="O118" s="221">
        <f>[1]Sheet1!O118</f>
        <v>0</v>
      </c>
      <c r="P118" s="221">
        <f>[1]Sheet1!P118</f>
        <v>0</v>
      </c>
      <c r="Q118" s="221" t="str">
        <f>[1]Sheet1!Q118</f>
        <v>Otro</v>
      </c>
      <c r="R118" s="221" t="str">
        <f>[1]Sheet1!R118</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8" s="221">
        <f>[1]Sheet1!S118</f>
        <v>0</v>
      </c>
      <c r="T118" s="221" t="str">
        <f>[1]Sheet1!T118</f>
        <v>Atender las necesidades de información y consultas académicas, sobre la información de las asignaturas que se ofrecen en UPC, requeridas por estudiantes, docentes y staff.</v>
      </c>
      <c r="U118" s="221" t="str">
        <f>[1]Sheet1!U118</f>
        <v>Ninguno</v>
      </c>
      <c r="V118" s="221" t="str">
        <f>[1]Sheet1!V118</f>
        <v>Excelencia operativa</v>
      </c>
      <c r="W118" s="221" t="str">
        <f>[1]Sheet1!W118</f>
        <v>No</v>
      </c>
      <c r="X118" s="221" t="str">
        <f>[1]Sheet1!X118</f>
        <v>No cuantificado o S/0</v>
      </c>
      <c r="Y118" s="221" t="str">
        <f>[1]Sheet1!Y118</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8" s="59" t="str">
        <f>[1]Sheet1!Z118</f>
        <v>https://educorpperu-my.sharepoint.com/personal/diana_zapata_laureate_pe1/_layouts/15/Doc.aspx?sourcedoc=%7BA0EE780B-D66F-42EC-83A6-4E699CDA9EE9%7D&amp;file=Solicitud%20de%20requerimientos%20Idea%20nueva%20y%20mejo_Angela%20Lucano%20Carran%203.pptx&amp;action=edit&amp;mobileredirect=true</v>
      </c>
      <c r="AA118" s="59">
        <f>[1]Sheet1!AA118</f>
        <v>0.30000000000000004</v>
      </c>
    </row>
    <row r="119" spans="1:27" ht="18.600000000000001" customHeight="1">
      <c r="A119" s="59">
        <f>[1]Sheet1!A119</f>
        <v>142</v>
      </c>
      <c r="B119" s="220">
        <f>[1]Sheet1!B119</f>
        <v>46153.365740740701</v>
      </c>
      <c r="C119" s="220">
        <f>[1]Sheet1!C119</f>
        <v>46153.404918981498</v>
      </c>
      <c r="D119" s="221" t="str">
        <f>[1]Sheet1!D119</f>
        <v>angela.lucano@laureate.pe</v>
      </c>
      <c r="E119" s="221" t="str">
        <f>[1]Sheet1!E119</f>
        <v>Angela Lucano Carranza</v>
      </c>
      <c r="F119" s="221" t="str">
        <f>[1]Sheet1!F119</f>
        <v>Implementación de WEB SICA 2.0: Plataforma Centralizada de Gestión y Consulta de Documentación Oficial UPC</v>
      </c>
      <c r="G119" s="221" t="str">
        <f>[1]Sheet1!G119</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19" s="221" t="str">
        <f>[1]Sheet1!H119</f>
        <v>UPC</v>
      </c>
      <c r="I119" s="221" t="str">
        <f>[1]Sheet1!I119</f>
        <v>Milagros Morgan - Rectorado UPC</v>
      </c>
      <c r="J119" s="221" t="str">
        <f>[1]Sheet1!J119</f>
        <v xml:space="preserve">Daniel Ticona </v>
      </c>
      <c r="K119" s="221" t="str">
        <f>[1]Sheet1!K119</f>
        <v>https://educorpperu-my.sharepoint.com/personal/diana_zapata_laureate_pe1/Documents/Aplicaciones/Microsoft%20Forms/REGISTRO%20DE%20INICIATIVAS%20-%20GESTI%C3%93N%20DE%20LA%20DEMANDA%20(2%201/Pregunta/RE_%20Requerimiento%20-%20Web%20SICA%202.0_Angela%20Lucano%20Carran.pdf</v>
      </c>
      <c r="L119" s="221" t="str">
        <f>[1]Sheet1!L119</f>
        <v>Gerson Vereau</v>
      </c>
      <c r="M119" s="151">
        <f>[1]Sheet1!M119</f>
        <v>46249</v>
      </c>
      <c r="N119" s="151" t="str">
        <f>[1]Sheet1!N119</f>
        <v>No</v>
      </c>
      <c r="O119" s="221">
        <f>[1]Sheet1!O119</f>
        <v>0</v>
      </c>
      <c r="P119" s="221">
        <f>[1]Sheet1!P119</f>
        <v>0</v>
      </c>
      <c r="Q119" s="221" t="str">
        <f>[1]Sheet1!Q119</f>
        <v>Seguridad de la información</v>
      </c>
      <c r="R119" s="221" t="str">
        <f>[1]Sheet1!R119</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19" s="221">
        <f>[1]Sheet1!S119</f>
        <v>0</v>
      </c>
      <c r="T119" s="221" t="str">
        <f>[1]Sheet1!T119</f>
        <v>Mapa de procesos de la UPC (SICA)</v>
      </c>
      <c r="U119" s="221" t="str">
        <f>[1]Sheet1!U119</f>
        <v>Administrativos</v>
      </c>
      <c r="V119" s="221" t="str">
        <f>[1]Sheet1!V119</f>
        <v>Excelencia operativa</v>
      </c>
      <c r="W119" s="221" t="str">
        <f>[1]Sheet1!W119</f>
        <v>No</v>
      </c>
      <c r="X119" s="221" t="str">
        <f>[1]Sheet1!X119</f>
        <v>No cuantificado o S/0</v>
      </c>
      <c r="Y119" s="221" t="str">
        <f>[1]Sheet1!Y119</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19" s="59" t="str">
        <f>[1]Sheet1!Z119</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19" s="59">
        <f>[1]Sheet1!AA119</f>
        <v>1.3499999999999999</v>
      </c>
    </row>
    <row r="120" spans="1:27" ht="18.600000000000001" customHeight="1">
      <c r="A120" s="80">
        <f>[1]Sheet1!A120</f>
        <v>133</v>
      </c>
      <c r="B120" s="220">
        <f>[1]Sheet1!B120</f>
        <v>46153.365740740701</v>
      </c>
      <c r="C120" s="220">
        <f>[1]Sheet1!C120</f>
        <v>46153.404918981498</v>
      </c>
      <c r="D120" s="221" t="str">
        <f>[1]Sheet1!D120</f>
        <v>ethel.sotomayor@laureate.pe</v>
      </c>
      <c r="E120" s="221" t="str">
        <f>[1]Sheet1!E120</f>
        <v xml:space="preserve">
Ethel Lorena Guerrero Sotomayor</v>
      </c>
      <c r="F120" s="221" t="str">
        <f>[1]Sheet1!F120</f>
        <v>New Campus UPN Lima Sur - Nueva Sede UPN San Juan de Miraflores</v>
      </c>
      <c r="G120" s="221" t="str">
        <f>[1]Sheet1!G120</f>
        <v>Expansión: Implementación de la nueva sede UPN Lima Sur (SJM).</v>
      </c>
      <c r="H120" s="221" t="str">
        <f>[1]Sheet1!H120</f>
        <v>UPN</v>
      </c>
      <c r="I120" s="221" t="str">
        <f>[1]Sheet1!I120</f>
        <v>Alvaro Valdez</v>
      </c>
      <c r="J120" s="221" t="str">
        <f>[1]Sheet1!J120</f>
        <v xml:space="preserve">Sharon Chou </v>
      </c>
      <c r="K120" s="221">
        <f>[1]Sheet1!K120</f>
        <v>0</v>
      </c>
      <c r="L120" s="221">
        <f>[1]Sheet1!L120</f>
        <v>0</v>
      </c>
      <c r="M120" s="151">
        <f>[1]Sheet1!M120</f>
        <v>46447</v>
      </c>
      <c r="N120" s="151" t="str">
        <f>[1]Sheet1!N120</f>
        <v>Si</v>
      </c>
      <c r="O120" s="221" t="str">
        <f>[1]Sheet1!O120</f>
        <v>Campus Expansion &amp; Operation Optimization</v>
      </c>
      <c r="P120" s="221">
        <f>[1]Sheet1!P120</f>
        <v>77465</v>
      </c>
      <c r="Q120" s="221" t="str">
        <f>[1]Sheet1!Q120</f>
        <v>Otro</v>
      </c>
      <c r="R120" s="221" t="str">
        <f>[1]Sheet1!R120</f>
        <v>Nueva sede</v>
      </c>
      <c r="S120" s="221">
        <f>[1]Sheet1!S120</f>
        <v>0</v>
      </c>
      <c r="T120" s="221">
        <f>[1]Sheet1!T120</f>
        <v>0</v>
      </c>
      <c r="U120" s="221">
        <f>[1]Sheet1!U120</f>
        <v>0</v>
      </c>
      <c r="V120" s="221" t="str">
        <f>[1]Sheet1!V120</f>
        <v>Crecimiento Escalable</v>
      </c>
      <c r="W120" s="221" t="str">
        <f>[1]Sheet1!W120</f>
        <v>No</v>
      </c>
      <c r="X120" s="221">
        <f>[1]Sheet1!X120</f>
        <v>0</v>
      </c>
      <c r="Y120" s="221">
        <f>[1]Sheet1!Y120</f>
        <v>0</v>
      </c>
      <c r="Z120" s="59">
        <f>[1]Sheet1!Z120</f>
        <v>0</v>
      </c>
      <c r="AA120" s="59">
        <f>[1]Sheet1!AA120</f>
        <v>2</v>
      </c>
    </row>
    <row r="121" spans="1:27" ht="18.600000000000001" customHeight="1">
      <c r="A121" s="59">
        <f>[1]Sheet1!A121</f>
        <v>143</v>
      </c>
      <c r="B121" s="220">
        <f>[1]Sheet1!B121</f>
        <v>46147.622638888897</v>
      </c>
      <c r="C121" s="220">
        <f>[1]Sheet1!C121</f>
        <v>46153.561354166697</v>
      </c>
      <c r="D121" s="221" t="str">
        <f>[1]Sheet1!D121</f>
        <v>angela.lucano@laureate.pe</v>
      </c>
      <c r="E121" s="221" t="str">
        <f>[1]Sheet1!E121</f>
        <v>Angela Lucano Carranza</v>
      </c>
      <c r="F121" s="221" t="str">
        <f>[1]Sheet1!F121</f>
        <v>Implementación de nueva plataforma de empleabilidad para alumnos y egresados</v>
      </c>
      <c r="G121" s="221"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221" t="str">
        <f>[1]Sheet1!H121</f>
        <v>UPC</v>
      </c>
      <c r="I121" s="221" t="str">
        <f>[1]Sheet1!I121</f>
        <v>Milagros Morgan - Rectorado UPC</v>
      </c>
      <c r="J121" s="221" t="str">
        <f>[1]Sheet1!J121</f>
        <v xml:space="preserve">Mónica Villegas </v>
      </c>
      <c r="K121" s="221"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221" t="str">
        <f>[1]Sheet1!L121</f>
        <v>Ángela Lucano</v>
      </c>
      <c r="M121" s="151">
        <f>[1]Sheet1!M121</f>
        <v>46356</v>
      </c>
      <c r="N121" s="151" t="str">
        <f>[1]Sheet1!N121</f>
        <v>No</v>
      </c>
      <c r="O121" s="221">
        <f>[1]Sheet1!O121</f>
        <v>0</v>
      </c>
      <c r="P121" s="221">
        <f>[1]Sheet1!P121</f>
        <v>0</v>
      </c>
      <c r="Q121" s="221" t="str">
        <f>[1]Sheet1!Q121</f>
        <v>Otro</v>
      </c>
      <c r="R121" s="221"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221">
        <f>[1]Sheet1!S121</f>
        <v>0</v>
      </c>
      <c r="T121" s="221"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221" t="str">
        <f>[1]Sheet1!U121</f>
        <v>Alumnos</v>
      </c>
      <c r="V121" s="221" t="str">
        <f>[1]Sheet1!V121</f>
        <v>Student Success y Empleabilidad</v>
      </c>
      <c r="W121" s="221" t="str">
        <f>[1]Sheet1!W121</f>
        <v>No</v>
      </c>
      <c r="X121" s="221" t="str">
        <f>[1]Sheet1!X121</f>
        <v>Menor a S/100,000.00</v>
      </c>
      <c r="Y121" s="221" t="str">
        <f>[1]Sheet1!Y121</f>
        <v>Mejor experiencia digital para usuarios
Mayor autonomía y autoservicio
Plataforma más moderna y escalable
Mejor reputación institucional en empleabilidad
Mayor engagement universidad–empresa–egresado</v>
      </c>
      <c r="Z121" s="59"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59">
        <f>[1]Sheet1!AA121</f>
        <v>1.45</v>
      </c>
    </row>
    <row r="122" spans="1:27" ht="18.600000000000001" customHeight="1">
      <c r="A122" s="59">
        <f>[1]Sheet1!A122</f>
        <v>144</v>
      </c>
      <c r="B122" s="220">
        <f>[1]Sheet1!B122</f>
        <v>46153.673692129603</v>
      </c>
      <c r="C122" s="220">
        <f>[1]Sheet1!C122</f>
        <v>46153.701365740701</v>
      </c>
      <c r="D122" s="221" t="str">
        <f>[1]Sheet1!D122</f>
        <v>carla.arias@laureate.pe</v>
      </c>
      <c r="E122" s="221" t="str">
        <f>[1]Sheet1!E122</f>
        <v>Carla Arias Schreiber Ulloa</v>
      </c>
      <c r="F122" s="221" t="str">
        <f>[1]Sheet1!F122</f>
        <v>Matrícula de new convalidantes</v>
      </c>
      <c r="G122" s="221"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221" t="str">
        <f>[1]Sheet1!H122</f>
        <v>UPN</v>
      </c>
      <c r="I122" s="221" t="str">
        <f>[1]Sheet1!I122</f>
        <v>Martín Santana - Rectorado UPN</v>
      </c>
      <c r="J122" s="221" t="str">
        <f>[1]Sheet1!J122</f>
        <v xml:space="preserve">Luz Marina Flores </v>
      </c>
      <c r="K122" s="221" t="str">
        <f>[1]Sheet1!K122</f>
        <v>https://educorpperu-my.sharepoint.com/personal/diana_zapata_laureate_pe1/Documents/Aplicaciones/Microsoft%20Forms/REGISTRO%20DE%20INICIATIVAS%20-%20GESTI%C3%93N%20DE%20LA%20DEMANDA%20(2%201/Pregunta/Director%20S.A._Carla%20Arias%20Schreibe.png</v>
      </c>
      <c r="L122" s="221" t="str">
        <f>[1]Sheet1!L122</f>
        <v>Carla Arias-Schreiber</v>
      </c>
      <c r="M122" s="151">
        <f>[1]Sheet1!M122</f>
        <v>46185</v>
      </c>
      <c r="N122" s="151" t="str">
        <f>[1]Sheet1!N122</f>
        <v>No</v>
      </c>
      <c r="O122" s="221">
        <f>[1]Sheet1!O122</f>
        <v>0</v>
      </c>
      <c r="P122" s="221">
        <f>[1]Sheet1!P122</f>
        <v>0</v>
      </c>
      <c r="Q122" s="221" t="str">
        <f>[1]Sheet1!Q122</f>
        <v>Otro</v>
      </c>
      <c r="R122" s="221"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221">
        <f>[1]Sheet1!S122</f>
        <v>0</v>
      </c>
      <c r="T122" s="221" t="str">
        <f>[1]Sheet1!T122</f>
        <v>Admisión y matrícula de nuevos estudiantes, con convalidación</v>
      </c>
      <c r="U122" s="221" t="str">
        <f>[1]Sheet1!U122</f>
        <v>Alumnos</v>
      </c>
      <c r="V122" s="221" t="str">
        <f>[1]Sheet1!V122</f>
        <v>Excelencia operativa</v>
      </c>
      <c r="W122" s="221" t="str">
        <f>[1]Sheet1!W122</f>
        <v>No</v>
      </c>
      <c r="X122" s="221" t="str">
        <f>[1]Sheet1!X122</f>
        <v>No cuantificado o S/0</v>
      </c>
      <c r="Y122" s="221" t="str">
        <f>[1]Sheet1!Y122</f>
        <v>Entrega oportuna de horarios. Durante matrícula extempóranea se espera que a más tardar al día siguiente ya tengan cursos matriculados. Por los problemas, el SLA ha sido de hasta 1 semana, impactando el inicio de clases de manera significativa.</v>
      </c>
      <c r="Z122" s="59"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59">
        <f>[1]Sheet1!AA122</f>
        <v>1.05</v>
      </c>
    </row>
    <row r="123" spans="1:27" ht="18.600000000000001" customHeight="1">
      <c r="A123" s="59">
        <f>[1]Sheet1!A123</f>
        <v>145</v>
      </c>
      <c r="B123" s="220">
        <f>[1]Sheet1!B123</f>
        <v>46153.734432870398</v>
      </c>
      <c r="C123" s="220">
        <f>[1]Sheet1!C123</f>
        <v>46153.7355902778</v>
      </c>
      <c r="D123" s="221" t="str">
        <f>[1]Sheet1!D123</f>
        <v>diana.zapata@laureate.pe</v>
      </c>
      <c r="E123" s="221" t="str">
        <f>[1]Sheet1!E123</f>
        <v>Diana Zapata Del Mar</v>
      </c>
      <c r="F123" s="221" t="str">
        <f>[1]Sheet1!F123</f>
        <v>#Digital&amp;AI – AI Assessment &amp; feedback CIB</v>
      </c>
      <c r="G123" s="221" t="str">
        <f>[1]Sheet1!G123</f>
        <v>.</v>
      </c>
      <c r="H123" s="221" t="str">
        <f>[1]Sheet1!H123</f>
        <v>CIBERTEC</v>
      </c>
      <c r="I123" s="221">
        <f>[1]Sheet1!I123</f>
        <v>0</v>
      </c>
      <c r="J123" s="221" t="str">
        <f>[1]Sheet1!J123</f>
        <v> </v>
      </c>
      <c r="K123" s="221">
        <f>[1]Sheet1!K123</f>
        <v>0</v>
      </c>
      <c r="L123" s="221" t="str">
        <f>[1]Sheet1!L123</f>
        <v>Carla Arias-Schreiber</v>
      </c>
      <c r="M123" s="151">
        <f>[1]Sheet1!M123</f>
        <v>46154</v>
      </c>
      <c r="N123" s="151" t="str">
        <f>[1]Sheet1!N123</f>
        <v>Si</v>
      </c>
      <c r="O123" s="221">
        <f>[1]Sheet1!O123</f>
        <v>0</v>
      </c>
      <c r="P123" s="221">
        <f>[1]Sheet1!P123</f>
        <v>76828</v>
      </c>
      <c r="Q123" s="221" t="str">
        <f>[1]Sheet1!Q123</f>
        <v>Otro</v>
      </c>
      <c r="R123" s="221" t="str">
        <f>[1]Sheet1!R123</f>
        <v>.</v>
      </c>
      <c r="S123" s="221">
        <f>[1]Sheet1!S123</f>
        <v>0</v>
      </c>
      <c r="T123" s="221" t="str">
        <f>[1]Sheet1!T123</f>
        <v>.</v>
      </c>
      <c r="U123" s="221">
        <f>[1]Sheet1!U123</f>
        <v>0</v>
      </c>
      <c r="V123" s="221" t="str">
        <f>[1]Sheet1!V123</f>
        <v>.</v>
      </c>
      <c r="W123" s="221" t="str">
        <f>[1]Sheet1!W123</f>
        <v>No</v>
      </c>
      <c r="X123" s="221">
        <f>[1]Sheet1!X123</f>
        <v>0</v>
      </c>
      <c r="Y123" s="221" t="str">
        <f>[1]Sheet1!Y123</f>
        <v>.</v>
      </c>
      <c r="Z123" s="59" t="str">
        <f>[1]Sheet1!Z123</f>
        <v>https://educorpperu-my.sharepoint.com/personal/diana_zapata_laureate_pe1/_layouts/15/Doc.aspx?sourcedoc=%7BD0123EBB-E1DD-4B8D-B020-03C7996582CF%7D&amp;file=Pruebas%20SPO_Diana%20Zapata%20Del%20Mar.docx&amp;action=default&amp;mobileredirect=true</v>
      </c>
      <c r="AA123" s="59">
        <f>[1]Sheet1!AA123</f>
        <v>1.5</v>
      </c>
    </row>
    <row r="124" spans="1:27" ht="18.600000000000001" customHeight="1">
      <c r="A124" s="59">
        <f>[1]Sheet1!A124</f>
        <v>146</v>
      </c>
      <c r="B124" s="220">
        <f>[1]Sheet1!B124</f>
        <v>46153.7356828704</v>
      </c>
      <c r="C124" s="220">
        <f>[1]Sheet1!C124</f>
        <v>46153.736296296302</v>
      </c>
      <c r="D124" s="221" t="str">
        <f>[1]Sheet1!D124</f>
        <v>diana.zapata@laureate.pe</v>
      </c>
      <c r="E124" s="221" t="str">
        <f>[1]Sheet1!E124</f>
        <v>Diana Zapata Del Mar</v>
      </c>
      <c r="F124" s="221" t="str">
        <f>[1]Sheet1!F124</f>
        <v>#Digital&amp;AI - Speech Analytics Laureate</v>
      </c>
      <c r="G124" s="221" t="str">
        <f>[1]Sheet1!G124</f>
        <v>.</v>
      </c>
      <c r="H124" s="221" t="str">
        <f>[1]Sheet1!H124</f>
        <v>LAUREATE</v>
      </c>
      <c r="I124" s="221">
        <f>[1]Sheet1!I124</f>
        <v>0</v>
      </c>
      <c r="J124" s="221" t="str">
        <f>[1]Sheet1!J124</f>
        <v>.</v>
      </c>
      <c r="K124" s="221">
        <f>[1]Sheet1!K124</f>
        <v>0</v>
      </c>
      <c r="L124" s="221" t="str">
        <f>[1]Sheet1!L124</f>
        <v>Bruno Chiappe </v>
      </c>
      <c r="M124" s="151">
        <f>[1]Sheet1!M124</f>
        <v>46153</v>
      </c>
      <c r="N124" s="151" t="str">
        <f>[1]Sheet1!N124</f>
        <v>Si</v>
      </c>
      <c r="O124" s="221">
        <f>[1]Sheet1!O124</f>
        <v>0</v>
      </c>
      <c r="P124" s="221">
        <f>[1]Sheet1!P124</f>
        <v>76827</v>
      </c>
      <c r="Q124" s="221" t="str">
        <f>[1]Sheet1!Q124</f>
        <v>Otro</v>
      </c>
      <c r="R124" s="221" t="str">
        <f>[1]Sheet1!R124</f>
        <v>.</v>
      </c>
      <c r="S124" s="221">
        <f>[1]Sheet1!S124</f>
        <v>0</v>
      </c>
      <c r="T124" s="221" t="str">
        <f>[1]Sheet1!T124</f>
        <v>.</v>
      </c>
      <c r="U124" s="221">
        <f>[1]Sheet1!U124</f>
        <v>0</v>
      </c>
      <c r="V124" s="221" t="str">
        <f>[1]Sheet1!V124</f>
        <v>.</v>
      </c>
      <c r="W124" s="221" t="str">
        <f>[1]Sheet1!W124</f>
        <v>No</v>
      </c>
      <c r="X124" s="221">
        <f>[1]Sheet1!X124</f>
        <v>0</v>
      </c>
      <c r="Y124" s="221" t="str">
        <f>[1]Sheet1!Y124</f>
        <v>.</v>
      </c>
      <c r="Z124" s="59" t="str">
        <f>[1]Sheet1!Z124</f>
        <v>https://educorpperu-my.sharepoint.com/personal/diana_zapata_laureate_pe1/_layouts/15/Doc.aspx?sourcedoc=%7B8DF3E0DC-4488-448D-9AF2-2C72459F9332%7D&amp;file=Pruebas%20SPO_Diana%20Zapata%20Del%20Mar%201.docx&amp;action=default&amp;mobileredirect=true</v>
      </c>
      <c r="AA124" s="59">
        <f>[1]Sheet1!AA124</f>
        <v>1.5</v>
      </c>
    </row>
    <row r="125" spans="1:27" ht="18.600000000000001" customHeight="1">
      <c r="A125" s="59">
        <f>[1]Sheet1!A125</f>
        <v>147</v>
      </c>
      <c r="B125" s="220">
        <f>[1]Sheet1!B125</f>
        <v>46153.736388888901</v>
      </c>
      <c r="C125" s="220">
        <f>[1]Sheet1!C125</f>
        <v>46153.737002314803</v>
      </c>
      <c r="D125" s="221" t="str">
        <f>[1]Sheet1!D125</f>
        <v>diana.zapata@laureate.pe</v>
      </c>
      <c r="E125" s="221" t="str">
        <f>[1]Sheet1!E125</f>
        <v>Diana Zapata Del Mar</v>
      </c>
      <c r="F125" s="221" t="str">
        <f>[1]Sheet1!F125</f>
        <v>#Digital&amp;AI – AI Assessment &amp; feedback UPC</v>
      </c>
      <c r="G125" s="221" t="str">
        <f>[1]Sheet1!G125</f>
        <v>.</v>
      </c>
      <c r="H125" s="221" t="str">
        <f>[1]Sheet1!H125</f>
        <v>UPC</v>
      </c>
      <c r="I125" s="221">
        <f>[1]Sheet1!I125</f>
        <v>0</v>
      </c>
      <c r="J125" s="221" t="str">
        <f>[1]Sheet1!J125</f>
        <v>.</v>
      </c>
      <c r="K125" s="221">
        <f>[1]Sheet1!K125</f>
        <v>0</v>
      </c>
      <c r="L125" s="221" t="str">
        <f>[1]Sheet1!L125</f>
        <v>Carla Arias-Schreiber</v>
      </c>
      <c r="M125" s="151">
        <f>[1]Sheet1!M125</f>
        <v>46153</v>
      </c>
      <c r="N125" s="151" t="str">
        <f>[1]Sheet1!N125</f>
        <v>Si</v>
      </c>
      <c r="O125" s="221">
        <f>[1]Sheet1!O125</f>
        <v>0</v>
      </c>
      <c r="P125" s="221">
        <f>[1]Sheet1!P125</f>
        <v>75723</v>
      </c>
      <c r="Q125" s="221" t="str">
        <f>[1]Sheet1!Q125</f>
        <v>Otro</v>
      </c>
      <c r="R125" s="221" t="str">
        <f>[1]Sheet1!R125</f>
        <v>.</v>
      </c>
      <c r="S125" s="221">
        <f>[1]Sheet1!S125</f>
        <v>0</v>
      </c>
      <c r="T125" s="221" t="str">
        <f>[1]Sheet1!T125</f>
        <v>.</v>
      </c>
      <c r="U125" s="221">
        <f>[1]Sheet1!U125</f>
        <v>0</v>
      </c>
      <c r="V125" s="221" t="str">
        <f>[1]Sheet1!V125</f>
        <v>.</v>
      </c>
      <c r="W125" s="221" t="str">
        <f>[1]Sheet1!W125</f>
        <v>No</v>
      </c>
      <c r="X125" s="221">
        <f>[1]Sheet1!X125</f>
        <v>0</v>
      </c>
      <c r="Y125" s="221" t="str">
        <f>[1]Sheet1!Y125</f>
        <v>.</v>
      </c>
      <c r="Z125" s="59" t="str">
        <f>[1]Sheet1!Z125</f>
        <v>https://educorpperu-my.sharepoint.com/personal/diana_zapata_laureate_pe1/_layouts/15/Doc.aspx?sourcedoc=%7BAE1173EA-11DA-494E-8A45-481F44ED1DEA%7D&amp;file=Pruebas%20SPO_Diana%20Zapata%20Del%20Mar%202.docx&amp;action=default&amp;mobileredirect=true</v>
      </c>
      <c r="AA125" s="59">
        <f>[1]Sheet1!AA125</f>
        <v>1.5</v>
      </c>
    </row>
    <row r="126" spans="1:27" ht="18.600000000000001" customHeight="1">
      <c r="A126" s="59">
        <f>[1]Sheet1!A126</f>
        <v>148</v>
      </c>
      <c r="B126" s="220">
        <f>[1]Sheet1!B126</f>
        <v>46153.737060185202</v>
      </c>
      <c r="C126" s="220">
        <f>[1]Sheet1!C126</f>
        <v>46153.737557870401</v>
      </c>
      <c r="D126" s="221" t="str">
        <f>[1]Sheet1!D126</f>
        <v>diana.zapata@laureate.pe</v>
      </c>
      <c r="E126" s="221" t="str">
        <f>[1]Sheet1!E126</f>
        <v>Diana Zapata Del Mar</v>
      </c>
      <c r="F126" s="221" t="str">
        <f>[1]Sheet1!F126</f>
        <v>#Digital&amp;AI - AI Tutors CIB</v>
      </c>
      <c r="G126" s="221" t="str">
        <f>[1]Sheet1!G126</f>
        <v>.</v>
      </c>
      <c r="H126" s="221" t="str">
        <f>[1]Sheet1!H126</f>
        <v>CIBERTEC</v>
      </c>
      <c r="I126" s="221">
        <f>[1]Sheet1!I126</f>
        <v>0</v>
      </c>
      <c r="J126" s="221" t="str">
        <f>[1]Sheet1!J126</f>
        <v>.</v>
      </c>
      <c r="K126" s="221">
        <f>[1]Sheet1!K126</f>
        <v>0</v>
      </c>
      <c r="L126" s="221" t="str">
        <f>[1]Sheet1!L126</f>
        <v>Carla Arias-Schreiber</v>
      </c>
      <c r="M126" s="151">
        <f>[1]Sheet1!M126</f>
        <v>46153</v>
      </c>
      <c r="N126" s="151" t="str">
        <f>[1]Sheet1!N126</f>
        <v>Si</v>
      </c>
      <c r="O126" s="221">
        <f>[1]Sheet1!O126</f>
        <v>0</v>
      </c>
      <c r="P126" s="221">
        <f>[1]Sheet1!P126</f>
        <v>75633</v>
      </c>
      <c r="Q126" s="221" t="str">
        <f>[1]Sheet1!Q126</f>
        <v>Otro</v>
      </c>
      <c r="R126" s="221" t="str">
        <f>[1]Sheet1!R126</f>
        <v>.</v>
      </c>
      <c r="S126" s="221">
        <f>[1]Sheet1!S126</f>
        <v>0</v>
      </c>
      <c r="T126" s="221" t="str">
        <f>[1]Sheet1!T126</f>
        <v>.</v>
      </c>
      <c r="U126" s="221">
        <f>[1]Sheet1!U126</f>
        <v>0</v>
      </c>
      <c r="V126" s="221" t="str">
        <f>[1]Sheet1!V126</f>
        <v>.</v>
      </c>
      <c r="W126" s="221" t="str">
        <f>[1]Sheet1!W126</f>
        <v>No</v>
      </c>
      <c r="X126" s="221">
        <f>[1]Sheet1!X126</f>
        <v>0</v>
      </c>
      <c r="Y126" s="221" t="str">
        <f>[1]Sheet1!Y126</f>
        <v>.</v>
      </c>
      <c r="Z126" s="59">
        <f>[1]Sheet1!Z126</f>
        <v>0</v>
      </c>
      <c r="AA126" s="59">
        <f>[1]Sheet1!AA126</f>
        <v>1.5</v>
      </c>
    </row>
    <row r="127" spans="1:27" ht="18.600000000000001" customHeight="1">
      <c r="A127" s="59">
        <f>[1]Sheet1!A127</f>
        <v>149</v>
      </c>
      <c r="B127" s="220">
        <f>[1]Sheet1!B127</f>
        <v>46153.737592592603</v>
      </c>
      <c r="C127" s="220">
        <f>[1]Sheet1!C127</f>
        <v>46153.738148148099</v>
      </c>
      <c r="D127" s="221" t="str">
        <f>[1]Sheet1!D127</f>
        <v>diana.zapata@laureate.pe</v>
      </c>
      <c r="E127" s="221" t="str">
        <f>[1]Sheet1!E127</f>
        <v>Diana Zapata Del Mar</v>
      </c>
      <c r="F127" s="221" t="str">
        <f>[1]Sheet1!F127</f>
        <v>#Digital&amp;AI - AI Advisor</v>
      </c>
      <c r="G127" s="221" t="str">
        <f>[1]Sheet1!G127</f>
        <v>.</v>
      </c>
      <c r="H127" s="221" t="str">
        <f>[1]Sheet1!H127</f>
        <v>LAUREATE</v>
      </c>
      <c r="I127" s="221">
        <f>[1]Sheet1!I127</f>
        <v>0</v>
      </c>
      <c r="J127" s="221" t="str">
        <f>[1]Sheet1!J127</f>
        <v>.</v>
      </c>
      <c r="K127" s="221">
        <f>[1]Sheet1!K127</f>
        <v>0</v>
      </c>
      <c r="L127" s="221" t="str">
        <f>[1]Sheet1!L127</f>
        <v>Bruno Chiappe </v>
      </c>
      <c r="M127" s="151">
        <f>[1]Sheet1!M127</f>
        <v>46153</v>
      </c>
      <c r="N127" s="151" t="str">
        <f>[1]Sheet1!N127</f>
        <v>Si</v>
      </c>
      <c r="O127" s="221">
        <f>[1]Sheet1!O127</f>
        <v>0</v>
      </c>
      <c r="P127" s="221">
        <f>[1]Sheet1!P127</f>
        <v>75361</v>
      </c>
      <c r="Q127" s="221" t="str">
        <f>[1]Sheet1!Q127</f>
        <v>Otro</v>
      </c>
      <c r="R127" s="221" t="str">
        <f>[1]Sheet1!R127</f>
        <v>.</v>
      </c>
      <c r="S127" s="221">
        <f>[1]Sheet1!S127</f>
        <v>0</v>
      </c>
      <c r="T127" s="221" t="str">
        <f>[1]Sheet1!T127</f>
        <v>.</v>
      </c>
      <c r="U127" s="221">
        <f>[1]Sheet1!U127</f>
        <v>0</v>
      </c>
      <c r="V127" s="221" t="str">
        <f>[1]Sheet1!V127</f>
        <v>.</v>
      </c>
      <c r="W127" s="221" t="str">
        <f>[1]Sheet1!W127</f>
        <v>No</v>
      </c>
      <c r="X127" s="221">
        <f>[1]Sheet1!X127</f>
        <v>0</v>
      </c>
      <c r="Y127" s="221" t="str">
        <f>[1]Sheet1!Y127</f>
        <v>.</v>
      </c>
      <c r="Z127" s="59">
        <f>[1]Sheet1!Z127</f>
        <v>0</v>
      </c>
      <c r="AA127" s="59">
        <f>[1]Sheet1!AA127</f>
        <v>1.5</v>
      </c>
    </row>
    <row r="128" spans="1:27" ht="18.600000000000001" customHeight="1">
      <c r="A128" s="59">
        <f>[1]Sheet1!A128</f>
        <v>150</v>
      </c>
      <c r="B128" s="220">
        <f>[1]Sheet1!B128</f>
        <v>46153.738171296303</v>
      </c>
      <c r="C128" s="220">
        <f>[1]Sheet1!C128</f>
        <v>46153.738668981503</v>
      </c>
      <c r="D128" s="221" t="str">
        <f>[1]Sheet1!D128</f>
        <v>diana.zapata@laureate.pe</v>
      </c>
      <c r="E128" s="221" t="str">
        <f>[1]Sheet1!E128</f>
        <v>Diana Zapata Del Mar</v>
      </c>
      <c r="F128" s="221" t="str">
        <f>[1]Sheet1!F128</f>
        <v>#Digital&amp;AI  UPC Alma 2.0</v>
      </c>
      <c r="G128" s="221" t="str">
        <f>[1]Sheet1!G128</f>
        <v>.</v>
      </c>
      <c r="H128" s="221" t="str">
        <f>[1]Sheet1!H128</f>
        <v>UPC</v>
      </c>
      <c r="I128" s="221">
        <f>[1]Sheet1!I128</f>
        <v>0</v>
      </c>
      <c r="J128" s="221" t="str">
        <f>[1]Sheet1!J128</f>
        <v>.</v>
      </c>
      <c r="K128" s="221">
        <f>[1]Sheet1!K128</f>
        <v>0</v>
      </c>
      <c r="L128" s="221" t="str">
        <f>[1]Sheet1!L128</f>
        <v>Carla Arias-Schreiber</v>
      </c>
      <c r="M128" s="151">
        <f>[1]Sheet1!M128</f>
        <v>46153</v>
      </c>
      <c r="N128" s="151" t="str">
        <f>[1]Sheet1!N128</f>
        <v>Si</v>
      </c>
      <c r="O128" s="221">
        <f>[1]Sheet1!O128</f>
        <v>0</v>
      </c>
      <c r="P128" s="221">
        <f>[1]Sheet1!P128</f>
        <v>75150</v>
      </c>
      <c r="Q128" s="221" t="str">
        <f>[1]Sheet1!Q128</f>
        <v>Otro</v>
      </c>
      <c r="R128" s="221" t="str">
        <f>[1]Sheet1!R128</f>
        <v>.</v>
      </c>
      <c r="S128" s="221">
        <f>[1]Sheet1!S128</f>
        <v>0</v>
      </c>
      <c r="T128" s="221" t="str">
        <f>[1]Sheet1!T128</f>
        <v>.</v>
      </c>
      <c r="U128" s="221">
        <f>[1]Sheet1!U128</f>
        <v>0</v>
      </c>
      <c r="V128" s="221" t="str">
        <f>[1]Sheet1!V128</f>
        <v>.</v>
      </c>
      <c r="W128" s="221" t="str">
        <f>[1]Sheet1!W128</f>
        <v>No</v>
      </c>
      <c r="X128" s="221">
        <f>[1]Sheet1!X128</f>
        <v>0</v>
      </c>
      <c r="Y128" s="221" t="str">
        <f>[1]Sheet1!Y128</f>
        <v>.</v>
      </c>
      <c r="Z128" s="59">
        <f>[1]Sheet1!Z128</f>
        <v>0</v>
      </c>
      <c r="AA128" s="59">
        <f>[1]Sheet1!AA128</f>
        <v>1.5</v>
      </c>
    </row>
    <row r="129" spans="1:27" ht="18.600000000000001" customHeight="1">
      <c r="A129" s="59">
        <f>[1]Sheet1!A129</f>
        <v>151</v>
      </c>
      <c r="B129" s="220">
        <f>[1]Sheet1!B129</f>
        <v>46153.738692129598</v>
      </c>
      <c r="C129" s="220">
        <f>[1]Sheet1!C129</f>
        <v>46153.739189814798</v>
      </c>
      <c r="D129" s="221" t="str">
        <f>[1]Sheet1!D129</f>
        <v>diana.zapata@laureate.pe</v>
      </c>
      <c r="E129" s="221" t="str">
        <f>[1]Sheet1!E129</f>
        <v>Diana Zapata Del Mar</v>
      </c>
      <c r="F129" s="221" t="str">
        <f>[1]Sheet1!F129</f>
        <v>#Strategy Comunalidad de Mallas EPEC</v>
      </c>
      <c r="G129" s="221" t="str">
        <f>[1]Sheet1!G129</f>
        <v>.</v>
      </c>
      <c r="H129" s="221" t="str">
        <f>[1]Sheet1!H129</f>
        <v>UPN</v>
      </c>
      <c r="I129" s="221">
        <f>[1]Sheet1!I129</f>
        <v>0</v>
      </c>
      <c r="J129" s="221" t="str">
        <f>[1]Sheet1!J129</f>
        <v>.</v>
      </c>
      <c r="K129" s="221">
        <f>[1]Sheet1!K129</f>
        <v>0</v>
      </c>
      <c r="L129" s="221" t="str">
        <f>[1]Sheet1!L129</f>
        <v>Carla Arias-Schreiber</v>
      </c>
      <c r="M129" s="151">
        <f>[1]Sheet1!M129</f>
        <v>46153</v>
      </c>
      <c r="N129" s="151" t="str">
        <f>[1]Sheet1!N129</f>
        <v>Si</v>
      </c>
      <c r="O129" s="221">
        <f>[1]Sheet1!O129</f>
        <v>0</v>
      </c>
      <c r="P129" s="221">
        <f>[1]Sheet1!P129</f>
        <v>75642</v>
      </c>
      <c r="Q129" s="221" t="str">
        <f>[1]Sheet1!Q129</f>
        <v>Otro</v>
      </c>
      <c r="R129" s="221" t="str">
        <f>[1]Sheet1!R129</f>
        <v>.</v>
      </c>
      <c r="S129" s="221">
        <f>[1]Sheet1!S129</f>
        <v>0</v>
      </c>
      <c r="T129" s="221" t="str">
        <f>[1]Sheet1!T129</f>
        <v>.</v>
      </c>
      <c r="U129" s="221">
        <f>[1]Sheet1!U129</f>
        <v>0</v>
      </c>
      <c r="V129" s="221" t="str">
        <f>[1]Sheet1!V129</f>
        <v>.</v>
      </c>
      <c r="W129" s="221" t="str">
        <f>[1]Sheet1!W129</f>
        <v>No</v>
      </c>
      <c r="X129" s="221">
        <f>[1]Sheet1!X129</f>
        <v>0</v>
      </c>
      <c r="Y129" s="221" t="str">
        <f>[1]Sheet1!Y129</f>
        <v>.</v>
      </c>
      <c r="Z129" s="59">
        <f>[1]Sheet1!Z129</f>
        <v>0</v>
      </c>
      <c r="AA129" s="59">
        <f>[1]Sheet1!AA129</f>
        <v>1.5</v>
      </c>
    </row>
    <row r="130" spans="1:27" ht="18.600000000000001" customHeight="1">
      <c r="A130" s="59">
        <f>[1]Sheet1!A130</f>
        <v>152</v>
      </c>
      <c r="B130" s="220">
        <f>[1]Sheet1!B130</f>
        <v>46153.741875</v>
      </c>
      <c r="C130" s="220">
        <f>[1]Sheet1!C130</f>
        <v>46153.742581018501</v>
      </c>
      <c r="D130" s="221" t="str">
        <f>[1]Sheet1!D130</f>
        <v>diana.zapata@laureate.pe</v>
      </c>
      <c r="E130" s="221" t="str">
        <f>[1]Sheet1!E130</f>
        <v>Diana Zapata Del Mar</v>
      </c>
      <c r="F130" s="221" t="str">
        <f>[1]Sheet1!F130</f>
        <v>#Digital&amp;AI - Tutores por IA UPC</v>
      </c>
      <c r="G130" s="221" t="str">
        <f>[1]Sheet1!G130</f>
        <v>.</v>
      </c>
      <c r="H130" s="221" t="str">
        <f>[1]Sheet1!H130</f>
        <v>UPC</v>
      </c>
      <c r="I130" s="221">
        <f>[1]Sheet1!I130</f>
        <v>0</v>
      </c>
      <c r="J130" s="221" t="str">
        <f>[1]Sheet1!J130</f>
        <v>.</v>
      </c>
      <c r="K130" s="221">
        <f>[1]Sheet1!K130</f>
        <v>0</v>
      </c>
      <c r="L130" s="221" t="str">
        <f>[1]Sheet1!L130</f>
        <v>Carla Arias-Schreiber</v>
      </c>
      <c r="M130" s="151">
        <f>[1]Sheet1!M130</f>
        <v>46153</v>
      </c>
      <c r="N130" s="151" t="str">
        <f>[1]Sheet1!N130</f>
        <v>Si</v>
      </c>
      <c r="O130" s="221">
        <f>[1]Sheet1!O130</f>
        <v>0</v>
      </c>
      <c r="P130" s="221">
        <f>[1]Sheet1!P130</f>
        <v>73954</v>
      </c>
      <c r="Q130" s="221" t="str">
        <f>[1]Sheet1!Q130</f>
        <v>Otro</v>
      </c>
      <c r="R130" s="221" t="str">
        <f>[1]Sheet1!R130</f>
        <v>.</v>
      </c>
      <c r="S130" s="221">
        <f>[1]Sheet1!S130</f>
        <v>0</v>
      </c>
      <c r="T130" s="221" t="str">
        <f>[1]Sheet1!T130</f>
        <v>.</v>
      </c>
      <c r="U130" s="221">
        <f>[1]Sheet1!U130</f>
        <v>0</v>
      </c>
      <c r="V130" s="221" t="str">
        <f>[1]Sheet1!V130</f>
        <v>.</v>
      </c>
      <c r="W130" s="221" t="str">
        <f>[1]Sheet1!W130</f>
        <v>No</v>
      </c>
      <c r="X130" s="221">
        <f>[1]Sheet1!X130</f>
        <v>0</v>
      </c>
      <c r="Y130" s="221" t="str">
        <f>[1]Sheet1!Y130</f>
        <v>.</v>
      </c>
      <c r="Z130" s="59">
        <f>[1]Sheet1!Z130</f>
        <v>0</v>
      </c>
      <c r="AA130" s="59">
        <f>[1]Sheet1!AA130</f>
        <v>1.5</v>
      </c>
    </row>
    <row r="131" spans="1:27" ht="18.600000000000001" customHeight="1">
      <c r="A131" s="59">
        <f>[1]Sheet1!A131</f>
        <v>153</v>
      </c>
      <c r="B131" s="220">
        <f>[1]Sheet1!B131</f>
        <v>46153.723240740699</v>
      </c>
      <c r="C131" s="220">
        <f>[1]Sheet1!C131</f>
        <v>46153.7434027778</v>
      </c>
      <c r="D131" s="221" t="str">
        <f>[1]Sheet1!D131</f>
        <v>angela.lucano@laureate.pe</v>
      </c>
      <c r="E131" s="221" t="str">
        <f>[1]Sheet1!E131</f>
        <v>Angela Lucano Carranza</v>
      </c>
      <c r="F131" s="221" t="str">
        <f>[1]Sheet1!F131</f>
        <v>Eliminación de la validación obligatoria de asistencia en solicitudes de marcación para cursos virtuales</v>
      </c>
      <c r="G131" s="221"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221" t="str">
        <f>[1]Sheet1!H131</f>
        <v>UPN</v>
      </c>
      <c r="I131" s="221" t="str">
        <f>[1]Sheet1!I131</f>
        <v>Martín Santana - Rectorado UPN</v>
      </c>
      <c r="J131" s="221" t="str">
        <f>[1]Sheet1!J131</f>
        <v xml:space="preserve">Robinson Amaya </v>
      </c>
      <c r="K131" s="221" t="str">
        <f>[1]Sheet1!K131</f>
        <v>https://educorpperu-my.sharepoint.com/personal/diana_zapata_laureate_pe1/Documents/Aplicaciones/Microsoft%20Forms/REGISTRO%20DE%20INICIATIVAS%20-%20GESTI%C3%93N%20DE%20LA%20DEMANDA%20(2%201/Pregunta/RV_RITM0615294-Problemas%20en%20Portal_Angela%20Lucano%20Carran.pdf</v>
      </c>
      <c r="L131" s="221" t="str">
        <f>[1]Sheet1!L131</f>
        <v>Ángela Lucano</v>
      </c>
      <c r="M131" s="151">
        <f>[1]Sheet1!M131</f>
        <v>46162</v>
      </c>
      <c r="N131" s="151" t="str">
        <f>[1]Sheet1!N131</f>
        <v>No</v>
      </c>
      <c r="O131" s="221">
        <f>[1]Sheet1!O131</f>
        <v>0</v>
      </c>
      <c r="P131" s="221">
        <f>[1]Sheet1!P131</f>
        <v>0</v>
      </c>
      <c r="Q131" s="221" t="str">
        <f>[1]Sheet1!Q131</f>
        <v>Otro</v>
      </c>
      <c r="R131" s="221"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221">
        <f>[1]Sheet1!S131</f>
        <v>0</v>
      </c>
      <c r="T131" s="221" t="str">
        <f>[1]Sheet1!T131</f>
        <v>Solicitud de marcación del docente</v>
      </c>
      <c r="U131" s="221" t="str">
        <f>[1]Sheet1!U131</f>
        <v>Docentes</v>
      </c>
      <c r="V131" s="221" t="str">
        <f>[1]Sheet1!V131</f>
        <v>Excelencia operativa</v>
      </c>
      <c r="W131" s="221" t="str">
        <f>[1]Sheet1!W131</f>
        <v>No</v>
      </c>
      <c r="X131" s="221" t="str">
        <f>[1]Sheet1!X131</f>
        <v>No cuantificado o S/0</v>
      </c>
      <c r="Y131" s="221" t="str">
        <f>[1]Sheet1!Y131</f>
        <v>- Mayor confiabilidad de la información académica.
- Mejor experiencia para docentes.
- Alineamiento del sistema con la modalidad virtual.
- Disminución de riesgos reputacionales y administrativos.</v>
      </c>
      <c r="Z131" s="59" t="str">
        <f>[1]Sheet1!Z131</f>
        <v>https://educorpperu-my.sharepoint.com/personal/diana_zapata_laureate_pe1/_layouts/15/Doc.aspx?sourcedoc=%7B771B946B-D5F1-4228-917E-CC6649E177CA%7D&amp;file=Marzo%202026%20-%20Solicitud%20de%20requerimiento%20Porta_Angela%20Lucano%20Carran.pptx&amp;action=edit&amp;mobileredirect=true</v>
      </c>
      <c r="AA131" s="59">
        <f>[1]Sheet1!AA131</f>
        <v>0.9</v>
      </c>
    </row>
    <row r="132" spans="1:27" ht="18.600000000000001" customHeight="1">
      <c r="A132" s="59">
        <f>[1]Sheet1!A132</f>
        <v>154</v>
      </c>
      <c r="B132" s="220">
        <f>[1]Sheet1!B132</f>
        <v>46153.742604166699</v>
      </c>
      <c r="C132" s="220">
        <f>[1]Sheet1!C132</f>
        <v>46153.744953703703</v>
      </c>
      <c r="D132" s="221" t="str">
        <f>[1]Sheet1!D132</f>
        <v>diana.zapata@laureate.pe</v>
      </c>
      <c r="E132" s="221" t="str">
        <f>[1]Sheet1!E132</f>
        <v>Diana Zapata Del Mar</v>
      </c>
      <c r="F132" s="221" t="str">
        <f>[1]Sheet1!F132</f>
        <v>#Strategy Malla Gutenberg - UPN</v>
      </c>
      <c r="G132" s="221" t="str">
        <f>[1]Sheet1!G132</f>
        <v>.</v>
      </c>
      <c r="H132" s="221" t="str">
        <f>[1]Sheet1!H132</f>
        <v>UPN</v>
      </c>
      <c r="I132" s="221">
        <f>[1]Sheet1!I132</f>
        <v>0</v>
      </c>
      <c r="J132" s="221" t="str">
        <f>[1]Sheet1!J132</f>
        <v>.</v>
      </c>
      <c r="K132" s="221">
        <f>[1]Sheet1!K132</f>
        <v>0</v>
      </c>
      <c r="L132" s="221" t="str">
        <f>[1]Sheet1!L132</f>
        <v>Carla Arias-Schreiber</v>
      </c>
      <c r="M132" s="151">
        <f>[1]Sheet1!M132</f>
        <v>46153</v>
      </c>
      <c r="N132" s="151" t="str">
        <f>[1]Sheet1!N132</f>
        <v>Si</v>
      </c>
      <c r="O132" s="221">
        <f>[1]Sheet1!O132</f>
        <v>0</v>
      </c>
      <c r="P132" s="221">
        <f>[1]Sheet1!P132</f>
        <v>75711</v>
      </c>
      <c r="Q132" s="221" t="str">
        <f>[1]Sheet1!Q132</f>
        <v>Otro</v>
      </c>
      <c r="R132" s="221" t="str">
        <f>[1]Sheet1!R132</f>
        <v>.</v>
      </c>
      <c r="S132" s="221">
        <f>[1]Sheet1!S132</f>
        <v>0</v>
      </c>
      <c r="T132" s="221" t="str">
        <f>[1]Sheet1!T132</f>
        <v>.</v>
      </c>
      <c r="U132" s="221">
        <f>[1]Sheet1!U132</f>
        <v>0</v>
      </c>
      <c r="V132" s="221" t="str">
        <f>[1]Sheet1!V132</f>
        <v>.</v>
      </c>
      <c r="W132" s="221" t="str">
        <f>[1]Sheet1!W132</f>
        <v>Si</v>
      </c>
      <c r="X132" s="221">
        <f>[1]Sheet1!X132</f>
        <v>0</v>
      </c>
      <c r="Y132" s="221" t="str">
        <f>[1]Sheet1!Y132</f>
        <v>.</v>
      </c>
      <c r="Z132" s="59">
        <f>[1]Sheet1!Z132</f>
        <v>0</v>
      </c>
      <c r="AA132" s="59">
        <f>[1]Sheet1!AA132</f>
        <v>1.5</v>
      </c>
    </row>
    <row r="133" spans="1:27" ht="18.600000000000001" customHeight="1">
      <c r="A133" s="59">
        <f>[1]Sheet1!A133</f>
        <v>155</v>
      </c>
      <c r="B133" s="220">
        <f>[1]Sheet1!B133</f>
        <v>46153.745370370401</v>
      </c>
      <c r="C133" s="220">
        <f>[1]Sheet1!C133</f>
        <v>46153.746215277803</v>
      </c>
      <c r="D133" s="221" t="str">
        <f>[1]Sheet1!D133</f>
        <v>diana.zapata@laureate.pe</v>
      </c>
      <c r="E133" s="221" t="str">
        <f>[1]Sheet1!E133</f>
        <v>Diana Zapata Del Mar</v>
      </c>
      <c r="F133" s="221" t="str">
        <f>[1]Sheet1!F133</f>
        <v>#Digital&amp;AI - AI Tutors UPN</v>
      </c>
      <c r="G133" s="221" t="str">
        <f>[1]Sheet1!G133</f>
        <v>.</v>
      </c>
      <c r="H133" s="221" t="str">
        <f>[1]Sheet1!H133</f>
        <v>UPN</v>
      </c>
      <c r="I133" s="221">
        <f>[1]Sheet1!I133</f>
        <v>0</v>
      </c>
      <c r="J133" s="221" t="str">
        <f>[1]Sheet1!J133</f>
        <v>.</v>
      </c>
      <c r="K133" s="221">
        <f>[1]Sheet1!K133</f>
        <v>0</v>
      </c>
      <c r="L133" s="221" t="str">
        <f>[1]Sheet1!L133</f>
        <v>Carla Arias-Schreiber</v>
      </c>
      <c r="M133" s="151">
        <f>[1]Sheet1!M133</f>
        <v>46153</v>
      </c>
      <c r="N133" s="151" t="str">
        <f>[1]Sheet1!N133</f>
        <v>Si</v>
      </c>
      <c r="O133" s="221">
        <f>[1]Sheet1!O133</f>
        <v>0</v>
      </c>
      <c r="P133" s="221">
        <f>[1]Sheet1!P133</f>
        <v>75632</v>
      </c>
      <c r="Q133" s="221" t="str">
        <f>[1]Sheet1!Q133</f>
        <v>Otro</v>
      </c>
      <c r="R133" s="221" t="str">
        <f>[1]Sheet1!R133</f>
        <v>.</v>
      </c>
      <c r="S133" s="221">
        <f>[1]Sheet1!S133</f>
        <v>0</v>
      </c>
      <c r="T133" s="221" t="str">
        <f>[1]Sheet1!T133</f>
        <v>.</v>
      </c>
      <c r="U133" s="221">
        <f>[1]Sheet1!U133</f>
        <v>0</v>
      </c>
      <c r="V133" s="221" t="str">
        <f>[1]Sheet1!V133</f>
        <v>.</v>
      </c>
      <c r="W133" s="221" t="str">
        <f>[1]Sheet1!W133</f>
        <v>No</v>
      </c>
      <c r="X133" s="221">
        <f>[1]Sheet1!X133</f>
        <v>0</v>
      </c>
      <c r="Y133" s="221" t="str">
        <f>[1]Sheet1!Y133</f>
        <v>.</v>
      </c>
      <c r="Z133" s="59">
        <f>[1]Sheet1!Z133</f>
        <v>0</v>
      </c>
      <c r="AA133" s="59">
        <f>[1]Sheet1!AA133</f>
        <v>1.5</v>
      </c>
    </row>
    <row r="134" spans="1:27" ht="18.600000000000001" customHeight="1">
      <c r="A134" s="59">
        <f>[1]Sheet1!A134</f>
        <v>156</v>
      </c>
      <c r="B134" s="220">
        <f>[1]Sheet1!B134</f>
        <v>46153.7438078704</v>
      </c>
      <c r="C134" s="220">
        <f>[1]Sheet1!C134</f>
        <v>46153.746921296297</v>
      </c>
      <c r="D134" s="221" t="str">
        <f>[1]Sheet1!D134</f>
        <v>angela.lucano@laureate.pe</v>
      </c>
      <c r="E134" s="221" t="str">
        <f>[1]Sheet1!E134</f>
        <v>Angela Lucano Carranza</v>
      </c>
      <c r="F134" s="221" t="str">
        <f>[1]Sheet1!F134</f>
        <v>Incorporación de ambientes virtuales en el módulo de reprogramación de clases (Asociado al REQ: Eliminación de la validación obligatoria de asistencia en solicitudes de marcación para cursos virtuales)</v>
      </c>
      <c r="G134" s="221"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221" t="str">
        <f>[1]Sheet1!H134</f>
        <v>UPN</v>
      </c>
      <c r="I134" s="221" t="str">
        <f>[1]Sheet1!I134</f>
        <v>Martín Santana - Rectorado UPN</v>
      </c>
      <c r="J134" s="221" t="str">
        <f>[1]Sheet1!J134</f>
        <v xml:space="preserve">Robinson Amaya </v>
      </c>
      <c r="K134" s="221" t="str">
        <f>[1]Sheet1!K134</f>
        <v>https://educorpperu-my.sharepoint.com/personal/diana_zapata_laureate_pe1/Documents/Aplicaciones/Microsoft%20Forms/REGISTRO%20DE%20INICIATIVAS%20-%20GESTI%C3%93N%20DE%20LA%20DEMANDA%20(2%201/Pregunta/RV_RITM0615294-Problemas%20en%20Portal_Angela%20Lucano%20Carran%201.pdf</v>
      </c>
      <c r="L134" s="221" t="str">
        <f>[1]Sheet1!L134</f>
        <v>Ángela Lucano</v>
      </c>
      <c r="M134" s="151">
        <f>[1]Sheet1!M134</f>
        <v>46162</v>
      </c>
      <c r="N134" s="151" t="str">
        <f>[1]Sheet1!N134</f>
        <v>No</v>
      </c>
      <c r="O134" s="221">
        <f>[1]Sheet1!O134</f>
        <v>0</v>
      </c>
      <c r="P134" s="221">
        <f>[1]Sheet1!P134</f>
        <v>0</v>
      </c>
      <c r="Q134" s="221" t="str">
        <f>[1]Sheet1!Q134</f>
        <v>Otro</v>
      </c>
      <c r="R134" s="221"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221">
        <f>[1]Sheet1!S134</f>
        <v>0</v>
      </c>
      <c r="T134" s="221" t="str">
        <f>[1]Sheet1!T134</f>
        <v>Reprogramación de clases</v>
      </c>
      <c r="U134" s="221" t="str">
        <f>[1]Sheet1!U134</f>
        <v>Docentes</v>
      </c>
      <c r="V134" s="221" t="str">
        <f>[1]Sheet1!V134</f>
        <v>Excelencia operativa</v>
      </c>
      <c r="W134" s="221" t="str">
        <f>[1]Sheet1!W134</f>
        <v>No</v>
      </c>
      <c r="X134" s="221" t="str">
        <f>[1]Sheet1!X134</f>
        <v>No cuantificado o S/0</v>
      </c>
      <c r="Y134" s="221" t="str">
        <f>[1]Sheet1!Y134</f>
        <v>- Mejora de la experiencia de uso del sistema para docentes.
- Adecuación del sistema a escenarios virtuales.
- Mayor control y formalización de las reprogramaciones.
- Incremento de la eficiencia operativa académica y administrativa.</v>
      </c>
      <c r="Z134" s="59"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59">
        <f>[1]Sheet1!AA134</f>
        <v>0.9</v>
      </c>
    </row>
    <row r="135" spans="1:27" ht="18.600000000000001" customHeight="1">
      <c r="A135" s="59">
        <f>[1]Sheet1!A135</f>
        <v>157</v>
      </c>
      <c r="B135" s="220">
        <f>[1]Sheet1!B135</f>
        <v>46153.746585648099</v>
      </c>
      <c r="C135" s="220">
        <f>[1]Sheet1!C135</f>
        <v>46153.747326388897</v>
      </c>
      <c r="D135" s="221" t="str">
        <f>[1]Sheet1!D135</f>
        <v>diana.zapata@laureate.pe</v>
      </c>
      <c r="E135" s="221" t="str">
        <f>[1]Sheet1!E135</f>
        <v>Diana Zapata Del Mar</v>
      </c>
      <c r="F135" s="221" t="str">
        <f>[1]Sheet1!F135</f>
        <v>#Digital&amp;AI - School Platform UPC</v>
      </c>
      <c r="G135" s="221" t="str">
        <f>[1]Sheet1!G135</f>
        <v>.</v>
      </c>
      <c r="H135" s="221" t="str">
        <f>[1]Sheet1!H135</f>
        <v>UPC</v>
      </c>
      <c r="I135" s="221">
        <f>[1]Sheet1!I135</f>
        <v>0</v>
      </c>
      <c r="J135" s="221" t="str">
        <f>[1]Sheet1!J135</f>
        <v>.</v>
      </c>
      <c r="K135" s="221">
        <f>[1]Sheet1!K135</f>
        <v>0</v>
      </c>
      <c r="L135" s="221" t="str">
        <f>[1]Sheet1!L135</f>
        <v>Bruno Chiappe </v>
      </c>
      <c r="M135" s="151">
        <f>[1]Sheet1!M135</f>
        <v>46153</v>
      </c>
      <c r="N135" s="151" t="str">
        <f>[1]Sheet1!N135</f>
        <v>Si</v>
      </c>
      <c r="O135" s="221">
        <f>[1]Sheet1!O135</f>
        <v>0</v>
      </c>
      <c r="P135" s="221">
        <f>[1]Sheet1!P135</f>
        <v>74996</v>
      </c>
      <c r="Q135" s="221" t="str">
        <f>[1]Sheet1!Q135</f>
        <v>Otro</v>
      </c>
      <c r="R135" s="221" t="str">
        <f>[1]Sheet1!R135</f>
        <v>.</v>
      </c>
      <c r="S135" s="221">
        <f>[1]Sheet1!S135</f>
        <v>0</v>
      </c>
      <c r="T135" s="221" t="str">
        <f>[1]Sheet1!T135</f>
        <v>.</v>
      </c>
      <c r="U135" s="221">
        <f>[1]Sheet1!U135</f>
        <v>0</v>
      </c>
      <c r="V135" s="221" t="str">
        <f>[1]Sheet1!V135</f>
        <v>.</v>
      </c>
      <c r="W135" s="221" t="str">
        <f>[1]Sheet1!W135</f>
        <v>No</v>
      </c>
      <c r="X135" s="221">
        <f>[1]Sheet1!X135</f>
        <v>0</v>
      </c>
      <c r="Y135" s="221" t="str">
        <f>[1]Sheet1!Y135</f>
        <v>.</v>
      </c>
      <c r="Z135" s="59">
        <f>[1]Sheet1!Z135</f>
        <v>0</v>
      </c>
      <c r="AA135" s="59">
        <f>[1]Sheet1!AA135</f>
        <v>1.5</v>
      </c>
    </row>
    <row r="136" spans="1:27" ht="18.600000000000001" customHeight="1">
      <c r="A136" s="59">
        <f>[1]Sheet1!A136</f>
        <v>158</v>
      </c>
      <c r="B136" s="220">
        <f>[1]Sheet1!B136</f>
        <v>46153.983356481498</v>
      </c>
      <c r="C136" s="220">
        <f>[1]Sheet1!C136</f>
        <v>46153.993564814802</v>
      </c>
      <c r="D136" s="221" t="str">
        <f>[1]Sheet1!D136</f>
        <v>carla.arias@laureate.pe</v>
      </c>
      <c r="E136" s="221" t="str">
        <f>[1]Sheet1!E136</f>
        <v>Carla Arias Schreiber Ulloa</v>
      </c>
      <c r="F136" s="221" t="str">
        <f>[1]Sheet1!F136</f>
        <v>Mejoras para asignación de carreras, sedes y programas - Equipo Centralizado de Convalidaciones</v>
      </c>
      <c r="G136" s="221"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221" t="str">
        <f>[1]Sheet1!H136</f>
        <v>UPN</v>
      </c>
      <c r="I136" s="221" t="str">
        <f>[1]Sheet1!I136</f>
        <v>Martín Santana - Rectorado UPN</v>
      </c>
      <c r="J136" s="221" t="str">
        <f>[1]Sheet1!J136</f>
        <v xml:space="preserve">Carlos Saavedra </v>
      </c>
      <c r="K136" s="221" t="str">
        <f>[1]Sheet1!K136</f>
        <v>https://educorpperu-my.sharepoint.com/personal/diana_zapata_laureate_pe1/Documents/Aplicaciones/Microsoft%20Forms/REGISTRO%20DE%20INICIATIVAS%20-%20GESTI%C3%93N%20DE%20LA%20DEMANDA%20(2%201/Pregunta/Ronald%20Lazarte%20DOA_Carla%20Arias%20Schreibe.png</v>
      </c>
      <c r="L136" s="221" t="str">
        <f>[1]Sheet1!L136</f>
        <v>Carla Arias-Schreiber</v>
      </c>
      <c r="M136" s="151">
        <f>[1]Sheet1!M136</f>
        <v>46171</v>
      </c>
      <c r="N136" s="151" t="str">
        <f>[1]Sheet1!N136</f>
        <v>No</v>
      </c>
      <c r="O136" s="221">
        <f>[1]Sheet1!O136</f>
        <v>0</v>
      </c>
      <c r="P136" s="221">
        <f>[1]Sheet1!P136</f>
        <v>0</v>
      </c>
      <c r="Q136" s="221" t="str">
        <f>[1]Sheet1!Q136</f>
        <v>Otro</v>
      </c>
      <c r="R136" s="221"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221">
        <f>[1]Sheet1!S136</f>
        <v>0</v>
      </c>
      <c r="T136" s="221" t="str">
        <f>[1]Sheet1!T136</f>
        <v>Admisión de estudiantes nuevos
Convalidación</v>
      </c>
      <c r="U136" s="221" t="str">
        <f>[1]Sheet1!U136</f>
        <v>Administrativos</v>
      </c>
      <c r="V136" s="221" t="str">
        <f>[1]Sheet1!V136</f>
        <v>Excelencia operativa</v>
      </c>
      <c r="W136" s="221" t="str">
        <f>[1]Sheet1!W136</f>
        <v>No</v>
      </c>
      <c r="X136" s="221" t="str">
        <f>[1]Sheet1!X136</f>
        <v>No cuantificado o S/0</v>
      </c>
      <c r="Y136" s="221" t="str">
        <f>[1]Sheet1!Y136</f>
        <v>Facilitar el control y asignación docente para trabajos de convalidación</v>
      </c>
      <c r="Z136" s="59"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59">
        <f>[1]Sheet1!AA136</f>
        <v>0.45000000000000007</v>
      </c>
    </row>
    <row r="137" spans="1:27" ht="18.600000000000001" customHeight="1">
      <c r="A137" s="59">
        <f>[1]Sheet1!A137</f>
        <v>159</v>
      </c>
      <c r="B137" s="220">
        <f>[1]Sheet1!B137</f>
        <v>46154.5793402778</v>
      </c>
      <c r="C137" s="220">
        <f>[1]Sheet1!C137</f>
        <v>46154.656724537002</v>
      </c>
      <c r="D137" s="221" t="str">
        <f>[1]Sheet1!D137</f>
        <v>bruno.chiappe@laureate.pe</v>
      </c>
      <c r="E137" s="221" t="str">
        <f>[1]Sheet1!E137</f>
        <v>Bruno Chiappe Vegas</v>
      </c>
      <c r="F137" s="221" t="str">
        <f>[1]Sheet1!F137</f>
        <v>Generar la integración de las entidades de CRM en el script de Genesys Cloud</v>
      </c>
      <c r="G137" s="221"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221" t="str">
        <f>[1]Sheet1!H137</f>
        <v>CIB</v>
      </c>
      <c r="I137" s="221" t="str">
        <f>[1]Sheet1!I137</f>
        <v>Ivan Olivares - VP Marketing y Comercial</v>
      </c>
      <c r="J137" s="221" t="str">
        <f>[1]Sheet1!J137</f>
        <v xml:space="preserve">Pedro Guibar </v>
      </c>
      <c r="K137" s="221" t="str">
        <f>[1]Sheet1!K137</f>
        <v>https://educorpperu-my.sharepoint.com/personal/diana_zapata_laureate_pe1/Documents/Aplicaciones/Microsoft%20Forms/REGISTRO%20DE%20INICIATIVAS%20-%20GESTI%C3%93N%20DE%20LA%20DEMANDA%20(2%201/Pregunta/RITM0623967_Bruno%20Chiappe%20Vegas.pdf</v>
      </c>
      <c r="L137" s="221" t="str">
        <f>[1]Sheet1!L137</f>
        <v>Bruno Chiappe </v>
      </c>
      <c r="M137" s="151">
        <f>[1]Sheet1!M137</f>
        <v>46173</v>
      </c>
      <c r="N137" s="151" t="str">
        <f>[1]Sheet1!N137</f>
        <v>No</v>
      </c>
      <c r="O137" s="221">
        <f>[1]Sheet1!O137</f>
        <v>0</v>
      </c>
      <c r="P137" s="221">
        <f>[1]Sheet1!P137</f>
        <v>0</v>
      </c>
      <c r="Q137" s="221" t="str">
        <f>[1]Sheet1!Q137</f>
        <v>Otro</v>
      </c>
      <c r="R137" s="221"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221">
        <f>[1]Sheet1!S137</f>
        <v>0</v>
      </c>
      <c r="T137" s="221" t="str">
        <f>[1]Sheet1!T137</f>
        <v>CIBERTEC (UG+WA)</v>
      </c>
      <c r="U137" s="221" t="str">
        <f>[1]Sheet1!U137</f>
        <v>Administrativos</v>
      </c>
      <c r="V137" s="221" t="str">
        <f>[1]Sheet1!V137</f>
        <v>Excelencia operativa</v>
      </c>
      <c r="W137" s="221" t="str">
        <f>[1]Sheet1!W137</f>
        <v>No</v>
      </c>
      <c r="X137" s="221" t="str">
        <f>[1]Sheet1!X137</f>
        <v>No cuantificado o S/0</v>
      </c>
      <c r="Y137" s="221" t="str">
        <f>[1]Sheet1!Y137</f>
        <v>Mejora en la trazabilidad de las atenciones comerciales, reducción de reprocesos manuales y mayor consistencia de la información entre Genesys Cloud y CRM, fortaleciendo la experiencia del prospecto o estudiante.</v>
      </c>
      <c r="Z137" s="59" t="str">
        <f>[1]Sheet1!Z137</f>
        <v>https://educorpperu-my.sharepoint.com/personal/diana_zapata_laureate_pe1/_layouts/15/Doc.aspx?sourcedoc=%7B42F1CD88-C182-4F72-B3A6-1468C0F110B3%7D&amp;file=Solicitud%20de%20requerimientos_Integrar%20entidade_Bruno%20Chiappe%20Vegas.pptx&amp;action=edit&amp;mobileredirect=true</v>
      </c>
      <c r="AA137" s="59">
        <f>[1]Sheet1!AA137</f>
        <v>0.45000000000000007</v>
      </c>
    </row>
    <row r="138" spans="1:27" ht="18.600000000000001" customHeight="1">
      <c r="A138" s="59">
        <f>[1]Sheet1!A138</f>
        <v>160</v>
      </c>
      <c r="B138" s="220">
        <f>[1]Sheet1!B138</f>
        <v>46154.805555555598</v>
      </c>
      <c r="C138" s="220">
        <f>[1]Sheet1!C138</f>
        <v>46154.807372685202</v>
      </c>
      <c r="D138" s="221" t="str">
        <f>[1]Sheet1!D138</f>
        <v>gerson.vereau@laureate.pe</v>
      </c>
      <c r="E138" s="221" t="str">
        <f>[1]Sheet1!E138</f>
        <v>Gerson Vereau Rosas</v>
      </c>
      <c r="F138" s="221" t="str">
        <f>[1]Sheet1!F138</f>
        <v>UPN – Onboarding | Modificación Campaña Bienvenida en CRM</v>
      </c>
      <c r="G138" s="221"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221" t="str">
        <f>[1]Sheet1!H138</f>
        <v>UPN</v>
      </c>
      <c r="I138" s="221" t="str">
        <f>[1]Sheet1!I138</f>
        <v>Álvaro Valdez - VP Operaciones</v>
      </c>
      <c r="J138" s="221" t="str">
        <f>[1]Sheet1!J138</f>
        <v>Adriana Strobbe</v>
      </c>
      <c r="K138" s="221" t="str">
        <f>[1]Sheet1!K138</f>
        <v>https://educorpperu-my.sharepoint.com/personal/diana_zapata_laureate_pe1/Documents/Aplicaciones/Microsoft%20Forms/REGISTRO%20DE%20INICIATIVAS%20-%20GESTI%C3%93N%20DE%20LA%20DEMANDA%20(2%201/Pregunta/VB%20pendiente_Gerson%20Vereau%20Rosas.PNG</v>
      </c>
      <c r="L138" s="221" t="str">
        <f>[1]Sheet1!L138</f>
        <v>Gerson Vereau</v>
      </c>
      <c r="M138" s="151">
        <f>[1]Sheet1!M138</f>
        <v>46178</v>
      </c>
      <c r="N138" s="151" t="str">
        <f>[1]Sheet1!N138</f>
        <v>No</v>
      </c>
      <c r="O138" s="221">
        <f>[1]Sheet1!O138</f>
        <v>0</v>
      </c>
      <c r="P138" s="221">
        <f>[1]Sheet1!P138</f>
        <v>0</v>
      </c>
      <c r="Q138" s="221" t="str">
        <f>[1]Sheet1!Q138</f>
        <v>Otro</v>
      </c>
      <c r="R138" s="221" t="str">
        <f>[1]Sheet1!R138</f>
        <v>No tenemos la trazabilidad total de la campaña de onboarding de alumnos nuevos.</v>
      </c>
      <c r="S138" s="221" t="str">
        <f>[1]Sheet1!S138</f>
        <v>No tener un correcto seguimiento ni poder realizar un diagnostico temprano de la problemática de los estudiantes cachimbos</v>
      </c>
      <c r="T138" s="221" t="str">
        <f>[1]Sheet1!T138</f>
        <v xml:space="preserve">Procesos de onboarding alumnos nuevos | bienvenida al estudiante
</v>
      </c>
      <c r="U138" s="221" t="str">
        <f>[1]Sheet1!U138</f>
        <v>Administrativos</v>
      </c>
      <c r="V138" s="221" t="str">
        <f>[1]Sheet1!V138</f>
        <v>Excelencia operativa</v>
      </c>
      <c r="W138" s="221" t="str">
        <f>[1]Sheet1!W138</f>
        <v>No</v>
      </c>
      <c r="X138" s="221" t="str">
        <f>[1]Sheet1!X138</f>
        <v>No cuantificado o S/0</v>
      </c>
      <c r="Y138" s="221" t="str">
        <f>[1]Sheet1!Y138</f>
        <v>Reportería que nos va a permitir realizar un diagnóstico temprano de los problemas que pueden tener los estudiantes.</v>
      </c>
      <c r="Z138" s="59" t="str">
        <f>[1]Sheet1!Z138</f>
        <v>https://educorpperu-my.sharepoint.com/personal/diana_zapata_laureate_pe1/_layouts/15/Doc.aspx?sourcedoc=%7B26ABE4A0-890D-4B4B-AE24-806629AA747D%7D&amp;file=2.%20Plantilla%20Solicitud%20de%20Requerimientos%20-%20Aj_Gerson%20Vereau%20Rosas.pptx&amp;action=edit&amp;mobileredirect=true</v>
      </c>
      <c r="AA138" s="59">
        <f>[1]Sheet1!AA138</f>
        <v>0.45000000000000007</v>
      </c>
    </row>
    <row r="139" spans="1:27" ht="76.5" customHeight="1">
      <c r="A139" s="59">
        <f>[1]Sheet1!A139</f>
        <v>161</v>
      </c>
      <c r="B139" s="227">
        <f>[1]Sheet1!B139</f>
        <v>46155.444895833301</v>
      </c>
      <c r="C139" s="227">
        <f>[1]Sheet1!C139</f>
        <v>46155.537881944401</v>
      </c>
      <c r="D139" s="228" t="str">
        <f>[1]Sheet1!D139</f>
        <v>bruno.chiappe@laureate.pe</v>
      </c>
      <c r="E139" s="228" t="str">
        <f>[1]Sheet1!E139</f>
        <v>Bruno Chiappe Vegas</v>
      </c>
      <c r="F139" s="228" t="str">
        <f>[1]Sheet1!F139</f>
        <v>Retirar la selección de CRM 2011 del proyecto WebGestionDocumental</v>
      </c>
      <c r="G139" s="228"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228" t="str">
        <f>[1]Sheet1!H139</f>
        <v>UPN</v>
      </c>
      <c r="I139" s="228" t="str">
        <f>[1]Sheet1!I139</f>
        <v>Ivan Olivares - VP Marketing y Comercial</v>
      </c>
      <c r="J139" s="228" t="str">
        <f>[1]Sheet1!J139</f>
        <v xml:space="preserve">Ada Cadillo </v>
      </c>
      <c r="K139" s="228" t="str">
        <f>[1]Sheet1!K139</f>
        <v>https://educorpperu-my.sharepoint.com/personal/diana_zapata_laureate_pe1/Documents/Aplicaciones/Microsoft%20Forms/REGISTRO%20DE%20INICIATIVAS%20-%20GESTI%C3%93N%20DE%20LA%20DEMANDA%20(2%201/Pregunta/RITM0625292_Bruno%20Chiappe%20Vegas.pdf</v>
      </c>
      <c r="L139" s="228" t="str">
        <f>[1]Sheet1!L139</f>
        <v>Bruno Chiappe </v>
      </c>
      <c r="M139" s="229">
        <f>[1]Sheet1!M139</f>
        <v>46156</v>
      </c>
      <c r="N139" s="229" t="str">
        <f>[1]Sheet1!N139</f>
        <v>No</v>
      </c>
      <c r="O139" s="228">
        <f>[1]Sheet1!O139</f>
        <v>0</v>
      </c>
      <c r="P139" s="228">
        <f>[1]Sheet1!P139</f>
        <v>0</v>
      </c>
      <c r="Q139" s="228" t="str">
        <f>[1]Sheet1!Q139</f>
        <v>Otro</v>
      </c>
      <c r="R139" s="228" t="str">
        <f>[1]Sheet1!R139</f>
        <v xml:space="preserve">Se solicita retirar la selección de CRM 2011 del proyecto WebGestionDocumental, debido a que el servidor del 2011 se encuentra apagado.
</v>
      </c>
      <c r="S139" s="228"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228" t="str">
        <f>[1]Sheet1!T139</f>
        <v>Matrícula</v>
      </c>
      <c r="U139" s="228" t="str">
        <f>[1]Sheet1!U139</f>
        <v>Administrativos</v>
      </c>
      <c r="V139" s="228" t="str">
        <f>[1]Sheet1!V139</f>
        <v>Excelencia operativa</v>
      </c>
      <c r="W139" s="228" t="str">
        <f>[1]Sheet1!W139</f>
        <v>No</v>
      </c>
      <c r="X139" s="228" t="str">
        <f>[1]Sheet1!X139</f>
        <v>No cuantificado o S/0</v>
      </c>
      <c r="Y139" s="228" t="str">
        <f>[1]Sheet1!Y139</f>
        <v>Mejora la claridad del sistema para los usuarios, evita confusiones operativas y asegura que WebGestiónDocumental solo muestre opciones vigentes y alineadas a la arquitectura actual de CRM.</v>
      </c>
      <c r="Z139" s="59" t="str">
        <f>[1]Sheet1!Z139</f>
        <v>https://educorpperu-my.sharepoint.com/personal/diana_zapata_laureate_pe1/_layouts/15/Doc.aspx?sourcedoc=%7B2D34FADD-81E3-494E-AF2B-29F58BC6AFD3%7D&amp;file=RETIRAR%20CRM2011%20DE%20LA%20MATRIZ%20DOCUMENTAL_Bruno%20Chiappe%20Vegas.pptx&amp;action=edit&amp;mobileredirect=true</v>
      </c>
      <c r="AA139" s="59">
        <f>[1]Sheet1!AA139</f>
        <v>0.45000000000000007</v>
      </c>
    </row>
    <row r="140" spans="1:27" ht="92.25" customHeight="1">
      <c r="A140" s="59">
        <f>[1]Sheet1!A140</f>
        <v>162</v>
      </c>
      <c r="B140" s="227">
        <f>[1]Sheet1!B140</f>
        <v>46160.441956018498</v>
      </c>
      <c r="C140" s="227">
        <f>[1]Sheet1!C140</f>
        <v>46160.457743055602</v>
      </c>
      <c r="D140" s="228" t="str">
        <f>[1]Sheet1!D140</f>
        <v>franco.vera@laureate.pe</v>
      </c>
      <c r="E140" s="228" t="str">
        <f>[1]Sheet1!E140</f>
        <v>Franco Manuel Vera Sanchez</v>
      </c>
      <c r="F140" s="228" t="str">
        <f>[1]Sheet1!F140</f>
        <v>Modelo de Ocupabilidad</v>
      </c>
      <c r="G140" s="228"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228" t="str">
        <f>[1]Sheet1!H140</f>
        <v>LAUREATE</v>
      </c>
      <c r="I140" s="228" t="str">
        <f>[1]Sheet1!I140</f>
        <v>Álvaro Valdez - VP Operaciones</v>
      </c>
      <c r="J140" s="228" t="str">
        <f>[1]Sheet1!J140</f>
        <v xml:space="preserve">Sharon Chou </v>
      </c>
      <c r="K140" s="228" t="str">
        <f>[1]Sheet1!K140</f>
        <v>https://educorpperu-my.sharepoint.com/personal/diana_zapata_laureate_pe1/Documents/Aplicaciones/Microsoft%20Forms/REGISTRO%20DE%20INICIATIVAS%20-%20GESTI%C3%93N%20DE%20LA%20DEMANDA%20(2%201/Pregunta/VB%20Ocupabilidad_Franco%20Manuel%20Vera%20S.pdf</v>
      </c>
      <c r="L140" s="228" t="str">
        <f>[1]Sheet1!L140</f>
        <v>Franco Vera</v>
      </c>
      <c r="M140" s="229">
        <f>[1]Sheet1!M140</f>
        <v>46310</v>
      </c>
      <c r="N140" s="229" t="str">
        <f>[1]Sheet1!N140</f>
        <v>No</v>
      </c>
      <c r="O140" s="228">
        <f>[1]Sheet1!O140</f>
        <v>0</v>
      </c>
      <c r="P140" s="228">
        <f>[1]Sheet1!P140</f>
        <v>0</v>
      </c>
      <c r="Q140" s="228" t="str">
        <f>[1]Sheet1!Q140</f>
        <v>Otro</v>
      </c>
      <c r="R140" s="228"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228" t="str">
        <f>[1]Sheet1!S140</f>
        <v>Académicos, financieros y operativos.</v>
      </c>
      <c r="T140" s="228" t="str">
        <f>[1]Sheet1!T140</f>
        <v>Todos los procesos que estén "amarrados" en el ERP. Es un habilitador de un proyecto estratégico.</v>
      </c>
      <c r="U140" s="228" t="str">
        <f>[1]Sheet1!U140</f>
        <v>Ninguno</v>
      </c>
      <c r="V140" s="228" t="str">
        <f>[1]Sheet1!V140</f>
        <v>Crecimiento escalable</v>
      </c>
      <c r="W140" s="228" t="str">
        <f>[1]Sheet1!W140</f>
        <v>No</v>
      </c>
      <c r="X140" s="228" t="str">
        <f>[1]Sheet1!X140</f>
        <v>No cuantificado o S/0</v>
      </c>
      <c r="Y140" s="228"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59" t="str">
        <f>[1]Sheet1!Z140</f>
        <v>https://educorpperu-my.sharepoint.com/personal/diana_zapata_laureate_pe1/_layouts/15/Doc.aspx?sourcedoc=%7B88AA7D6B-CED7-4AB3-9CAA-D428994C0F14%7D&amp;file=CEA%20-%20Herramienta%20de%20ocupabilidad%20May%202026_Franco%20Manuel%20Vera%20S.pptx&amp;action=edit&amp;mobileredirect=true</v>
      </c>
      <c r="AA140" s="59">
        <f>[1]Sheet1!AA140</f>
        <v>0.5</v>
      </c>
    </row>
    <row r="141" spans="1:27" ht="91.5" customHeight="1">
      <c r="A141" s="59">
        <f>[1]Sheet1!A141</f>
        <v>167</v>
      </c>
      <c r="B141" s="227">
        <f>[1]Sheet1!B141</f>
        <v>46161.420833333301</v>
      </c>
      <c r="C141" s="227">
        <f>[1]Sheet1!C141</f>
        <v>46161.441134259301</v>
      </c>
      <c r="D141" s="228" t="str">
        <f>[1]Sheet1!D141</f>
        <v>bruno.chiappe@laureate.pe</v>
      </c>
      <c r="E141" s="228" t="str">
        <f>[1]Sheet1!E141</f>
        <v>Bruno Chiappe Vegas</v>
      </c>
      <c r="F141" s="228" t="str">
        <f>[1]Sheet1!F141</f>
        <v>MDUU: modificar termino de retención (Banner)​</v>
      </c>
      <c r="G141" s="228"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228" t="str">
        <f>[1]Sheet1!H141</f>
        <v>UPN</v>
      </c>
      <c r="I141" s="228" t="str">
        <f>[1]Sheet1!I141</f>
        <v>Ivan Olivares - VP Marketing y Comercial</v>
      </c>
      <c r="J141" s="228" t="str">
        <f>[1]Sheet1!J141</f>
        <v>Roberto Yepez</v>
      </c>
      <c r="K141" s="228" t="str">
        <f>[1]Sheet1!K141</f>
        <v>https://educorpperu-my.sharepoint.com/personal/diana_zapata_laureate_pe1/Documents/Aplicaciones/Microsoft%20Forms/REGISTRO%20DE%20INICIATIVAS%20-%20GESTI%C3%93N%20DE%20LA%20DEMANDA%20(2%201/Pregunta/RITM0627164_Bruno%20Chiappe%20Vegas.pdf</v>
      </c>
      <c r="L141" s="228" t="str">
        <f>[1]Sheet1!L141</f>
        <v>Bruno Chiappe </v>
      </c>
      <c r="M141" s="229">
        <f>[1]Sheet1!M141</f>
        <v>46164</v>
      </c>
      <c r="N141" s="229" t="str">
        <f>[1]Sheet1!N141</f>
        <v>No</v>
      </c>
      <c r="O141" s="228">
        <f>[1]Sheet1!O141</f>
        <v>0</v>
      </c>
      <c r="P141" s="228">
        <f>[1]Sheet1!P141</f>
        <v>0</v>
      </c>
      <c r="Q141" s="228" t="str">
        <f>[1]Sheet1!Q141</f>
        <v>Otro</v>
      </c>
      <c r="R141" s="228"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228">
        <f>[1]Sheet1!S141</f>
        <v>0</v>
      </c>
      <c r="T141" s="228" t="str">
        <f>[1]Sheet1!T141</f>
        <v>Admisión, Matrícula y Cobranzas.</v>
      </c>
      <c r="U141" s="228" t="str">
        <f>[1]Sheet1!U141</f>
        <v>Administrativos</v>
      </c>
      <c r="V141" s="228" t="str">
        <f>[1]Sheet1!V141</f>
        <v>Excelencia operativa</v>
      </c>
      <c r="W141" s="228" t="str">
        <f>[1]Sheet1!W141</f>
        <v>No</v>
      </c>
      <c r="X141" s="228" t="str">
        <f>[1]Sheet1!X141</f>
        <v>No cuantificado o S/0</v>
      </c>
      <c r="Y141" s="228" t="str">
        <f>[1]Sheet1!Y141</f>
        <v>Mejora en la trazabilidad y control del proceso de actualización de retenciones, reducción de errores manuales y mayor oportunidad en la atención de casos de condonación gestionados por Cobranzas y Admisión.</v>
      </c>
      <c r="Z141" s="59"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59">
        <f>[1]Sheet1!AA141</f>
        <v>0.60000000000000009</v>
      </c>
    </row>
    <row r="142" spans="1:27" ht="97.5" customHeight="1">
      <c r="A142" s="59">
        <f>[1]Sheet1!A142</f>
        <v>168</v>
      </c>
      <c r="B142" s="227">
        <f>[1]Sheet1!B142</f>
        <v>46161.517534722203</v>
      </c>
      <c r="C142" s="227">
        <f>[1]Sheet1!C142</f>
        <v>46161.533912036997</v>
      </c>
      <c r="D142" s="228" t="str">
        <f>[1]Sheet1!D142</f>
        <v>bruno.chiappe@laureate.pe</v>
      </c>
      <c r="E142" s="228" t="str">
        <f>[1]Sheet1!E142</f>
        <v>Bruno Chiappe Vegas</v>
      </c>
      <c r="F142" s="228" t="str">
        <f>[1]Sheet1!F142</f>
        <v>Inconsistencia en el envío de códigos de exención de la tabla intermedia a Banner</v>
      </c>
      <c r="G142" s="228"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228" t="str">
        <f>[1]Sheet1!H142</f>
        <v>UPN</v>
      </c>
      <c r="I142" s="228" t="str">
        <f>[1]Sheet1!I142</f>
        <v>Ivan Olivares - VP Marketing y Comercial</v>
      </c>
      <c r="J142" s="228" t="str">
        <f>[1]Sheet1!J142</f>
        <v>Ada Cadillo</v>
      </c>
      <c r="K142" s="228" t="str">
        <f>[1]Sheet1!K142</f>
        <v>https://educorpperu-my.sharepoint.com/personal/diana_zapata_laureate_pe1/Documents/Aplicaciones/Microsoft%20Forms/REGISTRO%20DE%20INICIATIVAS%20-%20GESTI%C3%93N%20DE%20LA%20DEMANDA%20(2%201/Pregunta/RITM0627055_Bruno%20Chiappe%20Vegas.pdf</v>
      </c>
      <c r="L142" s="228" t="str">
        <f>[1]Sheet1!L142</f>
        <v>Bruno Chiappe </v>
      </c>
      <c r="M142" s="229">
        <f>[1]Sheet1!M142</f>
        <v>46164</v>
      </c>
      <c r="N142" s="229" t="str">
        <f>[1]Sheet1!N142</f>
        <v>No</v>
      </c>
      <c r="O142" s="228">
        <f>[1]Sheet1!O142</f>
        <v>0</v>
      </c>
      <c r="P142" s="228">
        <f>[1]Sheet1!P142</f>
        <v>0</v>
      </c>
      <c r="Q142" s="228" t="str">
        <f>[1]Sheet1!Q142</f>
        <v>Otro</v>
      </c>
      <c r="R142" s="228" t="str">
        <f>[1]Sheet1!R142</f>
        <v>Existen casos en los que códigos de exención/descuento generados que se quedan en la tabla intermedia y no son registrados correctamente en Banner, quedando fuera del flujo esperado de procesamiento y auditoría.</v>
      </c>
      <c r="S142" s="228" t="str">
        <f>[1]Sheet1!S142</f>
        <v>Los códigos de exención que no cargaron en Banner se muestren correctamente en los casos señalados y superen el flujo de la tabla intermedia.</v>
      </c>
      <c r="T142" s="228" t="str">
        <f>[1]Sheet1!T142</f>
        <v>Admisión, Control Interno</v>
      </c>
      <c r="U142" s="228" t="str">
        <f>[1]Sheet1!U142</f>
        <v>Alumnos</v>
      </c>
      <c r="V142" s="228" t="str">
        <f>[1]Sheet1!V142</f>
        <v>Excelencia operativa</v>
      </c>
      <c r="W142" s="228" t="str">
        <f>[1]Sheet1!W142</f>
        <v>No</v>
      </c>
      <c r="X142" s="228" t="str">
        <f>[1]Sheet1!X142</f>
        <v>No cuantificado o S/0</v>
      </c>
      <c r="Y142" s="228"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59"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59">
        <f>[1]Sheet1!AA142</f>
        <v>1.2000000000000002</v>
      </c>
    </row>
    <row r="143" spans="1:27" ht="112.5" customHeight="1">
      <c r="A143" s="59">
        <f>[1]Sheet1!A143</f>
        <v>169</v>
      </c>
      <c r="B143" s="227">
        <f>[1]Sheet1!B143</f>
        <v>46161.670162037</v>
      </c>
      <c r="C143" s="227">
        <f>[1]Sheet1!C143</f>
        <v>46162.429259259297</v>
      </c>
      <c r="D143" s="228" t="str">
        <f>[1]Sheet1!D143</f>
        <v>alejandro.tello@laureate.pe</v>
      </c>
      <c r="E143" s="228" t="str">
        <f>[1]Sheet1!E143</f>
        <v>Alejandro Tello Llosa</v>
      </c>
      <c r="F143" s="228" t="str">
        <f>[1]Sheet1!F143</f>
        <v>Plataforma de Convalidación Online​ (Parte del proyecto de admisión Online)</v>
      </c>
      <c r="G143" s="228"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228" t="str">
        <f>[1]Sheet1!H143</f>
        <v>UPN</v>
      </c>
      <c r="I143" s="228" t="str">
        <f>[1]Sheet1!I143</f>
        <v>Humberto Marota - Tecnologías y transformación digital</v>
      </c>
      <c r="J143" s="228" t="str">
        <f>[1]Sheet1!J143</f>
        <v>Roberto Yepez</v>
      </c>
      <c r="K143" s="228"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228" t="str">
        <f>[1]Sheet1!L143</f>
        <v>Carla Arias-Schreiber</v>
      </c>
      <c r="M143" s="229">
        <f>[1]Sheet1!M143</f>
        <v>46199</v>
      </c>
      <c r="N143" s="229" t="str">
        <f>[1]Sheet1!N143</f>
        <v>Si</v>
      </c>
      <c r="O143" s="228" t="str">
        <f>[1]Sheet1!O143</f>
        <v>Revenue Growth</v>
      </c>
      <c r="P143" s="228">
        <f>[1]Sheet1!P143</f>
        <v>7541</v>
      </c>
      <c r="Q143" s="228" t="str">
        <f>[1]Sheet1!Q143</f>
        <v>Otro</v>
      </c>
      <c r="R143" s="228"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228" t="str">
        <f>[1]Sheet1!S143</f>
        <v xml:space="preserve">Se espera contar con una plataforma digital que permita realizar una convalidación automática desde generar el resultado de convalidación hasta llevar su registro a Banner, sin que pase por atención de asesores </v>
      </c>
      <c r="T143" s="228"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228" t="str">
        <f>[1]Sheet1!U143</f>
        <v>Administrativos</v>
      </c>
      <c r="V143" s="228" t="str">
        <f>[1]Sheet1!V143</f>
        <v>Crecimiento escalable</v>
      </c>
      <c r="W143" s="228" t="str">
        <f>[1]Sheet1!W143</f>
        <v>No</v>
      </c>
      <c r="X143" s="228" t="str">
        <f>[1]Sheet1!X143</f>
        <v>Mayor a S/500,000.00</v>
      </c>
      <c r="Y143" s="228"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59"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59">
        <f>[1]Sheet1!AA143</f>
        <v>2.9</v>
      </c>
    </row>
    <row r="144" spans="1:27" ht="44.25" customHeight="1">
      <c r="A144" s="59">
        <f>[1]Sheet1!A144</f>
        <v>170</v>
      </c>
      <c r="B144" s="227">
        <f>[1]Sheet1!B144</f>
        <v>46162.470543981501</v>
      </c>
      <c r="C144" s="227">
        <f>[1]Sheet1!C144</f>
        <v>46162.486342592601</v>
      </c>
      <c r="D144" s="228" t="str">
        <f>[1]Sheet1!D144</f>
        <v>franco.vera@laureate.pe</v>
      </c>
      <c r="E144" s="228" t="str">
        <f>[1]Sheet1!E144</f>
        <v>Franco Manuel Vera Sanchez</v>
      </c>
      <c r="F144" s="228" t="str">
        <f>[1]Sheet1!F144</f>
        <v>Corrección de diferencias entre Peoplesoft y Datalake (UPN)</v>
      </c>
      <c r="G144" s="228"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228" t="str">
        <f>[1]Sheet1!H144</f>
        <v>UPN</v>
      </c>
      <c r="I144" s="228" t="str">
        <f>[1]Sheet1!I144</f>
        <v>Humberto Marota - Tecnologías y transformación digital</v>
      </c>
      <c r="J144" s="228" t="str">
        <f>[1]Sheet1!J144</f>
        <v>Iván Rengifo - Data &amp; BI</v>
      </c>
      <c r="K144" s="228" t="str">
        <f>[1]Sheet1!K144</f>
        <v>https://educorpperu-my.sharepoint.com/personal/diana_zapata_laureate_pe1/Documents/Aplicaciones/Microsoft%20Forms/REGISTRO%20DE%20INICIATIVAS%20-%20GESTI%C3%93N%20DE%20LA%20DEMANDA%20(2%201/Pregunta/VB%20Humberto%20Data%20Lake_Franco%20Manuel%20Vera%20S.pdf</v>
      </c>
      <c r="L144" s="228" t="str">
        <f>[1]Sheet1!L144</f>
        <v>Franco Vera</v>
      </c>
      <c r="M144" s="229">
        <f>[1]Sheet1!M144</f>
        <v>46192</v>
      </c>
      <c r="N144" s="229" t="str">
        <f>[1]Sheet1!N144</f>
        <v>No</v>
      </c>
      <c r="O144" s="228">
        <f>[1]Sheet1!O144</f>
        <v>0</v>
      </c>
      <c r="P144" s="228">
        <f>[1]Sheet1!P144</f>
        <v>0</v>
      </c>
      <c r="Q144" s="228" t="str">
        <f>[1]Sheet1!Q144</f>
        <v>Otro</v>
      </c>
      <c r="R144" s="228"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228" t="str">
        <f>[1]Sheet1!S144</f>
        <v>Lograr que la data de Peoplesoft que se modifique (actualizaciones, inserciones, eliminaciones), pueda ser detectadas por los procesos de ingesta del Data Lake.</v>
      </c>
      <c r="T144" s="228" t="str">
        <f>[1]Sheet1!T144</f>
        <v>Data &amp; BI y todas las áreas usuarias que consumen información de Datalake. Finanzas y Comercial.</v>
      </c>
      <c r="U144" s="228" t="str">
        <f>[1]Sheet1!U144</f>
        <v>Administrativos</v>
      </c>
      <c r="V144" s="228" t="str">
        <f>[1]Sheet1!V144</f>
        <v>Excelencia operativa</v>
      </c>
      <c r="W144" s="228" t="str">
        <f>[1]Sheet1!W144</f>
        <v>No</v>
      </c>
      <c r="X144" s="228" t="str">
        <f>[1]Sheet1!X144</f>
        <v>No cuantificado o S/0</v>
      </c>
      <c r="Y144" s="228" t="str">
        <f>[1]Sheet1!Y144</f>
        <v>Contar con la integridad en la información expuesta al negocio (usuario final), dede el Data Lake</v>
      </c>
      <c r="Z144" s="59" t="str">
        <f>[1]Sheet1!Z144</f>
        <v>https://educorpperu-my.sharepoint.com/personal/diana_zapata_laureate_pe1/_layouts/15/Doc.aspx?sourcedoc=%7B9B60D2EC-56A9-4322-A2C8-2929855D0082%7D&amp;file=Incidente%20PS_Franco%20Manuel%20Vera%20S.pptx&amp;action=edit&amp;mobileredirect=true</v>
      </c>
      <c r="AA144" s="59">
        <f>[1]Sheet1!AA144</f>
        <v>0.60000000000000009</v>
      </c>
    </row>
    <row r="145" spans="1:27" ht="18.600000000000001" customHeight="1">
      <c r="A145" s="59">
        <f>[1]Sheet1!A145</f>
        <v>171</v>
      </c>
      <c r="B145" s="227">
        <f>[1]Sheet1!B145</f>
        <v>46167.515682870398</v>
      </c>
      <c r="C145" s="227">
        <f>[1]Sheet1!C145</f>
        <v>46167.642662036997</v>
      </c>
      <c r="D145" s="228" t="str">
        <f>[1]Sheet1!D145</f>
        <v>angela.lucano@laureate.pe</v>
      </c>
      <c r="E145" s="228" t="str">
        <f>[1]Sheet1!E145</f>
        <v>Angela Lucano Carranza</v>
      </c>
      <c r="F145" s="228" t="str">
        <f>[1]Sheet1!F145</f>
        <v>Activación Copilot en CRM</v>
      </c>
      <c r="G145" s="228"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228" t="str">
        <f>[1]Sheet1!H145</f>
        <v>LAUREATE</v>
      </c>
      <c r="I145" s="228" t="str">
        <f>[1]Sheet1!I145</f>
        <v>Mónica García - VP Operaciones Digitales y Online</v>
      </c>
      <c r="J145" s="228" t="str">
        <f>[1]Sheet1!J145</f>
        <v>Lizbeth Bautista - Gerente de Canales Inbound</v>
      </c>
      <c r="K145" s="228"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228" t="str">
        <f>[1]Sheet1!L145</f>
        <v>Ángela Lucano</v>
      </c>
      <c r="M145" s="229">
        <f>[1]Sheet1!M145</f>
        <v>46203</v>
      </c>
      <c r="N145" s="229" t="str">
        <f>[1]Sheet1!N145</f>
        <v>No</v>
      </c>
      <c r="O145" s="228">
        <f>[1]Sheet1!O145</f>
        <v>0</v>
      </c>
      <c r="P145" s="228">
        <f>[1]Sheet1!P145</f>
        <v>0</v>
      </c>
      <c r="Q145" s="228" t="str">
        <f>[1]Sheet1!Q145</f>
        <v>Otro</v>
      </c>
      <c r="R145" s="228"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228"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228" t="str">
        <f>[1]Sheet1!T145</f>
        <v>Todas las áreas que interactúan en Contacto UPN (13 áreas) y alumnos.</v>
      </c>
      <c r="U145" s="228" t="str">
        <f>[1]Sheet1!U145</f>
        <v>Alumnos</v>
      </c>
      <c r="V145" s="228" t="str">
        <f>[1]Sheet1!V145</f>
        <v>Experiencia</v>
      </c>
      <c r="W145" s="228" t="str">
        <f>[1]Sheet1!W145</f>
        <v>No</v>
      </c>
      <c r="X145" s="228" t="str">
        <f>[1]Sheet1!X145</f>
        <v>No cuantificado o S/0</v>
      </c>
      <c r="Y145" s="228"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59"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59">
        <f>[1]Sheet1!AA145</f>
        <v>1.3</v>
      </c>
    </row>
    <row r="146" spans="1:27" ht="18.600000000000001" customHeight="1">
      <c r="A146" s="59">
        <f>[1]Sheet1!A146</f>
        <v>172</v>
      </c>
      <c r="B146" s="227">
        <f>[1]Sheet1!B146</f>
        <v>46167.646388888897</v>
      </c>
      <c r="C146" s="227">
        <f>[1]Sheet1!C146</f>
        <v>46167.6551273148</v>
      </c>
      <c r="D146" s="228" t="str">
        <f>[1]Sheet1!D146</f>
        <v>angela.lucano@laureate.pe</v>
      </c>
      <c r="E146" s="228" t="str">
        <f>[1]Sheet1!E146</f>
        <v>Angela Lucano Carranza</v>
      </c>
      <c r="F146" s="228" t="str">
        <f>[1]Sheet1!F146</f>
        <v>Integración de Microsoft Teams con el CRM Institucional</v>
      </c>
      <c r="G146" s="228"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228" t="str">
        <f>[1]Sheet1!H146</f>
        <v>CORPORATIVO</v>
      </c>
      <c r="I146" s="228" t="str">
        <f>[1]Sheet1!I146</f>
        <v>Mónica García - VP Operaciones Digitales y Online</v>
      </c>
      <c r="J146" s="228" t="str">
        <f>[1]Sheet1!J146</f>
        <v>Lizbeth Bautista - Gerente Canales Inbound</v>
      </c>
      <c r="K146" s="228"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228" t="str">
        <f>[1]Sheet1!L146</f>
        <v>Ángela Lucano</v>
      </c>
      <c r="M146" s="229">
        <f>[1]Sheet1!M146</f>
        <v>46203</v>
      </c>
      <c r="N146" s="229" t="str">
        <f>[1]Sheet1!N146</f>
        <v>No</v>
      </c>
      <c r="O146" s="228">
        <f>[1]Sheet1!O146</f>
        <v>0</v>
      </c>
      <c r="P146" s="228">
        <f>[1]Sheet1!P146</f>
        <v>0</v>
      </c>
      <c r="Q146" s="228" t="str">
        <f>[1]Sheet1!Q146</f>
        <v>Otro</v>
      </c>
      <c r="R146" s="228"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228"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228" t="str">
        <f>[1]Sheet1!T146</f>
        <v>Todas las áreas que interactúan en Contacto UPN (13 áreas) y alumnos.</v>
      </c>
      <c r="U146" s="228" t="str">
        <f>[1]Sheet1!U146</f>
        <v>Alumnos</v>
      </c>
      <c r="V146" s="228" t="str">
        <f>[1]Sheet1!V146</f>
        <v>Excelencia operativa</v>
      </c>
      <c r="W146" s="228" t="str">
        <f>[1]Sheet1!W146</f>
        <v>No</v>
      </c>
      <c r="X146" s="228" t="str">
        <f>[1]Sheet1!X146</f>
        <v>No cuantificado o S/0</v>
      </c>
      <c r="Y146" s="228"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59" t="str">
        <f>[1]Sheet1!Z146</f>
        <v>https://educorpperu-my.sharepoint.com/personal/diana_zapata_laureate_pe1/_layouts/15/Doc.aspx?sourcedoc=%7BD89DCF38-9B8C-468D-88D9-0CA782BE04B7%7D&amp;file=Solicitud%20de%20Requerimiento%20-%20Teams%20en%20CRM_Angela%20Lucano%20Carran.pptx&amp;action=edit&amp;mobileredirect=true</v>
      </c>
      <c r="AA146" s="59">
        <f>[1]Sheet1!AA146</f>
        <v>1.2000000000000002</v>
      </c>
    </row>
    <row r="147" spans="1:27" ht="18.600000000000001" customHeight="1">
      <c r="A147" s="59">
        <f>[1]Sheet1!A147</f>
        <v>173</v>
      </c>
      <c r="B147" s="227">
        <f>[1]Sheet1!B147</f>
        <v>46167.6551736111</v>
      </c>
      <c r="C147" s="227">
        <f>[1]Sheet1!C147</f>
        <v>46167.703831018502</v>
      </c>
      <c r="D147" s="228" t="str">
        <f>[1]Sheet1!D147</f>
        <v>angela.lucano@laureate.pe</v>
      </c>
      <c r="E147" s="228" t="str">
        <f>[1]Sheet1!E147</f>
        <v>Angela Lucano Carranza</v>
      </c>
      <c r="F147" s="228" t="str">
        <f>[1]Sheet1!F147</f>
        <v>UPN - Revisión de la data de EPEC en CRM</v>
      </c>
      <c r="G147" s="228"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228" t="str">
        <f>[1]Sheet1!H147</f>
        <v>UPN</v>
      </c>
      <c r="I147" s="228" t="str">
        <f>[1]Sheet1!I147</f>
        <v>Mónica García - VP Operaciones Digitales y Online</v>
      </c>
      <c r="J147" s="228" t="str">
        <f>[1]Sheet1!J147</f>
        <v>Lizbeth Bautista - Gerente de Canales Inbound</v>
      </c>
      <c r="K147" s="228"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228" t="str">
        <f>[1]Sheet1!L147</f>
        <v>Ángela Lucano</v>
      </c>
      <c r="M147" s="229">
        <f>[1]Sheet1!M147</f>
        <v>46188</v>
      </c>
      <c r="N147" s="229" t="str">
        <f>[1]Sheet1!N147</f>
        <v>No</v>
      </c>
      <c r="O147" s="228">
        <f>[1]Sheet1!O147</f>
        <v>0</v>
      </c>
      <c r="P147" s="228">
        <f>[1]Sheet1!P147</f>
        <v>0</v>
      </c>
      <c r="Q147" s="228" t="str">
        <f>[1]Sheet1!Q147</f>
        <v>Seguridad de la información</v>
      </c>
      <c r="R147" s="228"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228"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228" t="str">
        <f>[1]Sheet1!T147</f>
        <v>Proceso de atención y respuesta de consultas en CRM (cierre de tickets y medición de satisfacción)
Estudiantes de Posgrado (EPEC), asesores de atención, equipo de Experiencia del Estudiante y áreas de Calidad</v>
      </c>
      <c r="U147" s="228" t="str">
        <f>[1]Sheet1!U147</f>
        <v>Alumnos</v>
      </c>
      <c r="V147" s="228" t="str">
        <f>[1]Sheet1!V147</f>
        <v>Experiencia</v>
      </c>
      <c r="W147" s="228" t="str">
        <f>[1]Sheet1!W147</f>
        <v>No</v>
      </c>
      <c r="X147" s="228" t="str">
        <f>[1]Sheet1!X147</f>
        <v>No cuantificado o S/0</v>
      </c>
      <c r="Y147" s="228"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59" t="str">
        <f>[1]Sheet1!Z147</f>
        <v>https://educorpperu-my.sharepoint.com/personal/diana_zapata_laureate_pe1/_layouts/15/Doc.aspx?sourcedoc=%7B67F35B33-82A6-4B61-B1DB-6F15D08C5F8D%7D&amp;file=REVISI%C3%93N%20DATA%20DE%20EPEC_Angela%20Lucano%20Carran.pptx&amp;action=edit&amp;mobileredirect=true</v>
      </c>
      <c r="AA147" s="59">
        <f>[1]Sheet1!AA147</f>
        <v>2.1999999999999997</v>
      </c>
    </row>
    <row r="148" spans="1:27" ht="18.600000000000001" customHeight="1">
      <c r="A148" s="59">
        <f>[1]Sheet1!A148</f>
        <v>174</v>
      </c>
      <c r="B148" s="227">
        <f>[1]Sheet1!B148</f>
        <v>46167.833217592597</v>
      </c>
      <c r="C148" s="227">
        <f>[1]Sheet1!C148</f>
        <v>46167.866180555597</v>
      </c>
      <c r="D148" s="228" t="str">
        <f>[1]Sheet1!D148</f>
        <v>angela.lucano@laureate.pe</v>
      </c>
      <c r="E148" s="228" t="str">
        <f>[1]Sheet1!E148</f>
        <v>Angela Lucano Carranza</v>
      </c>
      <c r="F148" s="228" t="str">
        <f>[1]Sheet1!F148</f>
        <v>UPN - Unificar la respuesta del caso y la encuesta de satisfacción por la atención</v>
      </c>
      <c r="G148" s="228"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228" t="str">
        <f>[1]Sheet1!H148</f>
        <v>UPN</v>
      </c>
      <c r="I148" s="228" t="str">
        <f>[1]Sheet1!I148</f>
        <v>Mónica García - VP Operaciones Digitales y Online</v>
      </c>
      <c r="J148" s="228" t="str">
        <f>[1]Sheet1!J148</f>
        <v>Lizbeth Bautista - Gerente de Canales Inbound</v>
      </c>
      <c r="K148" s="228"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228" t="str">
        <f>[1]Sheet1!L148</f>
        <v>Ángela Lucano</v>
      </c>
      <c r="M148" s="229">
        <f>[1]Sheet1!M148</f>
        <v>46203</v>
      </c>
      <c r="N148" s="229" t="str">
        <f>[1]Sheet1!N148</f>
        <v>No</v>
      </c>
      <c r="O148" s="228">
        <f>[1]Sheet1!O148</f>
        <v>0</v>
      </c>
      <c r="P148" s="228">
        <f>[1]Sheet1!P148</f>
        <v>0</v>
      </c>
      <c r="Q148" s="228" t="str">
        <f>[1]Sheet1!Q148</f>
        <v>Otro</v>
      </c>
      <c r="R148" s="228"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228"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228"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228" t="str">
        <f>[1]Sheet1!U148</f>
        <v>Alumnos</v>
      </c>
      <c r="V148" s="228" t="str">
        <f>[1]Sheet1!V148</f>
        <v>Experiencia</v>
      </c>
      <c r="W148" s="228" t="str">
        <f>[1]Sheet1!W148</f>
        <v>No</v>
      </c>
      <c r="X148" s="228" t="str">
        <f>[1]Sheet1!X148</f>
        <v>No cuantificado o S/0</v>
      </c>
      <c r="Y148" s="228"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59"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59">
        <f>[1]Sheet1!AA148</f>
        <v>1.3</v>
      </c>
    </row>
    <row r="149" spans="1:27" ht="18.600000000000001" customHeight="1">
      <c r="A149" s="59">
        <f>[1]Sheet1!A149</f>
        <v>175</v>
      </c>
      <c r="B149" s="227">
        <f>[1]Sheet1!B149</f>
        <v>46168.366296296299</v>
      </c>
      <c r="C149" s="227">
        <f>[1]Sheet1!C149</f>
        <v>46168.4558217593</v>
      </c>
      <c r="D149" s="228" t="str">
        <f>[1]Sheet1!D149</f>
        <v>angela.lucano@laureate.pe</v>
      </c>
      <c r="E149" s="228" t="str">
        <f>[1]Sheet1!E149</f>
        <v>Angela Lucano Carranza</v>
      </c>
      <c r="F149" s="228" t="str">
        <f>[1]Sheet1!F149</f>
        <v>UPC - Ajuste en Formulario Virtual del Libro de Reclamaciones - Obs INDECOPI</v>
      </c>
      <c r="G149" s="228"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228" t="str">
        <f>[1]Sheet1!H149</f>
        <v>UPC</v>
      </c>
      <c r="I149" s="228" t="str">
        <f>[1]Sheet1!I149</f>
        <v>Mónica García - VP Operaciones Digitales y Online</v>
      </c>
      <c r="J149" s="228" t="str">
        <f>[1]Sheet1!J149</f>
        <v>Jose Horna - Jefe de Trámites, Quejas y Reclamos</v>
      </c>
      <c r="K149" s="228"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228" t="str">
        <f>[1]Sheet1!L149</f>
        <v>Ángela Lucano</v>
      </c>
      <c r="M149" s="229">
        <f>[1]Sheet1!M149</f>
        <v>46178</v>
      </c>
      <c r="N149" s="229" t="str">
        <f>[1]Sheet1!N149</f>
        <v>No</v>
      </c>
      <c r="O149" s="228">
        <f>[1]Sheet1!O149</f>
        <v>0</v>
      </c>
      <c r="P149" s="228">
        <f>[1]Sheet1!P149</f>
        <v>0</v>
      </c>
      <c r="Q149" s="228" t="str">
        <f>[1]Sheet1!Q149</f>
        <v>Normativa</v>
      </c>
      <c r="R149" s="228"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228"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228" t="str">
        <f>[1]Sheet1!T149</f>
        <v>UPC, Legal y Experiencia al Estudiante, Trámites Quejas y Reclamos
Procedimiento Gestion Quejas y Reclamos</v>
      </c>
      <c r="U149" s="228" t="str">
        <f>[1]Sheet1!U149</f>
        <v>Administrativos</v>
      </c>
      <c r="V149" s="228" t="str">
        <f>[1]Sheet1!V149</f>
        <v>Experiencia</v>
      </c>
      <c r="W149" s="228" t="str">
        <f>[1]Sheet1!W149</f>
        <v>No</v>
      </c>
      <c r="X149" s="228" t="str">
        <f>[1]Sheet1!X149</f>
        <v>Menor a S/100,000.00</v>
      </c>
      <c r="Y149" s="228"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59"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59">
        <f>[1]Sheet1!AA149</f>
        <v>2.35</v>
      </c>
    </row>
    <row r="150" spans="1:27" ht="54" customHeight="1">
      <c r="A150" s="59">
        <f>[1]Sheet1!A150</f>
        <v>176</v>
      </c>
      <c r="B150" s="227">
        <f>[1]Sheet1!B150</f>
        <v>46168.397800925901</v>
      </c>
      <c r="C150" s="227">
        <f>[1]Sheet1!C150</f>
        <v>46168.905185185198</v>
      </c>
      <c r="D150" s="228" t="str">
        <f>[1]Sheet1!D150</f>
        <v>nicolas.morales@laureate.pe</v>
      </c>
      <c r="E150" s="228" t="str">
        <f>[1]Sheet1!E150</f>
        <v>Nicolas Morales Chumpitaz</v>
      </c>
      <c r="F150" s="228" t="str">
        <f>[1]Sheet1!F150</f>
        <v xml:space="preserve">Optimización del proceso del relevamiento de la necesidad del cliente interno con protocolos de comunicación; y Producción y difusión de piezas de contenido para comunicación </v>
      </c>
      <c r="G150" s="228"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228" t="str">
        <f>[1]Sheet1!H150</f>
        <v>LAUREATE</v>
      </c>
      <c r="I150" s="228" t="str">
        <f>[1]Sheet1!I150</f>
        <v>Tairi Ruillier- VP Personas y Cultura</v>
      </c>
      <c r="J150" s="228" t="str">
        <f>[1]Sheet1!J150</f>
        <v>Alfredo Ávalos</v>
      </c>
      <c r="K150" s="228"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228" t="str">
        <f>[1]Sheet1!L150</f>
        <v>Carla Arias-Schreiber</v>
      </c>
      <c r="M150" s="229">
        <f>[1]Sheet1!M150</f>
        <v>46387</v>
      </c>
      <c r="N150" s="229" t="str">
        <f>[1]Sheet1!N150</f>
        <v>Si</v>
      </c>
      <c r="O150" s="228" t="str">
        <f>[1]Sheet1!O150</f>
        <v>G&amp;A</v>
      </c>
      <c r="P150" s="228" t="str">
        <f>[1]Sheet1!P150</f>
        <v>77432</v>
      </c>
      <c r="Q150" s="228" t="str">
        <f>[1]Sheet1!Q150</f>
        <v>Otro</v>
      </c>
      <c r="R150" s="228"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228"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228" t="str">
        <f>[1]Sheet1!T150</f>
        <v>GTH - Comunicación Interna</v>
      </c>
      <c r="U150" s="228" t="str">
        <f>[1]Sheet1!U150</f>
        <v>Administrativos</v>
      </c>
      <c r="V150" s="228" t="str">
        <f>[1]Sheet1!V150</f>
        <v>Excelencia operativa</v>
      </c>
      <c r="W150" s="228" t="str">
        <f>[1]Sheet1!W150</f>
        <v>No</v>
      </c>
      <c r="X150" s="228" t="str">
        <f>[1]Sheet1!X150</f>
        <v>Mayor a S/500,000.00</v>
      </c>
      <c r="Y150" s="228" t="str">
        <f>[1]Sheet1!Y150</f>
        <v>Productividad en horas liberadas (4,190)
Mayor foco en análisis creativo y menos en tiempos de operación.
Mejora del tiempo de atención y experiencia del usuario (al evitar reprocesos con un flujo más ágil)</v>
      </c>
      <c r="Z150" s="59" t="str">
        <f>[1]Sheet1!Z150</f>
        <v>https://educorpperu-my.sharepoint.com/personal/diana_zapata_laureate_pe1/_layouts/15/Doc.aspx?sourcedoc=%7B0DB39AB2-E35E-4F2E-A876-2CA76C4F7608%7D&amp;file=LEAN%2BIA_Pitch%20TI_GTH_Nicolas%20Morales%20Chum.pptx&amp;action=edit&amp;mobileredirect=true</v>
      </c>
      <c r="AA150" s="59">
        <f>[1]Sheet1!AA150</f>
        <v>2.6999999999999997</v>
      </c>
    </row>
    <row r="151" spans="1:27" ht="66.75" customHeight="1">
      <c r="A151" s="59">
        <f>[1]Sheet1!A151</f>
        <v>177</v>
      </c>
      <c r="B151" s="227">
        <f>[1]Sheet1!B151</f>
        <v>46168.905266203699</v>
      </c>
      <c r="C151" s="227">
        <f>[1]Sheet1!C151</f>
        <v>46168.9083217593</v>
      </c>
      <c r="D151" s="228" t="str">
        <f>[1]Sheet1!D151</f>
        <v>nicolas.morales@laureate.pe</v>
      </c>
      <c r="E151" s="228" t="str">
        <f>[1]Sheet1!E151</f>
        <v>Nicolas Morales Chumpitaz</v>
      </c>
      <c r="F151" s="228" t="str">
        <f>[1]Sheet1!F151</f>
        <v xml:space="preserve">Solución para categorización y segmentación automática de Tickets. Potenciar chatbot en HCM y escalamiento automático al COE por nivel de consultas y consultas dirigidas a líderes. </v>
      </c>
      <c r="G151" s="228" t="str">
        <f>[1]Sheet1!G151</f>
        <v>Garantizar una atención inmediata, entregando información de precisa, accesible y resolutiva que permita resolver sus necesidades en el menor tiempo posible.</v>
      </c>
      <c r="H151" s="228" t="str">
        <f>[1]Sheet1!H151</f>
        <v>LAUREATE</v>
      </c>
      <c r="I151" s="228" t="str">
        <f>[1]Sheet1!I151</f>
        <v>Tairi Ruillier- VP Personas y Cultura</v>
      </c>
      <c r="J151" s="228" t="str">
        <f>[1]Sheet1!J151</f>
        <v>Alfredo Ávalos</v>
      </c>
      <c r="K151" s="228"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228" t="str">
        <f>[1]Sheet1!L151</f>
        <v>Carla Arias-Schreiber</v>
      </c>
      <c r="M151" s="229">
        <f>[1]Sheet1!M151</f>
        <v>46387</v>
      </c>
      <c r="N151" s="229" t="str">
        <f>[1]Sheet1!N151</f>
        <v>Si</v>
      </c>
      <c r="O151" s="228" t="str">
        <f>[1]Sheet1!O151</f>
        <v>G&amp;A</v>
      </c>
      <c r="P151" s="228" t="str">
        <f>[1]Sheet1!P151</f>
        <v>77432</v>
      </c>
      <c r="Q151" s="228" t="str">
        <f>[1]Sheet1!Q151</f>
        <v>Otro</v>
      </c>
      <c r="R151" s="228"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228"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228" t="str">
        <f>[1]Sheet1!T151</f>
        <v>Atención de consultas de colaboradores - GTH</v>
      </c>
      <c r="U151" s="228" t="str">
        <f>[1]Sheet1!U151</f>
        <v>Administrativos</v>
      </c>
      <c r="V151" s="228" t="str">
        <f>[1]Sheet1!V151</f>
        <v>Excelencia operativa</v>
      </c>
      <c r="W151" s="228" t="str">
        <f>[1]Sheet1!W151</f>
        <v>No</v>
      </c>
      <c r="X151" s="228" t="str">
        <f>[1]Sheet1!X151</f>
        <v>Mayor a S/500,000.00</v>
      </c>
      <c r="Y151" s="228" t="str">
        <f>[1]Sheet1!Y151</f>
        <v>7,298 Horas liberadas anual
Mejora en la experiencia del colaborador
Reducción de SLA.</v>
      </c>
      <c r="Z151" s="59" t="str">
        <f>[1]Sheet1!Z151</f>
        <v>https://educorpperu-my.sharepoint.com/personal/diana_zapata_laureate_pe1/_layouts/15/Doc.aspx?sourcedoc=%7B914F4D00-C724-43CE-B1C4-63B924EC796C%7D&amp;file=LEAN%2BIA_Pitch%20TI_GTH_Nicolas%20Morales%20Chum%201.pptx&amp;action=edit&amp;mobileredirect=true</v>
      </c>
      <c r="AA151" s="59">
        <f>[1]Sheet1!AA151</f>
        <v>2.6999999999999997</v>
      </c>
    </row>
    <row r="152" spans="1:27" ht="45" customHeight="1">
      <c r="A152" s="59">
        <f>[1]Sheet1!A152</f>
        <v>178</v>
      </c>
      <c r="B152" s="227">
        <f>[1]Sheet1!B152</f>
        <v>46168.908391203702</v>
      </c>
      <c r="C152" s="227">
        <f>[1]Sheet1!C152</f>
        <v>46168.918738425898</v>
      </c>
      <c r="D152" s="228" t="str">
        <f>[1]Sheet1!D152</f>
        <v>nicolas.morales@laureate.pe</v>
      </c>
      <c r="E152" s="228" t="str">
        <f>[1]Sheet1!E152</f>
        <v>Nicolas Morales Chumpitaz</v>
      </c>
      <c r="F152" s="228"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228"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228" t="str">
        <f>[1]Sheet1!H152</f>
        <v>UPC</v>
      </c>
      <c r="I152" s="228" t="str">
        <f>[1]Sheet1!I152</f>
        <v>Milagros Morgan - Rectorado UPC</v>
      </c>
      <c r="J152" s="228" t="str">
        <f>[1]Sheet1!J152</f>
        <v>SARA MARIE MILLER</v>
      </c>
      <c r="K152" s="228"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228" t="str">
        <f>[1]Sheet1!L152</f>
        <v>Carla Arias-Schreiber</v>
      </c>
      <c r="M152" s="229">
        <f>[1]Sheet1!M152</f>
        <v>46387</v>
      </c>
      <c r="N152" s="229" t="str">
        <f>[1]Sheet1!N152</f>
        <v>Si</v>
      </c>
      <c r="O152" s="228" t="str">
        <f>[1]Sheet1!O152</f>
        <v>G&amp;A</v>
      </c>
      <c r="P152" s="228" t="str">
        <f>[1]Sheet1!P152</f>
        <v>77544</v>
      </c>
      <c r="Q152" s="228" t="str">
        <f>[1]Sheet1!Q152</f>
        <v>Otro</v>
      </c>
      <c r="R152" s="228"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228"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228" t="str">
        <f>[1]Sheet1!T152</f>
        <v>Programación Horaria WeTalk</v>
      </c>
      <c r="U152" s="228" t="str">
        <f>[1]Sheet1!U152</f>
        <v>Todos</v>
      </c>
      <c r="V152" s="228" t="str">
        <f>[1]Sheet1!V152</f>
        <v>Excelencia operativa</v>
      </c>
      <c r="W152" s="228" t="str">
        <f>[1]Sheet1!W152</f>
        <v>No</v>
      </c>
      <c r="X152" s="228" t="str">
        <f>[1]Sheet1!X152</f>
        <v>Mayor a S/500,000.00</v>
      </c>
      <c r="Y152" s="228" t="str">
        <f>[1]Sheet1!Y152</f>
        <v>Mejora en la experiencia del alumno.
Reducción de un tiempo operativo por demoras en tiempo de respuesta</v>
      </c>
      <c r="Z152" s="59" t="str">
        <f>[1]Sheet1!Z152</f>
        <v>https://educorpperu-my.sharepoint.com/personal/diana_zapata_laureate_pe1/_layouts/15/Doc.aspx?sourcedoc=%7BE24CA149-F959-4495-94B1-7DA6D2881E02%7D&amp;file=LEAN%2BIA_Pitch%20TI_WeTALK_Nicolas%20Morales%20Chum.pptx&amp;action=edit&amp;mobileredirect=true</v>
      </c>
      <c r="AA152" s="59">
        <f>[1]Sheet1!AA152</f>
        <v>3.3</v>
      </c>
    </row>
    <row r="153" spans="1:27" ht="58.5" customHeight="1">
      <c r="A153" s="59">
        <f>[1]Sheet1!A153</f>
        <v>179</v>
      </c>
      <c r="B153" s="227">
        <f>[1]Sheet1!B153</f>
        <v>46168.918796296297</v>
      </c>
      <c r="C153" s="227">
        <f>[1]Sheet1!C153</f>
        <v>46168.924004629604</v>
      </c>
      <c r="D153" s="228" t="str">
        <f>[1]Sheet1!D153</f>
        <v>nicolas.morales@laureate.pe</v>
      </c>
      <c r="E153" s="228" t="str">
        <f>[1]Sheet1!E153</f>
        <v>Nicolas Morales Chumpitaz</v>
      </c>
      <c r="F153" s="228" t="str">
        <f>[1]Sheet1!F153</f>
        <v>Rediseñar proceso PT en instituciones logrando la máxima estandarización, revisión de reglas de negocio, agilidad del proceso mediante la simplificación y soporte de solución tecnológica.</v>
      </c>
      <c r="G153" s="228" t="str">
        <f>[1]Sheet1!G153</f>
        <v>Inscripción y visualización de resultados del PT de forma rápida y sencilla. Tener visibilidad de la información necesaria a lo largo del proceso (estado de trámite)</v>
      </c>
      <c r="H153" s="228" t="str">
        <f>[1]Sheet1!H153</f>
        <v>UPC</v>
      </c>
      <c r="I153" s="228" t="str">
        <f>[1]Sheet1!I153</f>
        <v>Milagros Morgan - Rectorado UPC</v>
      </c>
      <c r="J153" s="228" t="str">
        <f>[1]Sheet1!J153</f>
        <v>SARA MARIE MILLER</v>
      </c>
      <c r="K153" s="228"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228" t="str">
        <f>[1]Sheet1!L153</f>
        <v>Carla Arias-Schreiber</v>
      </c>
      <c r="M153" s="229">
        <f>[1]Sheet1!M153</f>
        <v>46387</v>
      </c>
      <c r="N153" s="229" t="str">
        <f>[1]Sheet1!N153</f>
        <v>Si</v>
      </c>
      <c r="O153" s="228" t="str">
        <f>[1]Sheet1!O153</f>
        <v>G&amp;A</v>
      </c>
      <c r="P153" s="228" t="str">
        <f>[1]Sheet1!P153</f>
        <v>77545</v>
      </c>
      <c r="Q153" s="228" t="str">
        <f>[1]Sheet1!Q153</f>
        <v>Otro</v>
      </c>
      <c r="R153" s="228"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228"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228" t="str">
        <f>[1]Sheet1!T153</f>
        <v>Gestión del Placement Test - WeTalk</v>
      </c>
      <c r="U153" s="228" t="str">
        <f>[1]Sheet1!U153</f>
        <v>Alumnos</v>
      </c>
      <c r="V153" s="228" t="str">
        <f>[1]Sheet1!V153</f>
        <v>Excelencia operativa</v>
      </c>
      <c r="W153" s="228" t="str">
        <f>[1]Sheet1!W153</f>
        <v>No</v>
      </c>
      <c r="X153" s="228" t="str">
        <f>[1]Sheet1!X153</f>
        <v>Mayor a S/500,000.00</v>
      </c>
      <c r="Y153" s="228" t="str">
        <f>[1]Sheet1!Y153</f>
        <v xml:space="preserve">Mejora en la experiencia del alumno
Reducción de un tiempo operativo por demoras en tiempo de respuesta </v>
      </c>
      <c r="Z153" s="59" t="str">
        <f>[1]Sheet1!Z153</f>
        <v>https://educorpperu-my.sharepoint.com/personal/diana_zapata_laureate_pe1/_layouts/15/Doc.aspx?sourcedoc=%7B55AD0853-CF6F-4905-9B9E-EB6839E1FEE6%7D&amp;file=LEAN%2BIA_Pitch%20TI_WeTALK_Nicolas%20Morales%20Chum%201.pptx&amp;action=edit&amp;mobileredirect=true</v>
      </c>
      <c r="AA153" s="59">
        <f>[1]Sheet1!AA153</f>
        <v>3.3</v>
      </c>
    </row>
    <row r="154" spans="1:27" ht="39" customHeight="1">
      <c r="A154" s="59">
        <f>[1]Sheet1!A154</f>
        <v>180</v>
      </c>
      <c r="B154" s="227">
        <f>[1]Sheet1!B154</f>
        <v>46168.924097222203</v>
      </c>
      <c r="C154" s="227">
        <f>[1]Sheet1!C154</f>
        <v>46168.930474537003</v>
      </c>
      <c r="D154" s="228" t="str">
        <f>[1]Sheet1!D154</f>
        <v>nicolas.morales@laureate.pe</v>
      </c>
      <c r="E154" s="228" t="str">
        <f>[1]Sheet1!E154</f>
        <v>Nicolas Morales Chumpitaz</v>
      </c>
      <c r="F154" s="228" t="str">
        <f>[1]Sheet1!F154</f>
        <v>Mejora del proceso de reclutamiento y selección logrando la máxima estandarización, con reglas de negocio claras a fin de tener agilidad del proceso mediante la simplificación y soporte de soluciones tecnológicas.</v>
      </c>
      <c r="G154" s="228" t="str">
        <f>[1]Sheet1!G154</f>
        <v>Obtener el mejor candidato, según el perfil indicado, en el menor tiempo posible y mantenerlo informado a lo largo del proceso.</v>
      </c>
      <c r="H154" s="228" t="str">
        <f>[1]Sheet1!H154</f>
        <v>UPC</v>
      </c>
      <c r="I154" s="228" t="str">
        <f>[1]Sheet1!I154</f>
        <v>Milagros Morgan - Rectorado UPC</v>
      </c>
      <c r="J154" s="228" t="str">
        <f>[1]Sheet1!J154</f>
        <v>SARA MARIE MILLER</v>
      </c>
      <c r="K154" s="228"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228" t="str">
        <f>[1]Sheet1!L154</f>
        <v>Carla Arias-Schreiber</v>
      </c>
      <c r="M154" s="229">
        <f>[1]Sheet1!M154</f>
        <v>46387</v>
      </c>
      <c r="N154" s="229" t="str">
        <f>[1]Sheet1!N154</f>
        <v>Si</v>
      </c>
      <c r="O154" s="228" t="str">
        <f>[1]Sheet1!O154</f>
        <v>G&amp;A</v>
      </c>
      <c r="P154" s="228" t="str">
        <f>[1]Sheet1!P154</f>
        <v>77546</v>
      </c>
      <c r="Q154" s="228" t="str">
        <f>[1]Sheet1!Q154</f>
        <v>Otro</v>
      </c>
      <c r="R154" s="228"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228"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228" t="str">
        <f>[1]Sheet1!T154</f>
        <v>Reclutamiento y Selección Docente - WeTalk</v>
      </c>
      <c r="U154" s="228" t="str">
        <f>[1]Sheet1!U154</f>
        <v>Administrativos</v>
      </c>
      <c r="V154" s="228" t="str">
        <f>[1]Sheet1!V154</f>
        <v>Excelencia operativa</v>
      </c>
      <c r="W154" s="228" t="str">
        <f>[1]Sheet1!W154</f>
        <v>No</v>
      </c>
      <c r="X154" s="228" t="str">
        <f>[1]Sheet1!X154</f>
        <v>Mayor a S/500,000.00</v>
      </c>
      <c r="Y154" s="228" t="str">
        <f>[1]Sheet1!Y154</f>
        <v>Mejora en la experiencia del docente
Optimización de tiempos en actividades
Anulación de duplicidad de tareas
Reducción de tiempo de espera de resultados de otras áreas.​</v>
      </c>
      <c r="Z154" s="59" t="str">
        <f>[1]Sheet1!Z154</f>
        <v>https://educorpperu-my.sharepoint.com/personal/diana_zapata_laureate_pe1/_layouts/15/Doc.aspx?sourcedoc=%7BBE2800F0-66FF-45BC-9415-61A7A98BD4F1%7D&amp;file=LEAN%2BIA_Pitch%20TI_WeTALK_Nicolas%20Morales%20Chum%202.pptx&amp;action=edit&amp;mobileredirect=true</v>
      </c>
      <c r="AA154" s="59">
        <f>[1]Sheet1!AA154</f>
        <v>2.6999999999999997</v>
      </c>
    </row>
    <row r="155" spans="1:27" ht="45" customHeight="1">
      <c r="A155" s="59">
        <f>[1]Sheet1!A155</f>
        <v>181</v>
      </c>
      <c r="B155" s="227">
        <f>[1]Sheet1!B155</f>
        <v>46169.490057870396</v>
      </c>
      <c r="C155" s="227">
        <f>[1]Sheet1!C155</f>
        <v>46169.525347222203</v>
      </c>
      <c r="D155" s="228" t="str">
        <f>[1]Sheet1!D155</f>
        <v>carlos.sanchez@laureate.pe</v>
      </c>
      <c r="E155" s="228" t="str">
        <f>[1]Sheet1!E155</f>
        <v>Carlos Sanchez Rubio</v>
      </c>
      <c r="F155" s="228" t="str">
        <f>[1]Sheet1!F155</f>
        <v>Microsegmentación / Nanosegmentación de Aplicaciones Críticas</v>
      </c>
      <c r="G155" s="228"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228" t="str">
        <f>[1]Sheet1!H155</f>
        <v>CORPORATIVO</v>
      </c>
      <c r="I155" s="228" t="str">
        <f>[1]Sheet1!I155</f>
        <v>Martin Fienkeng - CISO/CIO Corp</v>
      </c>
      <c r="J155" s="228" t="str">
        <f>[1]Sheet1!J155</f>
        <v>Carlos Sanchez Rubio</v>
      </c>
      <c r="K155" s="228" t="str">
        <f>[1]Sheet1!K155</f>
        <v>https://educorpperu-my.sharepoint.com/personal/diana_zapata_laureate_pe1/Documents/Aplicaciones/Microsoft%20Forms/REGISTRO%20DE%20INICIATIVAS%20-%20GESTI%C3%93N%20DE%20LA%20DEMANDA%20(2%201/Pregunta/Implementaci%C3%B3n%20Microsegmentaci%C3%B3n%20Illumio_Carlos%20Sanchez%20Rubio.pdf</v>
      </c>
      <c r="L155" s="228" t="str">
        <f>[1]Sheet1!L155</f>
        <v>Ninguno</v>
      </c>
      <c r="M155" s="229">
        <f>[1]Sheet1!M155</f>
        <v>46356</v>
      </c>
      <c r="N155" s="229" t="str">
        <f>[1]Sheet1!N155</f>
        <v>No</v>
      </c>
      <c r="O155" s="228">
        <f>[1]Sheet1!O155</f>
        <v>0</v>
      </c>
      <c r="P155" s="228">
        <f>[1]Sheet1!P155</f>
        <v>0</v>
      </c>
      <c r="Q155" s="228" t="str">
        <f>[1]Sheet1!Q155</f>
        <v>Seguridad de la información</v>
      </c>
      <c r="R155" s="228"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228" t="str">
        <f>[1]Sheet1!S155</f>
        <v>Las aplicaciones críticas deben operar con reglas de comunicación mínimas necesarias, controladas a nivel granular, permitiendo únicamente el tráfico explícitamente autorizado entre componentes.</v>
      </c>
      <c r="T155" s="228" t="str">
        <f>[1]Sheet1!T155</f>
        <v xml:space="preserve">Aplicaciones y Sistemas - Soluciones de Finanzas y BackOffice
Aplicaciones en alcance:
- ASBANC UPC
- ASBANC CIB
- ASBANC UPN
- Spring UPC
- Spring CIB
- Peoplesoft HCM
- Peoplesoft 9.2
- Facturación Electrónica
</v>
      </c>
      <c r="U155" s="228" t="str">
        <f>[1]Sheet1!U155</f>
        <v>Todos</v>
      </c>
      <c r="V155" s="228" t="str">
        <f>[1]Sheet1!V155</f>
        <v>Excelencia operativa</v>
      </c>
      <c r="W155" s="228" t="str">
        <f>[1]Sheet1!W155</f>
        <v>No</v>
      </c>
      <c r="X155" s="228" t="str">
        <f>[1]Sheet1!X155</f>
        <v>Mayor a S/500,000.00</v>
      </c>
      <c r="Y155" s="228"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59"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59">
        <f>[1]Sheet1!AA155</f>
        <v>2.7</v>
      </c>
    </row>
    <row r="156" spans="1:27" ht="44.25" customHeight="1">
      <c r="A156" s="59">
        <f>[1]Sheet1!A156</f>
        <v>182</v>
      </c>
      <c r="B156" s="227">
        <f>[1]Sheet1!B156</f>
        <v>46169.525393518503</v>
      </c>
      <c r="C156" s="227">
        <f>[1]Sheet1!C156</f>
        <v>46169.526678240698</v>
      </c>
      <c r="D156" s="228" t="str">
        <f>[1]Sheet1!D156</f>
        <v>carlos.sanchez@laureate.pe</v>
      </c>
      <c r="E156" s="228" t="str">
        <f>[1]Sheet1!E156</f>
        <v>Carlos Sanchez Rubio</v>
      </c>
      <c r="F156" s="228" t="str">
        <f>[1]Sheet1!F156</f>
        <v>Microsegmentación / Nanosegmentación de Aplicaciones Críticas</v>
      </c>
      <c r="G156" s="228"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228" t="str">
        <f>[1]Sheet1!H156</f>
        <v>CORPORATIVO</v>
      </c>
      <c r="I156" s="228" t="str">
        <f>[1]Sheet1!I156</f>
        <v>Martin Fienkeng - CISO/CIO Corp</v>
      </c>
      <c r="J156" s="228" t="str">
        <f>[1]Sheet1!J156</f>
        <v>Carlos Sanchez Rubio</v>
      </c>
      <c r="K156" s="228"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228" t="str">
        <f>[1]Sheet1!L156</f>
        <v>Ninguno</v>
      </c>
      <c r="M156" s="229">
        <f>[1]Sheet1!M156</f>
        <v>46356</v>
      </c>
      <c r="N156" s="229" t="str">
        <f>[1]Sheet1!N156</f>
        <v>No</v>
      </c>
      <c r="O156" s="228">
        <f>[1]Sheet1!O156</f>
        <v>0</v>
      </c>
      <c r="P156" s="228">
        <f>[1]Sheet1!P156</f>
        <v>0</v>
      </c>
      <c r="Q156" s="228" t="str">
        <f>[1]Sheet1!Q156</f>
        <v>Seguridad de la información</v>
      </c>
      <c r="R156" s="228"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228" t="str">
        <f>[1]Sheet1!S156</f>
        <v>Las aplicaciones críticas deben operar con reglas de comunicación mínimas necesarias, controladas a nivel granular, permitiendo únicamente el tráfico explícitamente autorizado entre componentes.</v>
      </c>
      <c r="T156" s="228" t="str">
        <f>[1]Sheet1!T156</f>
        <v xml:space="preserve">Aplicaciones y Sistemas - Soluciones de Gestión Académica
Aplicaciones en alcance:
- Banner UPN
- Banner UPC
- Banner CIB
- Socrates UPC
- Socrates CIB
</v>
      </c>
      <c r="U156" s="228" t="str">
        <f>[1]Sheet1!U156</f>
        <v>Todos</v>
      </c>
      <c r="V156" s="228" t="str">
        <f>[1]Sheet1!V156</f>
        <v>Excelencia operativa</v>
      </c>
      <c r="W156" s="228" t="str">
        <f>[1]Sheet1!W156</f>
        <v>No</v>
      </c>
      <c r="X156" s="228" t="str">
        <f>[1]Sheet1!X156</f>
        <v>Mayor a S/500,000.00</v>
      </c>
      <c r="Y156" s="228"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59"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59">
        <f>[1]Sheet1!AA156</f>
        <v>2.7</v>
      </c>
    </row>
    <row r="157" spans="1:27" ht="57" customHeight="1">
      <c r="A157" s="59">
        <f>[1]Sheet1!A157</f>
        <v>183</v>
      </c>
      <c r="B157" s="227">
        <f>[1]Sheet1!B157</f>
        <v>46169.526724536998</v>
      </c>
      <c r="C157" s="227">
        <f>[1]Sheet1!C157</f>
        <v>46169.527997685203</v>
      </c>
      <c r="D157" s="228" t="str">
        <f>[1]Sheet1!D157</f>
        <v>carlos.sanchez@laureate.pe</v>
      </c>
      <c r="E157" s="228" t="str">
        <f>[1]Sheet1!E157</f>
        <v>Carlos Sanchez Rubio</v>
      </c>
      <c r="F157" s="228" t="str">
        <f>[1]Sheet1!F157</f>
        <v>Microsegmentación / Nanosegmentación de Aplicaciones Críticas</v>
      </c>
      <c r="G157" s="228"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228" t="str">
        <f>[1]Sheet1!H157</f>
        <v>CORPORATIVO</v>
      </c>
      <c r="I157" s="228" t="str">
        <f>[1]Sheet1!I157</f>
        <v>Martin Fienkeng - CISO/CIO Corp</v>
      </c>
      <c r="J157" s="228" t="str">
        <f>[1]Sheet1!J157</f>
        <v>Carlos Sanchez Rubio</v>
      </c>
      <c r="K157" s="228"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228" t="str">
        <f>[1]Sheet1!L157</f>
        <v>Ninguno</v>
      </c>
      <c r="M157" s="229">
        <f>[1]Sheet1!M157</f>
        <v>46356</v>
      </c>
      <c r="N157" s="229" t="str">
        <f>[1]Sheet1!N157</f>
        <v>No</v>
      </c>
      <c r="O157" s="228">
        <f>[1]Sheet1!O157</f>
        <v>0</v>
      </c>
      <c r="P157" s="228">
        <f>[1]Sheet1!P157</f>
        <v>0</v>
      </c>
      <c r="Q157" s="228" t="str">
        <f>[1]Sheet1!Q157</f>
        <v>Seguridad de la información</v>
      </c>
      <c r="R157" s="228"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228" t="str">
        <f>[1]Sheet1!S157</f>
        <v>Las aplicaciones críticas deben operar con reglas de comunicación mínimas necesarias, controladas a nivel granular, permitiendo únicamente el tráfico explícitamente autorizado entre componentes.</v>
      </c>
      <c r="T157" s="228" t="str">
        <f>[1]Sheet1!T157</f>
        <v xml:space="preserve">Aplicaciones y Sistemas - Soluciones de Relacionamiento
Aplicaciones en alcance:
- CRM UPC
- CRM UPN
- CRM Cibertec
</v>
      </c>
      <c r="U157" s="228" t="str">
        <f>[1]Sheet1!U157</f>
        <v>Todos</v>
      </c>
      <c r="V157" s="228" t="str">
        <f>[1]Sheet1!V157</f>
        <v>Excelencia operativa</v>
      </c>
      <c r="W157" s="228" t="str">
        <f>[1]Sheet1!W157</f>
        <v>No</v>
      </c>
      <c r="X157" s="228" t="str">
        <f>[1]Sheet1!X157</f>
        <v>Mayor a S/500,000.00</v>
      </c>
      <c r="Y157" s="228"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59"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59">
        <f>[1]Sheet1!AA157</f>
        <v>2.7</v>
      </c>
    </row>
    <row r="158" spans="1:27" ht="67.5" customHeight="1">
      <c r="A158" s="59">
        <f>[1]Sheet1!A158</f>
        <v>184</v>
      </c>
      <c r="B158" s="227">
        <f>[1]Sheet1!B158</f>
        <v>46169.528136574103</v>
      </c>
      <c r="C158" s="227">
        <f>[1]Sheet1!C158</f>
        <v>46169.529490740701</v>
      </c>
      <c r="D158" s="228" t="str">
        <f>[1]Sheet1!D158</f>
        <v>carlos.sanchez@laureate.pe</v>
      </c>
      <c r="E158" s="228" t="str">
        <f>[1]Sheet1!E158</f>
        <v>Carlos Sanchez Rubio</v>
      </c>
      <c r="F158" s="228" t="str">
        <f>[1]Sheet1!F158</f>
        <v>Microsegmentación / Nanosegmentación de Aplicaciones Críticas</v>
      </c>
      <c r="G158" s="228"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228" t="str">
        <f>[1]Sheet1!H158</f>
        <v>CORPORATIVO</v>
      </c>
      <c r="I158" s="228" t="str">
        <f>[1]Sheet1!I158</f>
        <v>Martin Fienkeng - CISO/CIO Corp</v>
      </c>
      <c r="J158" s="228" t="str">
        <f>[1]Sheet1!J158</f>
        <v>Carlos Sanchez Rubio</v>
      </c>
      <c r="K158" s="228"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228" t="str">
        <f>[1]Sheet1!L158</f>
        <v>Ninguno</v>
      </c>
      <c r="M158" s="229">
        <f>[1]Sheet1!M158</f>
        <v>46356</v>
      </c>
      <c r="N158" s="229" t="str">
        <f>[1]Sheet1!N158</f>
        <v>No</v>
      </c>
      <c r="O158" s="228">
        <f>[1]Sheet1!O158</f>
        <v>0</v>
      </c>
      <c r="P158" s="228">
        <f>[1]Sheet1!P158</f>
        <v>0</v>
      </c>
      <c r="Q158" s="228" t="str">
        <f>[1]Sheet1!Q158</f>
        <v>Seguridad de la información</v>
      </c>
      <c r="R158" s="228"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228" t="str">
        <f>[1]Sheet1!S158</f>
        <v>Las aplicaciones críticas deben operar con reglas de comunicación mínimas necesarias, controladas a nivel granular, permitiendo únicamente el tráfico explícitamente autorizado entre componentes.</v>
      </c>
      <c r="T158" s="228" t="str">
        <f>[1]Sheet1!T158</f>
        <v xml:space="preserve">Aplicaciones y Sistemas - Soluciones LMS y Otros Servicios Académicos
Aplicaciones en alcance:
- Smile UPN
- Smile UPC
</v>
      </c>
      <c r="U158" s="228" t="str">
        <f>[1]Sheet1!U158</f>
        <v>Todos</v>
      </c>
      <c r="V158" s="228" t="str">
        <f>[1]Sheet1!V158</f>
        <v>Excelencia operativa</v>
      </c>
      <c r="W158" s="228" t="str">
        <f>[1]Sheet1!W158</f>
        <v>No</v>
      </c>
      <c r="X158" s="228" t="str">
        <f>[1]Sheet1!X158</f>
        <v>Mayor a S/500,000.00</v>
      </c>
      <c r="Y158" s="228"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59"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59">
        <f>[1]Sheet1!AA158</f>
        <v>2.7</v>
      </c>
    </row>
    <row r="159" spans="1:27" ht="33" customHeight="1">
      <c r="A159" s="59">
        <f>[1]Sheet1!A159</f>
        <v>185</v>
      </c>
      <c r="B159" s="227">
        <f>[1]Sheet1!B159</f>
        <v>46169.529664351903</v>
      </c>
      <c r="C159" s="227">
        <f>[1]Sheet1!C159</f>
        <v>46169.532025462999</v>
      </c>
      <c r="D159" s="228" t="str">
        <f>[1]Sheet1!D159</f>
        <v>carlos.sanchez@laureate.pe</v>
      </c>
      <c r="E159" s="228" t="str">
        <f>[1]Sheet1!E159</f>
        <v>Carlos Sanchez Rubio</v>
      </c>
      <c r="F159" s="228" t="str">
        <f>[1]Sheet1!F159</f>
        <v>Microsegmentación / Nanosegmentación de Aplicaciones Críticas</v>
      </c>
      <c r="G159" s="228"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228" t="str">
        <f>[1]Sheet1!H159</f>
        <v>CORPORATIVO</v>
      </c>
      <c r="I159" s="228" t="str">
        <f>[1]Sheet1!I159</f>
        <v>Martin Fienkeng - CISO/CIO Corp</v>
      </c>
      <c r="J159" s="228" t="str">
        <f>[1]Sheet1!J159</f>
        <v>Carlos Sanchez Rubio</v>
      </c>
      <c r="K159" s="228"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228" t="str">
        <f>[1]Sheet1!L159</f>
        <v>Ninguno</v>
      </c>
      <c r="M159" s="229">
        <f>[1]Sheet1!M159</f>
        <v>46356</v>
      </c>
      <c r="N159" s="229" t="str">
        <f>[1]Sheet1!N159</f>
        <v>No</v>
      </c>
      <c r="O159" s="228">
        <f>[1]Sheet1!O159</f>
        <v>0</v>
      </c>
      <c r="P159" s="228">
        <f>[1]Sheet1!P159</f>
        <v>0</v>
      </c>
      <c r="Q159" s="228" t="str">
        <f>[1]Sheet1!Q159</f>
        <v>Seguridad de la información</v>
      </c>
      <c r="R159" s="228"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228" t="str">
        <f>[1]Sheet1!S159</f>
        <v>Las aplicaciones críticas deben operar con reglas de comunicación mínimas necesarias, controladas a nivel granular, permitiendo únicamente el tráfico explícitamente autorizado entre componentes.</v>
      </c>
      <c r="T159" s="228" t="str">
        <f>[1]Sheet1!T159</f>
        <v>Infraestructura
Aplicaciones en alcance:
- Active Directories</v>
      </c>
      <c r="U159" s="228" t="str">
        <f>[1]Sheet1!U159</f>
        <v>Todos</v>
      </c>
      <c r="V159" s="228" t="str">
        <f>[1]Sheet1!V159</f>
        <v>Excelencia operativa</v>
      </c>
      <c r="W159" s="228" t="str">
        <f>[1]Sheet1!W159</f>
        <v>No</v>
      </c>
      <c r="X159" s="228" t="str">
        <f>[1]Sheet1!X159</f>
        <v>Mayor a S/500,000.00</v>
      </c>
      <c r="Y159" s="228"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59"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59">
        <f>[1]Sheet1!AA159</f>
        <v>2.7</v>
      </c>
    </row>
    <row r="160" spans="1:27" ht="48" customHeight="1">
      <c r="A160" s="59">
        <f>[1]Sheet1!A160</f>
        <v>186</v>
      </c>
      <c r="B160" s="227">
        <f>[1]Sheet1!B160</f>
        <v>46169.532071759299</v>
      </c>
      <c r="C160" s="227">
        <f>[1]Sheet1!C160</f>
        <v>46169.533449074101</v>
      </c>
      <c r="D160" s="228" t="str">
        <f>[1]Sheet1!D160</f>
        <v>carlos.sanchez@laureate.pe</v>
      </c>
      <c r="E160" s="228" t="str">
        <f>[1]Sheet1!E160</f>
        <v>Carlos Sanchez Rubio</v>
      </c>
      <c r="F160" s="228" t="str">
        <f>[1]Sheet1!F160</f>
        <v>Microsegmentación / Nanosegmentación de Aplicaciones Críticas</v>
      </c>
      <c r="G160" s="228"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228" t="str">
        <f>[1]Sheet1!H160</f>
        <v>CORPORATIVO</v>
      </c>
      <c r="I160" s="228" t="str">
        <f>[1]Sheet1!I160</f>
        <v>Martin Fienkeng - CISO/CIO Corp</v>
      </c>
      <c r="J160" s="228" t="str">
        <f>[1]Sheet1!J160</f>
        <v>Carlos Sanchez Rubio</v>
      </c>
      <c r="K160" s="228"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228" t="str">
        <f>[1]Sheet1!L160</f>
        <v>Ninguno</v>
      </c>
      <c r="M160" s="229">
        <f>[1]Sheet1!M160</f>
        <v>46356</v>
      </c>
      <c r="N160" s="229" t="str">
        <f>[1]Sheet1!N160</f>
        <v>No</v>
      </c>
      <c r="O160" s="228">
        <f>[1]Sheet1!O160</f>
        <v>0</v>
      </c>
      <c r="P160" s="228">
        <f>[1]Sheet1!P160</f>
        <v>0</v>
      </c>
      <c r="Q160" s="228" t="str">
        <f>[1]Sheet1!Q160</f>
        <v>Seguridad de la información</v>
      </c>
      <c r="R160" s="228"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228" t="str">
        <f>[1]Sheet1!S160</f>
        <v>Las aplicaciones críticas deben operar con reglas de comunicación mínimas necesarias, controladas a nivel granular, permitiendo únicamente el tráfico explícitamente autorizado entre componentes.</v>
      </c>
      <c r="T160" s="228" t="str">
        <f>[1]Sheet1!T160</f>
        <v>Arquitectura Empresarial
Aplicaciones en alcance:
- Bus de Integración</v>
      </c>
      <c r="U160" s="228" t="str">
        <f>[1]Sheet1!U160</f>
        <v>Todos</v>
      </c>
      <c r="V160" s="228" t="str">
        <f>[1]Sheet1!V160</f>
        <v>Excelencia operativa</v>
      </c>
      <c r="W160" s="228" t="str">
        <f>[1]Sheet1!W160</f>
        <v>No</v>
      </c>
      <c r="X160" s="228" t="str">
        <f>[1]Sheet1!X160</f>
        <v>Mayor a S/500,000.00</v>
      </c>
      <c r="Y160" s="228"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59"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59">
        <f>[1]Sheet1!AA160</f>
        <v>2.7</v>
      </c>
    </row>
    <row r="161" spans="1:27" ht="41.25" customHeight="1">
      <c r="A161" s="59">
        <f>[1]Sheet1!A161</f>
        <v>187</v>
      </c>
      <c r="B161" s="227">
        <f>[1]Sheet1!B161</f>
        <v>46169.536921296298</v>
      </c>
      <c r="C161" s="227">
        <f>[1]Sheet1!C161</f>
        <v>46169.538877314801</v>
      </c>
      <c r="D161" s="228" t="str">
        <f>[1]Sheet1!D161</f>
        <v>davies.galdos@laureate.pe</v>
      </c>
      <c r="E161" s="228" t="str">
        <f>[1]Sheet1!E161</f>
        <v>Davies Galdos Yactayo</v>
      </c>
      <c r="F161" s="228" t="str">
        <f>[1]Sheet1!F161</f>
        <v>[23] Información para el seguimiento de ingreso de evaluaciones</v>
      </c>
      <c r="G161" s="228"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228" t="str">
        <f>[1]Sheet1!H161</f>
        <v>UPC</v>
      </c>
      <c r="I161" s="228" t="str">
        <f>[1]Sheet1!I161</f>
        <v>Milagros Morgan - Rectorado UPC</v>
      </c>
      <c r="J161" s="228" t="str">
        <f>[1]Sheet1!J161</f>
        <v>Miguel Chang</v>
      </c>
      <c r="K161" s="228" t="str">
        <f>[1]Sheet1!K161</f>
        <v>https://educorpperu-my.sharepoint.com/personal/diana_zapata_laureate_pe1/Documents/Aplicaciones/Microsoft%20Forms/REGISTRO%20DE%20INICIATIVAS%20-%20GESTI%C3%93N%20DE%20LA%20DEMANDA%20(2%201/Pregunta/Aprobaci%C3%B3n%20Miguel_Requerimientos%20SisAcaUPC_Davies%20Galdos%20Yactay.pdf</v>
      </c>
      <c r="L161" s="228" t="str">
        <f>[1]Sheet1!L161</f>
        <v>Ninguno</v>
      </c>
      <c r="M161" s="229">
        <f>[1]Sheet1!M161</f>
        <v>46239</v>
      </c>
      <c r="N161" s="229" t="str">
        <f>[1]Sheet1!N161</f>
        <v>No</v>
      </c>
      <c r="O161" s="228">
        <f>[1]Sheet1!O161</f>
        <v>0</v>
      </c>
      <c r="P161" s="228">
        <f>[1]Sheet1!P161</f>
        <v>0</v>
      </c>
      <c r="Q161" s="228" t="str">
        <f>[1]Sheet1!Q161</f>
        <v>Otro</v>
      </c>
      <c r="R161" s="228" t="str">
        <f>[1]Sheet1!R161</f>
        <v>Actualmente, los estudiantes y la institución enfrentan dificultades para gestionar cambios académicos, financieros y administrativos de manera eficiente, afectando la experiencia del estudiante y la gestión interna.</v>
      </c>
      <c r="S161" s="228" t="str">
        <f>[1]Sheet1!S161</f>
        <v>Ver archivo adjunto con información del requerimiento. Link: https://educorpperu.sharepoint.com/:x:/s/Repositorio_EquipoCentral/dit/portafoliosyp/IQBPjj-nPuoDQbtwySJjx2sbAR4Cx0FwHcOnpoZf6N5wGdw?e=Qxpak7</v>
      </c>
      <c r="T161" s="228" t="str">
        <f>[1]Sheet1!T161</f>
        <v>Ver archivo adjunto con información del requerimiento. Link: https://educorpperu.sharepoint.com/:x:/s/Repositorio_EquipoCentral/dit/portafoliosyp/IQBPjj-nPuoDQbtwySJjx2sbAR4Cx0FwHcOnpoZf6N5wGdw?e=Qxpak7</v>
      </c>
      <c r="U161" s="228" t="str">
        <f>[1]Sheet1!U161</f>
        <v>Alumnos</v>
      </c>
      <c r="V161" s="228" t="str">
        <f>[1]Sheet1!V161</f>
        <v>Excelencia operativa</v>
      </c>
      <c r="W161" s="228" t="str">
        <f>[1]Sheet1!W161</f>
        <v>Si</v>
      </c>
      <c r="X161" s="228" t="str">
        <f>[1]Sheet1!X161</f>
        <v>No cuantificado o S/0</v>
      </c>
      <c r="Y161" s="228"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59"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59">
        <f>[1]Sheet1!AA161</f>
        <v>1.2000000000000002</v>
      </c>
    </row>
    <row r="162" spans="1:27" ht="122.25" customHeight="1">
      <c r="A162" s="59">
        <f>[1]Sheet1!A162</f>
        <v>188</v>
      </c>
      <c r="B162" s="227">
        <f>[1]Sheet1!B162</f>
        <v>46169.524259259299</v>
      </c>
      <c r="C162" s="227">
        <f>[1]Sheet1!C162</f>
        <v>46169.550127314797</v>
      </c>
      <c r="D162" s="228" t="str">
        <f>[1]Sheet1!D162</f>
        <v>pamela.espinoza@laureate.pe</v>
      </c>
      <c r="E162" s="228" t="str">
        <f>[1]Sheet1!E162</f>
        <v>Pamela Carolina Espinoza Tavera</v>
      </c>
      <c r="F162" s="228" t="str">
        <f>[1]Sheet1!F162</f>
        <v xml:space="preserve">Automatización de Autorización de acceso a Banco de DP </v>
      </c>
      <c r="G162" s="228"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228" t="str">
        <f>[1]Sheet1!H162</f>
        <v>LAUREATE</v>
      </c>
      <c r="I162" s="228" t="str">
        <f>[1]Sheet1!I162</f>
        <v>Rossina Caballero - VP Legal</v>
      </c>
      <c r="J162" s="228" t="str">
        <f>[1]Sheet1!J162</f>
        <v>Pamela Espinoza Tavera</v>
      </c>
      <c r="K162" s="228"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228" t="str">
        <f>[1]Sheet1!L162</f>
        <v>Franco Vera</v>
      </c>
      <c r="M162" s="229">
        <f>[1]Sheet1!M162</f>
        <v>46203</v>
      </c>
      <c r="N162" s="229" t="str">
        <f>[1]Sheet1!N162</f>
        <v>No</v>
      </c>
      <c r="O162" s="228">
        <f>[1]Sheet1!O162</f>
        <v>0</v>
      </c>
      <c r="P162" s="228">
        <f>[1]Sheet1!P162</f>
        <v>0</v>
      </c>
      <c r="Q162" s="228" t="str">
        <f>[1]Sheet1!Q162</f>
        <v>Compliance</v>
      </c>
      <c r="R162" s="228"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228"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228" t="str">
        <f>[1]Sheet1!T162</f>
        <v>1. Ética y compliance (nosotros)
2. Data &amp; BI
3. Academia de las 3 instituciones
4. TI de las 3 instituciones</v>
      </c>
      <c r="U162" s="228" t="str">
        <f>[1]Sheet1!U162</f>
        <v>Todos</v>
      </c>
      <c r="V162" s="228" t="str">
        <f>[1]Sheet1!V162</f>
        <v>Excelencia operativa</v>
      </c>
      <c r="W162" s="228" t="str">
        <f>[1]Sheet1!W162</f>
        <v>No</v>
      </c>
      <c r="X162" s="228" t="str">
        <f>[1]Sheet1!X162</f>
        <v>No cuantificado o S/0</v>
      </c>
      <c r="Y162" s="228"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59"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59">
        <f>[1]Sheet1!AA162</f>
        <v>2.0999999999999996</v>
      </c>
    </row>
    <row r="163" spans="1:27" ht="18.600000000000001" customHeight="1">
      <c r="A163" s="59">
        <f>[1]Sheet1!A163</f>
        <v>189</v>
      </c>
      <c r="B163" s="227">
        <f>[1]Sheet1!B163</f>
        <v>46169.635381944398</v>
      </c>
      <c r="C163" s="227">
        <f>[1]Sheet1!C163</f>
        <v>46169.641215277799</v>
      </c>
      <c r="D163" s="228" t="str">
        <f>[1]Sheet1!D163</f>
        <v>davies.galdos@laureate.pe</v>
      </c>
      <c r="E163" s="228" t="str">
        <f>[1]Sheet1!E163</f>
        <v>Davies Galdos Yactayo</v>
      </c>
      <c r="F163" s="228" t="str">
        <f>[1]Sheet1!F163</f>
        <v xml:space="preserve">[202] Formulario online de reclamos y/o denuncias Defensoria Universitaria </v>
      </c>
      <c r="G163" s="228"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228" t="str">
        <f>[1]Sheet1!H163</f>
        <v>UPC</v>
      </c>
      <c r="I163" s="228" t="str">
        <f>[1]Sheet1!I163</f>
        <v>Milagros Morgan - Rectorado UPC</v>
      </c>
      <c r="J163" s="228" t="str">
        <f>[1]Sheet1!J163</f>
        <v>Diego Vega Casto - Sayan</v>
      </c>
      <c r="K163" s="228"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228" t="str">
        <f>[1]Sheet1!L163</f>
        <v>Ninguno</v>
      </c>
      <c r="M163" s="229">
        <f>[1]Sheet1!M163</f>
        <v>46235</v>
      </c>
      <c r="N163" s="229" t="str">
        <f>[1]Sheet1!N163</f>
        <v>No</v>
      </c>
      <c r="O163" s="228">
        <f>[1]Sheet1!O163</f>
        <v>0</v>
      </c>
      <c r="P163" s="228">
        <f>[1]Sheet1!P163</f>
        <v>0</v>
      </c>
      <c r="Q163" s="228" t="str">
        <f>[1]Sheet1!Q163</f>
        <v>Otro</v>
      </c>
      <c r="R163" s="228" t="str">
        <f>[1]Sheet1!R163</f>
        <v>Actualmente, los estudiantes y la institución enfrentan dificultades para gestionar cambios académicos, financieros y administrativos de manera eficiente, afectando la experiencia del estudiante y la gestión interna.</v>
      </c>
      <c r="S163" s="228" t="str">
        <f>[1]Sheet1!S163</f>
        <v>Ver archivo adjunto con información del requerimiento. Link: https://educorpperu.sharepoint.com/:x:/s/Repositorio_EquipoCentral/dit/portafoliosyp/IQBPjj-nPuoDQbtwySJjx2sbAR4Cx0FwHcOnpoZf6N5wGdw?e=Qxpak7</v>
      </c>
      <c r="T163" s="228" t="str">
        <f>[1]Sheet1!T163</f>
        <v>Ver archivo adjunto con información del requerimiento. Link: https://educorpperu.sharepoint.com/:x:/s/Repositorio_EquipoCentral/dit/portafoliosyp/IQBPjj-nPuoDQbtwySJjx2sbAR4Cx0FwHcOnpoZf6N5wGdw?e=Qxpak7</v>
      </c>
      <c r="U163" s="228" t="str">
        <f>[1]Sheet1!U163</f>
        <v>Alumnos</v>
      </c>
      <c r="V163" s="228" t="str">
        <f>[1]Sheet1!V163</f>
        <v>Excelencia operativa</v>
      </c>
      <c r="W163" s="228" t="str">
        <f>[1]Sheet1!W163</f>
        <v>Si</v>
      </c>
      <c r="X163" s="228" t="str">
        <f>[1]Sheet1!X163</f>
        <v>No cuantificado o S/0</v>
      </c>
      <c r="Y163" s="228"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59"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59">
        <f>[1]Sheet1!AA163</f>
        <v>1.2000000000000002</v>
      </c>
    </row>
    <row r="164" spans="1:27" ht="18.600000000000001" customHeight="1">
      <c r="A164" s="59">
        <f>[1]Sheet1!A164</f>
        <v>190</v>
      </c>
      <c r="B164" s="227">
        <f>[1]Sheet1!B164</f>
        <v>46169.652569444399</v>
      </c>
      <c r="C164" s="227">
        <f>[1]Sheet1!C164</f>
        <v>46169.658240740697</v>
      </c>
      <c r="D164" s="228" t="str">
        <f>[1]Sheet1!D164</f>
        <v>renzo.saenz@laureate.pe</v>
      </c>
      <c r="E164" s="228" t="str">
        <f>[1]Sheet1!E164</f>
        <v>Renzo Sáenz Dávila</v>
      </c>
      <c r="F164" s="228" t="str">
        <f>[1]Sheet1!F164</f>
        <v>[47] Finanzas: Proceso de reversas</v>
      </c>
      <c r="G164" s="228"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228" t="str">
        <f>[1]Sheet1!H164</f>
        <v>UPC</v>
      </c>
      <c r="I164" s="228" t="str">
        <f>[1]Sheet1!I164</f>
        <v>Alex Pendavis - VP Finanzas</v>
      </c>
      <c r="J164" s="228" t="str">
        <f>[1]Sheet1!J164</f>
        <v>Rafael Andrade</v>
      </c>
      <c r="K164" s="228"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228" t="str">
        <f>[1]Sheet1!L164</f>
        <v>Ninguno</v>
      </c>
      <c r="M164" s="229">
        <f>[1]Sheet1!M164</f>
        <v>46234</v>
      </c>
      <c r="N164" s="229" t="str">
        <f>[1]Sheet1!N164</f>
        <v>No</v>
      </c>
      <c r="O164" s="228">
        <f>[1]Sheet1!O164</f>
        <v>0</v>
      </c>
      <c r="P164" s="228">
        <f>[1]Sheet1!P164</f>
        <v>0</v>
      </c>
      <c r="Q164" s="228" t="str">
        <f>[1]Sheet1!Q164</f>
        <v>Otro</v>
      </c>
      <c r="R164" s="228" t="str">
        <f>[1]Sheet1!R164</f>
        <v xml:space="preserve">Actualmente, los estudiantes y la institución enfrentan dificultades para gestionar cambios académicos, financieros y administrativos de manera eficiente, afectando la experiencia del estudiante y la gestión interna.
</v>
      </c>
      <c r="S164" s="228" t="str">
        <f>[1]Sheet1!S164</f>
        <v>Ver archivo adjunto con información del requerimiento. Link: https://educorpperu.sharepoint.com/:x:/s/Repositorio_EquipoCentral/dit/portafoliosyp/IQBPjj-nPuoDQbtwySJjx2sbAR4Cx0FwHcOnpoZf6N5wGdw?e=Qxpak7</v>
      </c>
      <c r="T164" s="228" t="str">
        <f>[1]Sheet1!T164</f>
        <v xml:space="preserve">Ver archivo adjunto con información del requerimiento. Link: https://educorpperu.sharepoint.com/:x:/s/Repositorio_EquipoCentral/dit/portafoliosyp/IQBPjj-nPuoDQbtwySJjx2sbAR4Cx0FwHcOnpoZf6N5wGdw?e=Qxpak7
</v>
      </c>
      <c r="U164" s="228" t="str">
        <f>[1]Sheet1!U164</f>
        <v>Alumnos</v>
      </c>
      <c r="V164" s="228" t="str">
        <f>[1]Sheet1!V164</f>
        <v>Excelencia operativa</v>
      </c>
      <c r="W164" s="228" t="str">
        <f>[1]Sheet1!W164</f>
        <v>Si</v>
      </c>
      <c r="X164" s="228" t="str">
        <f>[1]Sheet1!X164</f>
        <v>No cuantificado o S/0</v>
      </c>
      <c r="Y164" s="228"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59"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59">
        <f>[1]Sheet1!AA164</f>
        <v>1.2000000000000002</v>
      </c>
    </row>
    <row r="165" spans="1:27" ht="18.600000000000001" customHeight="1">
      <c r="A165" s="59">
        <f>[1]Sheet1!A165</f>
        <v>191</v>
      </c>
      <c r="B165" s="227">
        <f>[1]Sheet1!B165</f>
        <v>46169.658587963</v>
      </c>
      <c r="C165" s="227">
        <f>[1]Sheet1!C165</f>
        <v>46169.661851851903</v>
      </c>
      <c r="D165" s="228" t="str">
        <f>[1]Sheet1!D165</f>
        <v>renzo.saenz@laureate.pe</v>
      </c>
      <c r="E165" s="228" t="str">
        <f>[1]Sheet1!E165</f>
        <v>Renzo Sáenz Dávila</v>
      </c>
      <c r="F165" s="228" t="str">
        <f>[1]Sheet1!F165</f>
        <v>[281] Pago por crédito / curso (PxC)</v>
      </c>
      <c r="G165" s="228"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228" t="str">
        <f>[1]Sheet1!H165</f>
        <v>UPC</v>
      </c>
      <c r="I165" s="228" t="str">
        <f>[1]Sheet1!I165</f>
        <v>Alex Pendavis - VP Finanzas</v>
      </c>
      <c r="J165" s="228" t="str">
        <f>[1]Sheet1!J165</f>
        <v>Rafael Andrade</v>
      </c>
      <c r="K165" s="228"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228" t="str">
        <f>[1]Sheet1!L165</f>
        <v>Ninguno</v>
      </c>
      <c r="M165" s="229">
        <f>[1]Sheet1!M165</f>
        <v>46234</v>
      </c>
      <c r="N165" s="229" t="str">
        <f>[1]Sheet1!N165</f>
        <v>No</v>
      </c>
      <c r="O165" s="228">
        <f>[1]Sheet1!O165</f>
        <v>0</v>
      </c>
      <c r="P165" s="228">
        <f>[1]Sheet1!P165</f>
        <v>0</v>
      </c>
      <c r="Q165" s="228" t="str">
        <f>[1]Sheet1!Q165</f>
        <v>Otro</v>
      </c>
      <c r="R165" s="228" t="str">
        <f>[1]Sheet1!R165</f>
        <v xml:space="preserve">Actualmente, los estudiantes y la institución enfrentan dificultades para gestionar cambios académicos, financieros y administrativos de manera eficiente, afectando la experiencia del estudiante y la gestión interna.
</v>
      </c>
      <c r="S165" s="228" t="str">
        <f>[1]Sheet1!S165</f>
        <v>Ver archivo adjunto con información del requerimiento. Link: https://educorpperu.sharepoint.com/:x:/s/Repositorio_EquipoCentral/dit/portafoliosyp/IQBPjj-nPuoDQbtwySJjx2sbAR4Cx0FwHcOnpoZf6N5wGdw?e=Qxpak7</v>
      </c>
      <c r="T165" s="228" t="str">
        <f>[1]Sheet1!T165</f>
        <v xml:space="preserve">Ver archivo adjunto con información del requerimiento. Link: https://educorpperu.sharepoint.com/:x:/s/Repositorio_EquipoCentral/dit/portafoliosyp/IQBPjj-nPuoDQbtwySJjx2sbAR4Cx0FwHcOnpoZf6N5wGdw?e=Qxpak8
</v>
      </c>
      <c r="U165" s="228" t="str">
        <f>[1]Sheet1!U165</f>
        <v>Alumnos</v>
      </c>
      <c r="V165" s="228" t="str">
        <f>[1]Sheet1!V165</f>
        <v>Excelencia operativa</v>
      </c>
      <c r="W165" s="228" t="str">
        <f>[1]Sheet1!W165</f>
        <v>Si</v>
      </c>
      <c r="X165" s="228" t="str">
        <f>[1]Sheet1!X165</f>
        <v>No cuantificado o S/0</v>
      </c>
      <c r="Y165" s="228"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59"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59">
        <f>[1]Sheet1!AA165</f>
        <v>1.2000000000000002</v>
      </c>
    </row>
    <row r="166" spans="1:27" ht="18.600000000000001" customHeight="1">
      <c r="A166" s="59">
        <f>[1]Sheet1!A166</f>
        <v>192</v>
      </c>
      <c r="B166" s="227">
        <f>[1]Sheet1!B166</f>
        <v>46169.662511574097</v>
      </c>
      <c r="C166" s="227">
        <f>[1]Sheet1!C166</f>
        <v>46169.665196759299</v>
      </c>
      <c r="D166" s="228" t="str">
        <f>[1]Sheet1!D166</f>
        <v>renzo.saenz@laureate.pe</v>
      </c>
      <c r="E166" s="228" t="str">
        <f>[1]Sheet1!E166</f>
        <v>Renzo Sáenz Dávila</v>
      </c>
      <c r="F166" s="228" t="str">
        <f>[1]Sheet1!F166</f>
        <v>[282] Recálculo de cuotas</v>
      </c>
      <c r="G166" s="228"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228" t="str">
        <f>[1]Sheet1!H166</f>
        <v>UPC</v>
      </c>
      <c r="I166" s="228" t="str">
        <f>[1]Sheet1!I166</f>
        <v>Alex Pendavis - VP Finanzas</v>
      </c>
      <c r="J166" s="228" t="str">
        <f>[1]Sheet1!J166</f>
        <v>Rafael Andrade</v>
      </c>
      <c r="K166" s="228"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228" t="str">
        <f>[1]Sheet1!L166</f>
        <v>Ninguno</v>
      </c>
      <c r="M166" s="229">
        <f>[1]Sheet1!M166</f>
        <v>46234</v>
      </c>
      <c r="N166" s="229" t="str">
        <f>[1]Sheet1!N166</f>
        <v>No</v>
      </c>
      <c r="O166" s="228">
        <f>[1]Sheet1!O166</f>
        <v>0</v>
      </c>
      <c r="P166" s="228">
        <f>[1]Sheet1!P166</f>
        <v>0</v>
      </c>
      <c r="Q166" s="228" t="str">
        <f>[1]Sheet1!Q166</f>
        <v>Otro</v>
      </c>
      <c r="R166" s="228" t="str">
        <f>[1]Sheet1!R166</f>
        <v xml:space="preserve">Actualmente, los estudiantes y la institución enfrentan dificultades para gestionar cambios académicos, financieros y administrativos de manera eficiente, afectando la experiencia del estudiante y la gestión interna.
</v>
      </c>
      <c r="S166" s="228" t="str">
        <f>[1]Sheet1!S166</f>
        <v>Ver archivo adjunto con información del requerimiento. Link: https://educorpperu.sharepoint.com/:x:/s/Repositorio_EquipoCentral/dit/portafoliosyp/IQBPjj-nPuoDQbtwySJjx2sbAR4Cx0FwHcOnpoZf6N5wGdw?e=Qxpak7</v>
      </c>
      <c r="T166" s="228" t="str">
        <f>[1]Sheet1!T166</f>
        <v xml:space="preserve">Ver archivo adjunto con información del requerimiento. Link: https://educorpperu.sharepoint.com/:x:/s/Repositorio_EquipoCentral/dit/portafoliosyp/IQBPjj-nPuoDQbtwySJjx2sbAR4Cx0FwHcOnpoZf6N5wGdw?e=Qxpak9
</v>
      </c>
      <c r="U166" s="228" t="str">
        <f>[1]Sheet1!U166</f>
        <v>Alumnos</v>
      </c>
      <c r="V166" s="228" t="str">
        <f>[1]Sheet1!V166</f>
        <v>Excelencia operativa</v>
      </c>
      <c r="W166" s="228" t="str">
        <f>[1]Sheet1!W166</f>
        <v>Si</v>
      </c>
      <c r="X166" s="228" t="str">
        <f>[1]Sheet1!X166</f>
        <v>No cuantificado o S/0</v>
      </c>
      <c r="Y166" s="228"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59"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59">
        <f>[1]Sheet1!AA166</f>
        <v>1.2000000000000002</v>
      </c>
    </row>
    <row r="167" spans="1:27" ht="18.600000000000001" customHeight="1">
      <c r="A167" s="59">
        <f>[1]Sheet1!A167</f>
        <v>193</v>
      </c>
      <c r="B167" s="227">
        <f>[1]Sheet1!B167</f>
        <v>46169.665486111102</v>
      </c>
      <c r="C167" s="227">
        <f>[1]Sheet1!C167</f>
        <v>46169.667557870402</v>
      </c>
      <c r="D167" s="228" t="str">
        <f>[1]Sheet1!D167</f>
        <v>renzo.saenz@laureate.pe</v>
      </c>
      <c r="E167" s="228" t="str">
        <f>[1]Sheet1!E167</f>
        <v>Renzo Sáenz Dávila</v>
      </c>
      <c r="F167" s="228" t="str">
        <f>[1]Sheet1!F167</f>
        <v>[283] Automatización de procesos operativos Emisión de comprobantes (estabilización con el cambio de proceso por Gema)</v>
      </c>
      <c r="G167" s="228"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228" t="str">
        <f>[1]Sheet1!H167</f>
        <v>UPC</v>
      </c>
      <c r="I167" s="228" t="str">
        <f>[1]Sheet1!I167</f>
        <v>Alex Pendavis - VP Finanzas</v>
      </c>
      <c r="J167" s="228" t="str">
        <f>[1]Sheet1!J167</f>
        <v>Rafael Andrade</v>
      </c>
      <c r="K167" s="228"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228" t="str">
        <f>[1]Sheet1!L167</f>
        <v>Ninguno</v>
      </c>
      <c r="M167" s="229">
        <f>[1]Sheet1!M167</f>
        <v>46234</v>
      </c>
      <c r="N167" s="229" t="str">
        <f>[1]Sheet1!N167</f>
        <v>No</v>
      </c>
      <c r="O167" s="228">
        <f>[1]Sheet1!O167</f>
        <v>0</v>
      </c>
      <c r="P167" s="228">
        <f>[1]Sheet1!P167</f>
        <v>0</v>
      </c>
      <c r="Q167" s="228" t="str">
        <f>[1]Sheet1!Q167</f>
        <v>Otro</v>
      </c>
      <c r="R167" s="228" t="str">
        <f>[1]Sheet1!R167</f>
        <v xml:space="preserve">Actualmente, los estudiantes y la institución enfrentan dificultades para gestionar cambios académicos, financieros y administrativos de manera eficiente, afectando la experiencia del estudiante y la gestión interna.
</v>
      </c>
      <c r="S167" s="228" t="str">
        <f>[1]Sheet1!S167</f>
        <v>Ver archivo adjunto con información del requerimiento. Link: https://educorpperu.sharepoint.com/:x:/s/Repositorio_EquipoCentral/dit/portafoliosyp/IQBPjj-nPuoDQbtwySJjx2sbAR4Cx0FwHcOnpoZf6N5wGdw?e=Qxpak7</v>
      </c>
      <c r="T167" s="228" t="str">
        <f>[1]Sheet1!T167</f>
        <v xml:space="preserve">Ver archivo adjunto con información del requerimiento. Link: https://educorpperu.sharepoint.com/:x:/s/Repositorio_EquipoCentral/dit/portafoliosyp/IQBPjj-nPuoDQbtwySJjx2sbAR4Cx0FwHcOnpoZf6N5wGdw?e=Qxpak10
</v>
      </c>
      <c r="U167" s="228" t="str">
        <f>[1]Sheet1!U167</f>
        <v>Alumnos</v>
      </c>
      <c r="V167" s="228" t="str">
        <f>[1]Sheet1!V167</f>
        <v>Excelencia operativa</v>
      </c>
      <c r="W167" s="228" t="str">
        <f>[1]Sheet1!W167</f>
        <v>Si</v>
      </c>
      <c r="X167" s="228" t="str">
        <f>[1]Sheet1!X167</f>
        <v>No cuantificado o S/0</v>
      </c>
      <c r="Y167" s="228"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59"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59">
        <f>[1]Sheet1!AA167</f>
        <v>1.2000000000000002</v>
      </c>
    </row>
    <row r="168" spans="1:27" ht="18.600000000000001" customHeight="1">
      <c r="A168" s="59">
        <f>[1]Sheet1!A168</f>
        <v>194</v>
      </c>
      <c r="B168" s="227">
        <f>[1]Sheet1!B168</f>
        <v>46169.667824074102</v>
      </c>
      <c r="C168" s="227">
        <f>[1]Sheet1!C168</f>
        <v>46169.671122685198</v>
      </c>
      <c r="D168" s="228" t="str">
        <f>[1]Sheet1!D168</f>
        <v>renzo.saenz@laureate.pe</v>
      </c>
      <c r="E168" s="228" t="str">
        <f>[1]Sheet1!E168</f>
        <v>Renzo Sáenz Dávila</v>
      </c>
      <c r="F168" s="228" t="str">
        <f>[1]Sheet1!F168</f>
        <v>[65] Clonación manual de cursos master</v>
      </c>
      <c r="G168" s="228"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228" t="str">
        <f>[1]Sheet1!H168</f>
        <v>UPC</v>
      </c>
      <c r="I168" s="228" t="str">
        <f>[1]Sheet1!I168</f>
        <v>Milagros Morgan - Rectorado UPC</v>
      </c>
      <c r="J168" s="228" t="str">
        <f>[1]Sheet1!J168</f>
        <v>Hector Viale</v>
      </c>
      <c r="K168" s="228"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228" t="str">
        <f>[1]Sheet1!L168</f>
        <v>Ninguno</v>
      </c>
      <c r="M168" s="229">
        <f>[1]Sheet1!M168</f>
        <v>46235</v>
      </c>
      <c r="N168" s="229" t="str">
        <f>[1]Sheet1!N168</f>
        <v>No</v>
      </c>
      <c r="O168" s="228">
        <f>[1]Sheet1!O168</f>
        <v>0</v>
      </c>
      <c r="P168" s="228">
        <f>[1]Sheet1!P168</f>
        <v>0</v>
      </c>
      <c r="Q168" s="228" t="str">
        <f>[1]Sheet1!Q168</f>
        <v>Otro</v>
      </c>
      <c r="R168" s="228" t="str">
        <f>[1]Sheet1!R168</f>
        <v xml:space="preserve">Actualmente, los estudiantes y la institución enfrentan dificultades para gestionar cambios académicos, financieros y administrativos de manera eficiente, afectando la experiencia del estudiante y la gestión interna.
</v>
      </c>
      <c r="S168" s="228" t="str">
        <f>[1]Sheet1!S168</f>
        <v>Ver archivo adjunto con información del requerimiento. Link: https://educorpperu.sharepoint.com/:x:/s/Repositorio_EquipoCentral/dit/portafoliosyp/IQBPjj-nPuoDQbtwySJjx2sbAR4Cx0FwHcOnpoZf6N5wGdw?e=Qxpak7</v>
      </c>
      <c r="T168" s="228" t="str">
        <f>[1]Sheet1!T168</f>
        <v xml:space="preserve">Ver archivo adjunto con información del requerimiento. Link: https://educorpperu.sharepoint.com/:x:/s/Repositorio_EquipoCentral/dit/portafoliosyp/IQBPjj-nPuoDQbtwySJjx2sbAR4Cx0FwHcOnpoZf6N5wGdw?e=Qxpak15
</v>
      </c>
      <c r="U168" s="228" t="str">
        <f>[1]Sheet1!U168</f>
        <v>Alumnos</v>
      </c>
      <c r="V168" s="228" t="str">
        <f>[1]Sheet1!V168</f>
        <v>Excelencia operativa</v>
      </c>
      <c r="W168" s="228" t="str">
        <f>[1]Sheet1!W168</f>
        <v>Si</v>
      </c>
      <c r="X168" s="228" t="str">
        <f>[1]Sheet1!X168</f>
        <v>No cuantificado o S/0</v>
      </c>
      <c r="Y168" s="228"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59"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59">
        <f>[1]Sheet1!AA168</f>
        <v>1.2000000000000002</v>
      </c>
    </row>
    <row r="169" spans="1:27" ht="18.600000000000001" customHeight="1">
      <c r="A169" s="59">
        <f>[1]Sheet1!A169</f>
        <v>195</v>
      </c>
      <c r="B169" s="227">
        <f>[1]Sheet1!B169</f>
        <v>46169.671412037002</v>
      </c>
      <c r="C169" s="227">
        <f>[1]Sheet1!C169</f>
        <v>46169.673622685201</v>
      </c>
      <c r="D169" s="228" t="str">
        <f>[1]Sheet1!D169</f>
        <v>renzo.saenz@laureate.pe</v>
      </c>
      <c r="E169" s="228" t="str">
        <f>[1]Sheet1!E169</f>
        <v>Renzo Sáenz Dávila</v>
      </c>
      <c r="F169" s="228" t="str">
        <f>[1]Sheet1!F169</f>
        <v>[284] Reportes y controles de Finanzas SOX</v>
      </c>
      <c r="G169" s="228"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228" t="str">
        <f>[1]Sheet1!H169</f>
        <v>UPC</v>
      </c>
      <c r="I169" s="228" t="str">
        <f>[1]Sheet1!I169</f>
        <v>Alex Pendavis - VP Finanzas</v>
      </c>
      <c r="J169" s="228" t="str">
        <f>[1]Sheet1!J169</f>
        <v>Rafael Andrade</v>
      </c>
      <c r="K169" s="228"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228" t="str">
        <f>[1]Sheet1!L169</f>
        <v>Ninguno</v>
      </c>
      <c r="M169" s="229">
        <f>[1]Sheet1!M169</f>
        <v>46234</v>
      </c>
      <c r="N169" s="229" t="str">
        <f>[1]Sheet1!N169</f>
        <v>No</v>
      </c>
      <c r="O169" s="228">
        <f>[1]Sheet1!O169</f>
        <v>0</v>
      </c>
      <c r="P169" s="228">
        <f>[1]Sheet1!P169</f>
        <v>0</v>
      </c>
      <c r="Q169" s="228" t="str">
        <f>[1]Sheet1!Q169</f>
        <v>Otro</v>
      </c>
      <c r="R169" s="228" t="str">
        <f>[1]Sheet1!R169</f>
        <v xml:space="preserve">Actualmente, los estudiantes y la institución enfrentan dificultades para gestionar cambios académicos, financieros y administrativos de manera eficiente, afectando la experiencia del estudiante y la gestión interna.
</v>
      </c>
      <c r="S169" s="228" t="str">
        <f>[1]Sheet1!S169</f>
        <v>Ver archivo adjunto con información del requerimiento. Link: https://educorpperu.sharepoint.com/:x:/s/Repositorio_EquipoCentral/dit/portafoliosyp/IQBPjj-nPuoDQbtwySJjx2sbAR4Cx0FwHcOnpoZf6N5wGdw?e=Qxpak7</v>
      </c>
      <c r="T169" s="228" t="str">
        <f>[1]Sheet1!T169</f>
        <v xml:space="preserve">Ver archivo adjunto con información del requerimiento. Link: https://educorpperu.sharepoint.com/:x:/s/Repositorio_EquipoCentral/dit/portafoliosyp/IQBPjj-nPuoDQbtwySJjx2sbAR4Cx0FwHcOnpoZf6N5wGdw?e=Qxpak18
</v>
      </c>
      <c r="U169" s="228" t="str">
        <f>[1]Sheet1!U169</f>
        <v>Alumnos</v>
      </c>
      <c r="V169" s="228" t="str">
        <f>[1]Sheet1!V169</f>
        <v>Excelencia operativa</v>
      </c>
      <c r="W169" s="228" t="str">
        <f>[1]Sheet1!W169</f>
        <v>Si</v>
      </c>
      <c r="X169" s="228" t="str">
        <f>[1]Sheet1!X169</f>
        <v>No cuantificado o S/0</v>
      </c>
      <c r="Y169" s="228"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59"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59">
        <f>[1]Sheet1!AA169</f>
        <v>1.2000000000000002</v>
      </c>
    </row>
    <row r="170" spans="1:27" ht="18.600000000000001" customHeight="1">
      <c r="A170" s="59">
        <f>[1]Sheet1!A170</f>
        <v>196</v>
      </c>
      <c r="B170" s="227">
        <f>[1]Sheet1!B170</f>
        <v>46169.674108796302</v>
      </c>
      <c r="C170" s="227">
        <f>[1]Sheet1!C170</f>
        <v>46169.677812499998</v>
      </c>
      <c r="D170" s="228" t="str">
        <f>[1]Sheet1!D170</f>
        <v>renzo.saenz@laureate.pe</v>
      </c>
      <c r="E170" s="228" t="str">
        <f>[1]Sheet1!E170</f>
        <v>Renzo Sáenz Dávila</v>
      </c>
      <c r="F170" s="228" t="str">
        <f>[1]Sheet1!F170</f>
        <v>[211] Cambio de modalidad: MDDU para registro de cambio de modalidad de estudios</v>
      </c>
      <c r="G170" s="228"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228" t="str">
        <f>[1]Sheet1!H170</f>
        <v>UPC</v>
      </c>
      <c r="I170" s="228" t="str">
        <f>[1]Sheet1!I170</f>
        <v>Milagros Morgan - Rectorado UPC</v>
      </c>
      <c r="J170" s="228" t="str">
        <f>[1]Sheet1!J170</f>
        <v>Manuel Cortez Fontcuberta</v>
      </c>
      <c r="K170" s="228"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228" t="str">
        <f>[1]Sheet1!L170</f>
        <v>Ninguno</v>
      </c>
      <c r="M170" s="229">
        <f>[1]Sheet1!M170</f>
        <v>46234</v>
      </c>
      <c r="N170" s="229" t="str">
        <f>[1]Sheet1!N170</f>
        <v>No</v>
      </c>
      <c r="O170" s="228">
        <f>[1]Sheet1!O170</f>
        <v>0</v>
      </c>
      <c r="P170" s="228">
        <f>[1]Sheet1!P170</f>
        <v>0</v>
      </c>
      <c r="Q170" s="228" t="str">
        <f>[1]Sheet1!Q170</f>
        <v>Otro</v>
      </c>
      <c r="R170" s="228" t="str">
        <f>[1]Sheet1!R170</f>
        <v xml:space="preserve">Actualmente, los estudiantes y la institución enfrentan dificultades para gestionar cambios académicos, financieros y administrativos de manera eficiente, afectando la experiencia del estudiante y la gestión interna.
</v>
      </c>
      <c r="S170" s="228" t="str">
        <f>[1]Sheet1!S170</f>
        <v>Ver archivo adjunto con información del requerimiento. Link: https://educorpperu.sharepoint.com/:x:/s/Repositorio_EquipoCentral/dit/portafoliosyp/IQBPjj-nPuoDQbtwySJjx2sbAR4Cx0FwHcOnpoZf6N5wGdw?e=Qxpak7</v>
      </c>
      <c r="T170" s="228" t="str">
        <f>[1]Sheet1!T170</f>
        <v xml:space="preserve">Ver archivo adjunto con información del requerimiento. Link: https://educorpperu.sharepoint.com/:x:/s/Repositorio_EquipoCentral/dit/portafoliosyp/IQBPjj-nPuoDQbtwySJjx2sbAR4Cx0FwHcOnpoZf6N5wGdw?e=Qxpak20
</v>
      </c>
      <c r="U170" s="228" t="str">
        <f>[1]Sheet1!U170</f>
        <v>Alumnos</v>
      </c>
      <c r="V170" s="228" t="str">
        <f>[1]Sheet1!V170</f>
        <v>Excelencia operativa</v>
      </c>
      <c r="W170" s="228" t="str">
        <f>[1]Sheet1!W170</f>
        <v>Si</v>
      </c>
      <c r="X170" s="228" t="str">
        <f>[1]Sheet1!X170</f>
        <v>No cuantificado o S/0</v>
      </c>
      <c r="Y170" s="228"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59"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59">
        <f>[1]Sheet1!AA170</f>
        <v>1.2000000000000002</v>
      </c>
    </row>
    <row r="171" spans="1:27" ht="18.600000000000001" customHeight="1">
      <c r="A171" s="59">
        <f>[1]Sheet1!A171</f>
        <v>197</v>
      </c>
      <c r="B171" s="227">
        <f>[1]Sheet1!B171</f>
        <v>46169.678715277798</v>
      </c>
      <c r="C171" s="227">
        <f>[1]Sheet1!C171</f>
        <v>46169.680648148104</v>
      </c>
      <c r="D171" s="228" t="str">
        <f>[1]Sheet1!D171</f>
        <v>renzo.saenz@laureate.pe</v>
      </c>
      <c r="E171" s="228" t="str">
        <f>[1]Sheet1!E171</f>
        <v>Renzo Sáenz Dávila</v>
      </c>
      <c r="F171" s="228" t="str">
        <f>[1]Sheet1!F171</f>
        <v>[119] Corrección de asistencia docente extraacademicos </v>
      </c>
      <c r="G171" s="228"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228" t="str">
        <f>[1]Sheet1!H171</f>
        <v>UPC</v>
      </c>
      <c r="I171" s="228" t="str">
        <f>[1]Sheet1!I171</f>
        <v>Milagros Morgan - Rectorado UPC</v>
      </c>
      <c r="J171" s="228" t="str">
        <f>[1]Sheet1!J171</f>
        <v>Javiera Alcazar</v>
      </c>
      <c r="K171" s="228"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228" t="str">
        <f>[1]Sheet1!L171</f>
        <v>Ninguno</v>
      </c>
      <c r="M171" s="229">
        <f>[1]Sheet1!M171</f>
        <v>46160</v>
      </c>
      <c r="N171" s="229" t="str">
        <f>[1]Sheet1!N171</f>
        <v>No</v>
      </c>
      <c r="O171" s="228">
        <f>[1]Sheet1!O171</f>
        <v>0</v>
      </c>
      <c r="P171" s="228">
        <f>[1]Sheet1!P171</f>
        <v>0</v>
      </c>
      <c r="Q171" s="228" t="str">
        <f>[1]Sheet1!Q171</f>
        <v>Otro</v>
      </c>
      <c r="R171" s="228" t="str">
        <f>[1]Sheet1!R171</f>
        <v xml:space="preserve">Actualmente, los estudiantes y la institución enfrentan dificultades para gestionar cambios académicos, financieros y administrativos de manera eficiente, afectando la experiencia del estudiante y la gestión interna.
</v>
      </c>
      <c r="S171" s="228" t="str">
        <f>[1]Sheet1!S171</f>
        <v>Ver archivo adjunto con información del requerimiento. Link: https://educorpperu.sharepoint.com/:x:/s/Repositorio_EquipoCentral/dit/portafoliosyp/IQBPjj-nPuoDQbtwySJjx2sbAR4Cx0FwHcOnpoZf6N5wGdw?e=Qxpak7</v>
      </c>
      <c r="T171" s="228" t="str">
        <f>[1]Sheet1!T171</f>
        <v xml:space="preserve">Ver archivo adjunto con información del requerimiento. Link: https://educorpperu.sharepoint.com/:x:/s/Repositorio_EquipoCentral/dit/portafoliosyp/IQBPjj-nPuoDQbtwySJjx2sbAR4Cx0FwHcOnpoZf6N5wGdw?e=Qxpak21
</v>
      </c>
      <c r="U171" s="228" t="str">
        <f>[1]Sheet1!U171</f>
        <v>Alumnos</v>
      </c>
      <c r="V171" s="228" t="str">
        <f>[1]Sheet1!V171</f>
        <v>Excelencia operativa</v>
      </c>
      <c r="W171" s="228" t="str">
        <f>[1]Sheet1!W171</f>
        <v>Si</v>
      </c>
      <c r="X171" s="228" t="str">
        <f>[1]Sheet1!X171</f>
        <v>No cuantificado o S/0</v>
      </c>
      <c r="Y171" s="228"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59"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59">
        <f>[1]Sheet1!AA171</f>
        <v>1.2000000000000002</v>
      </c>
    </row>
    <row r="172" spans="1:27" ht="18.600000000000001" customHeight="1">
      <c r="A172" s="59">
        <f>[1]Sheet1!A172</f>
        <v>198</v>
      </c>
      <c r="B172" s="227">
        <f>[1]Sheet1!B172</f>
        <v>46169.681030092601</v>
      </c>
      <c r="C172" s="227">
        <f>[1]Sheet1!C172</f>
        <v>46169.684328703697</v>
      </c>
      <c r="D172" s="228" t="str">
        <f>[1]Sheet1!D172</f>
        <v>renzo.saenz@laureate.pe</v>
      </c>
      <c r="E172" s="228" t="str">
        <f>[1]Sheet1!E172</f>
        <v>Renzo Sáenz Dávila</v>
      </c>
      <c r="F172" s="228" t="str">
        <f>[1]Sheet1!F172</f>
        <v>[120] Reprogramacion de clase extraacademicos</v>
      </c>
      <c r="G172" s="228"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228" t="str">
        <f>[1]Sheet1!H172</f>
        <v>UPC</v>
      </c>
      <c r="I172" s="228" t="str">
        <f>[1]Sheet1!I172</f>
        <v>Milagros Morgan - Rectorado UPC</v>
      </c>
      <c r="J172" s="228" t="str">
        <f>[1]Sheet1!J172</f>
        <v>Javiera Alcazar</v>
      </c>
      <c r="K172" s="228"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228" t="str">
        <f>[1]Sheet1!L172</f>
        <v>Ninguno</v>
      </c>
      <c r="M172" s="229">
        <f>[1]Sheet1!M172</f>
        <v>46160</v>
      </c>
      <c r="N172" s="229" t="str">
        <f>[1]Sheet1!N172</f>
        <v>No</v>
      </c>
      <c r="O172" s="228">
        <f>[1]Sheet1!O172</f>
        <v>0</v>
      </c>
      <c r="P172" s="228">
        <f>[1]Sheet1!P172</f>
        <v>0</v>
      </c>
      <c r="Q172" s="228" t="str">
        <f>[1]Sheet1!Q172</f>
        <v>Otro</v>
      </c>
      <c r="R172" s="228" t="str">
        <f>[1]Sheet1!R172</f>
        <v xml:space="preserve">Actualmente, los estudiantes y la institución enfrentan dificultades para gestionar cambios académicos, financieros y administrativos de manera eficiente, afectando la experiencia del estudiante y la gestión interna.
</v>
      </c>
      <c r="S172" s="228" t="str">
        <f>[1]Sheet1!S172</f>
        <v>Ver archivo adjunto con información del requerimiento. Link: https://educorpperu.sharepoint.com/:x:/s/Repositorio_EquipoCentral/dit/portafoliosyp/IQBPjj-nPuoDQbtwySJjx2sbAR4Cx0FwHcOnpoZf6N5wGdw?e=Qxpak7</v>
      </c>
      <c r="T172" s="228" t="str">
        <f>[1]Sheet1!T172</f>
        <v xml:space="preserve">Ver archivo adjunto con información del requerimiento. Link: https://educorpperu.sharepoint.com/:x:/s/Repositorio_EquipoCentral/dit/portafoliosyp/IQBPjj-nPuoDQbtwySJjx2sbAR4Cx0FwHcOnpoZf6N5wGdw?e=Qxpak22
</v>
      </c>
      <c r="U172" s="228" t="str">
        <f>[1]Sheet1!U172</f>
        <v>Alumnos</v>
      </c>
      <c r="V172" s="228" t="str">
        <f>[1]Sheet1!V172</f>
        <v>Excelencia operativa</v>
      </c>
      <c r="W172" s="228" t="str">
        <f>[1]Sheet1!W172</f>
        <v>Si</v>
      </c>
      <c r="X172" s="228" t="str">
        <f>[1]Sheet1!X172</f>
        <v>No cuantificado o S/0</v>
      </c>
      <c r="Y172" s="228"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59"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59">
        <f>[1]Sheet1!AA172</f>
        <v>1.2000000000000002</v>
      </c>
    </row>
    <row r="173" spans="1:27" ht="18.600000000000001" customHeight="1">
      <c r="A173" s="59">
        <f>[1]Sheet1!A173</f>
        <v>199</v>
      </c>
      <c r="B173" s="227">
        <f>[1]Sheet1!B173</f>
        <v>46169.684861111098</v>
      </c>
      <c r="C173" s="227">
        <f>[1]Sheet1!C173</f>
        <v>46169.686886574098</v>
      </c>
      <c r="D173" s="228" t="str">
        <f>[1]Sheet1!D173</f>
        <v>renzo.saenz@laureate.pe</v>
      </c>
      <c r="E173" s="228" t="str">
        <f>[1]Sheet1!E173</f>
        <v>Renzo Sáenz Dávila</v>
      </c>
      <c r="F173" s="228" t="str">
        <f>[1]Sheet1!F173</f>
        <v>[121] Corrección de evaluaciones extraacademicos</v>
      </c>
      <c r="G173" s="228"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228" t="str">
        <f>[1]Sheet1!H173</f>
        <v>UPC</v>
      </c>
      <c r="I173" s="228" t="str">
        <f>[1]Sheet1!I173</f>
        <v>Milagros Morgan - Rectorado UPC</v>
      </c>
      <c r="J173" s="228" t="str">
        <f>[1]Sheet1!J173</f>
        <v>Javiera Alcazar</v>
      </c>
      <c r="K173" s="228"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228" t="str">
        <f>[1]Sheet1!L173</f>
        <v>Ninguno</v>
      </c>
      <c r="M173" s="229">
        <f>[1]Sheet1!M173</f>
        <v>46160</v>
      </c>
      <c r="N173" s="229" t="str">
        <f>[1]Sheet1!N173</f>
        <v>No</v>
      </c>
      <c r="O173" s="228">
        <f>[1]Sheet1!O173</f>
        <v>0</v>
      </c>
      <c r="P173" s="228">
        <f>[1]Sheet1!P173</f>
        <v>0</v>
      </c>
      <c r="Q173" s="228" t="str">
        <f>[1]Sheet1!Q173</f>
        <v>Otro</v>
      </c>
      <c r="R173" s="228" t="str">
        <f>[1]Sheet1!R173</f>
        <v xml:space="preserve">Actualmente, los estudiantes y la institución enfrentan dificultades para gestionar cambios académicos, financieros y administrativos de manera eficiente, afectando la experiencia del estudiante y la gestión interna.
</v>
      </c>
      <c r="S173" s="228" t="str">
        <f>[1]Sheet1!S173</f>
        <v>Ver archivo adjunto con información del requerimiento. Link: https://educorpperu.sharepoint.com/:x:/s/Repositorio_EquipoCentral/dit/portafoliosyp/IQBPjj-nPuoDQbtwySJjx2sbAR4Cx0FwHcOnpoZf6N5wGdw?e=Qxpak7</v>
      </c>
      <c r="T173" s="228" t="str">
        <f>[1]Sheet1!T173</f>
        <v xml:space="preserve">Ver archivo adjunto con información del requerimiento. Link: https://educorpperu.sharepoint.com/:x:/s/Repositorio_EquipoCentral/dit/portafoliosyp/IQBPjj-nPuoDQbtwySJjx2sbAR4Cx0FwHcOnpoZf6N5wGdw?e=Qxpak23
</v>
      </c>
      <c r="U173" s="228" t="str">
        <f>[1]Sheet1!U173</f>
        <v>Alumnos</v>
      </c>
      <c r="V173" s="228" t="str">
        <f>[1]Sheet1!V173</f>
        <v>Excelencia operativa</v>
      </c>
      <c r="W173" s="228" t="str">
        <f>[1]Sheet1!W173</f>
        <v>Si</v>
      </c>
      <c r="X173" s="228" t="str">
        <f>[1]Sheet1!X173</f>
        <v>No cuantificado o S/0</v>
      </c>
      <c r="Y173" s="228"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59"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59">
        <f>[1]Sheet1!AA173</f>
        <v>1.2000000000000002</v>
      </c>
    </row>
    <row r="174" spans="1:27" ht="18.600000000000001" customHeight="1">
      <c r="A174" s="59">
        <f>[1]Sheet1!A174</f>
        <v>200</v>
      </c>
      <c r="B174" s="227">
        <f>[1]Sheet1!B174</f>
        <v>46169.686944444402</v>
      </c>
      <c r="C174" s="227">
        <f>[1]Sheet1!C174</f>
        <v>46169.690324074101</v>
      </c>
      <c r="D174" s="228" t="str">
        <f>[1]Sheet1!D174</f>
        <v>renzo.saenz@laureate.pe</v>
      </c>
      <c r="E174" s="228" t="str">
        <f>[1]Sheet1!E174</f>
        <v>Renzo Sáenz Dávila</v>
      </c>
      <c r="F174" s="228"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228"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228" t="str">
        <f>[1]Sheet1!H174</f>
        <v>UPC</v>
      </c>
      <c r="I174" s="228" t="str">
        <f>[1]Sheet1!I174</f>
        <v>Milagros Morgan - Rectorado UPC</v>
      </c>
      <c r="J174" s="228" t="str">
        <f>[1]Sheet1!J174</f>
        <v>Manuel Cortéz Fontcuberta</v>
      </c>
      <c r="K174" s="228"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228" t="str">
        <f>[1]Sheet1!L174</f>
        <v>Ninguno</v>
      </c>
      <c r="M174" s="229">
        <f>[1]Sheet1!M174</f>
        <v>46387</v>
      </c>
      <c r="N174" s="229" t="str">
        <f>[1]Sheet1!N174</f>
        <v>No</v>
      </c>
      <c r="O174" s="228">
        <f>[1]Sheet1!O174</f>
        <v>0</v>
      </c>
      <c r="P174" s="228">
        <f>[1]Sheet1!P174</f>
        <v>0</v>
      </c>
      <c r="Q174" s="228" t="str">
        <f>[1]Sheet1!Q174</f>
        <v>Otro</v>
      </c>
      <c r="R174" s="228" t="str">
        <f>[1]Sheet1!R174</f>
        <v xml:space="preserve">Actualmente, los estudiantes y la institución enfrentan dificultades para gestionar cambios académicos, financieros y administrativos de manera eficiente, afectando la experiencia del estudiante y la gestión interna.
</v>
      </c>
      <c r="S174" s="228" t="str">
        <f>[1]Sheet1!S174</f>
        <v>Ver archivo adjunto con información del requerimiento. Link: https://educorpperu.sharepoint.com/:x:/s/Repositorio_EquipoCentral/dit/portafoliosyp/IQBPjj-nPuoDQbtwySJjx2sbAR4Cx0FwHcOnpoZf6N5wGdw?e=Qxpak7</v>
      </c>
      <c r="T174" s="228" t="str">
        <f>[1]Sheet1!T174</f>
        <v xml:space="preserve">Ver archivo adjunto con información del requerimiento. Link: https://educorpperu.sharepoint.com/:x:/s/Repositorio_EquipoCentral/dit/portafoliosyp/IQBPjj-nPuoDQbtwySJjx2sbAR4Cx0FwHcOnpoZf6N5wGdw?e=Qxpak26
</v>
      </c>
      <c r="U174" s="228" t="str">
        <f>[1]Sheet1!U174</f>
        <v>Alumnos</v>
      </c>
      <c r="V174" s="228" t="str">
        <f>[1]Sheet1!V174</f>
        <v>Excelencia operativa</v>
      </c>
      <c r="W174" s="228" t="str">
        <f>[1]Sheet1!W174</f>
        <v>Si</v>
      </c>
      <c r="X174" s="228" t="str">
        <f>[1]Sheet1!X174</f>
        <v>No cuantificado o S/0</v>
      </c>
      <c r="Y174" s="228"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59"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59">
        <f>[1]Sheet1!AA174</f>
        <v>1.2000000000000002</v>
      </c>
    </row>
    <row r="175" spans="1:27" ht="18.600000000000001" customHeight="1">
      <c r="A175" s="363">
        <f>[1]Sheet1!A175</f>
        <v>201</v>
      </c>
      <c r="B175" s="227">
        <f>[1]Sheet1!B175</f>
        <v>46169.649259259299</v>
      </c>
      <c r="C175" s="227">
        <f>[1]Sheet1!C175</f>
        <v>46169.741365740701</v>
      </c>
      <c r="D175" s="228" t="str">
        <f>[1]Sheet1!D175</f>
        <v>davies.galdos@laureate.pe</v>
      </c>
      <c r="E175" s="228" t="str">
        <f>[1]Sheet1!E175</f>
        <v>Davies Galdos Yactayo</v>
      </c>
      <c r="F175" s="228" t="str">
        <f>[1]Sheet1!F175</f>
        <v>[194] - Reanudación de estudios</v>
      </c>
      <c r="G175" s="228"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228" t="str">
        <f>[1]Sheet1!H175</f>
        <v>UPC</v>
      </c>
      <c r="I175" s="228" t="str">
        <f>[1]Sheet1!I175</f>
        <v>Milagros Morgan - Rectorado UPC</v>
      </c>
      <c r="J175" s="228" t="str">
        <f>[1]Sheet1!J175</f>
        <v>Miguel Chang</v>
      </c>
      <c r="K175" s="228"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228" t="str">
        <f>[1]Sheet1!L175</f>
        <v>Ninguno</v>
      </c>
      <c r="M175" s="229">
        <f>[1]Sheet1!M175</f>
        <v>46387</v>
      </c>
      <c r="N175" s="229" t="str">
        <f>[1]Sheet1!N175</f>
        <v>No</v>
      </c>
      <c r="O175" s="228">
        <f>[1]Sheet1!O175</f>
        <v>0</v>
      </c>
      <c r="P175" s="228">
        <f>[1]Sheet1!P175</f>
        <v>0</v>
      </c>
      <c r="Q175" s="228" t="str">
        <f>[1]Sheet1!Q175</f>
        <v>Otro</v>
      </c>
      <c r="R175" s="228"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228" t="str">
        <f>[1]Sheet1!S175</f>
        <v>Ver archivo adjunto con información del requerimiento. Link: https://educorpperu-my.sharepoint.com/:x:/g/personal/diana_zapata_laureate_pe1/IQA4jws3Zxk9RI9Zb6WbpNsKAcXE0uImyxpnyZg5Gbjzhbs?e=3Ggumx</v>
      </c>
      <c r="T175" s="228" t="str">
        <f>[1]Sheet1!T175</f>
        <v>Ver archivo adjunto con información del requerimiento. Link: https://educorpperu-my.sharepoint.com/:x:/g/personal/diana_zapata_laureate_pe1/IQA4jws3Zxk9RI9Zb6WbpNsKAcXE0uImyxpnyZg5Gbjzhbs?e=3Ggumx</v>
      </c>
      <c r="U175" s="228" t="str">
        <f>[1]Sheet1!U175</f>
        <v>Alumnos</v>
      </c>
      <c r="V175" s="228" t="str">
        <f>[1]Sheet1!V175</f>
        <v>Excelencia operativa</v>
      </c>
      <c r="W175" s="228" t="str">
        <f>[1]Sheet1!W175</f>
        <v>Si</v>
      </c>
      <c r="X175" s="228" t="str">
        <f>[1]Sheet1!X175</f>
        <v>No cuantificado o S/0</v>
      </c>
      <c r="Y175" s="228"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59"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59">
        <f>[1]Sheet1!AA175</f>
        <v>1.2000000000000002</v>
      </c>
    </row>
    <row r="176" spans="1:27" ht="18.600000000000001" customHeight="1">
      <c r="A176" s="363">
        <f>[1]Sheet1!A176</f>
        <v>202</v>
      </c>
      <c r="B176" s="227">
        <f>[1]Sheet1!B176</f>
        <v>46169.741724537002</v>
      </c>
      <c r="C176" s="227">
        <f>[1]Sheet1!C176</f>
        <v>46169.745104166701</v>
      </c>
      <c r="D176" s="228" t="str">
        <f>[1]Sheet1!D176</f>
        <v>davies.galdos@laureate.pe</v>
      </c>
      <c r="E176" s="228" t="str">
        <f>[1]Sheet1!E176</f>
        <v>Davies Galdos Yactayo</v>
      </c>
      <c r="F176" s="228" t="str">
        <f>[1]Sheet1!F176</f>
        <v>[16] - Tramite de Solicitudes de Deportistas Destacados</v>
      </c>
      <c r="G176" s="228"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228" t="str">
        <f>[1]Sheet1!H176</f>
        <v>UPC</v>
      </c>
      <c r="I176" s="228" t="str">
        <f>[1]Sheet1!I176</f>
        <v>Milagros Morgan - Rectorado UPC</v>
      </c>
      <c r="J176" s="228" t="str">
        <f>[1]Sheet1!J176</f>
        <v>Javiera Alcazar</v>
      </c>
      <c r="K176" s="228"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228" t="str">
        <f>[1]Sheet1!L176</f>
        <v>Ninguno</v>
      </c>
      <c r="M176" s="229">
        <f>[1]Sheet1!M176</f>
        <v>46387</v>
      </c>
      <c r="N176" s="229" t="str">
        <f>[1]Sheet1!N176</f>
        <v>No</v>
      </c>
      <c r="O176" s="228">
        <f>[1]Sheet1!O176</f>
        <v>0</v>
      </c>
      <c r="P176" s="228">
        <f>[1]Sheet1!P176</f>
        <v>0</v>
      </c>
      <c r="Q176" s="228" t="str">
        <f>[1]Sheet1!Q176</f>
        <v>Otro</v>
      </c>
      <c r="R176" s="228"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228" t="str">
        <f>[1]Sheet1!S176</f>
        <v>Ver archivo adjunto con información del requerimiento. Link: https://educorpperu-my.sharepoint.com/:x:/g/personal/diana_zapata_laureate_pe1/IQA4jws3Zxk9RI9Zb6WbpNsKAcXE0uImyxpnyZg5Gbjzhbs?e=3Ggumx</v>
      </c>
      <c r="T176" s="228"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228" t="str">
        <f>[1]Sheet1!U176</f>
        <v>Alumnos</v>
      </c>
      <c r="V176" s="228" t="str">
        <f>[1]Sheet1!V176</f>
        <v>Excelencia operativa</v>
      </c>
      <c r="W176" s="228" t="str">
        <f>[1]Sheet1!W176</f>
        <v>Si</v>
      </c>
      <c r="X176" s="228" t="str">
        <f>[1]Sheet1!X176</f>
        <v>No cuantificado o S/0</v>
      </c>
      <c r="Y176" s="228"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59"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59">
        <f>[1]Sheet1!AA176</f>
        <v>1.2000000000000002</v>
      </c>
    </row>
    <row r="177" spans="1:27" ht="18.600000000000001" customHeight="1">
      <c r="A177" s="363">
        <f>[1]Sheet1!A177</f>
        <v>203</v>
      </c>
      <c r="B177" s="227">
        <f>[1]Sheet1!B177</f>
        <v>46169.747037036999</v>
      </c>
      <c r="C177" s="227">
        <f>[1]Sheet1!C177</f>
        <v>46169.749363425901</v>
      </c>
      <c r="D177" s="228" t="str">
        <f>[1]Sheet1!D177</f>
        <v>davies.galdos@laureate.pe</v>
      </c>
      <c r="E177" s="228" t="str">
        <f>[1]Sheet1!E177</f>
        <v>Davies Galdos Yactayo</v>
      </c>
      <c r="F177" s="228" t="str">
        <f>[1]Sheet1!F177</f>
        <v>[113] - Trámite de reprogramación de clases</v>
      </c>
      <c r="G177" s="228"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228" t="str">
        <f>[1]Sheet1!H177</f>
        <v>UPC</v>
      </c>
      <c r="I177" s="228" t="str">
        <f>[1]Sheet1!I177</f>
        <v>Milagros Morgan - Rectorado UPC</v>
      </c>
      <c r="J177" s="228" t="str">
        <f>[1]Sheet1!J177</f>
        <v>Miguel Chang</v>
      </c>
      <c r="K177" s="228"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228" t="str">
        <f>[1]Sheet1!L177</f>
        <v>Ninguno</v>
      </c>
      <c r="M177" s="229">
        <f>[1]Sheet1!M177</f>
        <v>46387</v>
      </c>
      <c r="N177" s="229" t="str">
        <f>[1]Sheet1!N177</f>
        <v>No</v>
      </c>
      <c r="O177" s="228">
        <f>[1]Sheet1!O177</f>
        <v>0</v>
      </c>
      <c r="P177" s="228">
        <f>[1]Sheet1!P177</f>
        <v>0</v>
      </c>
      <c r="Q177" s="228" t="str">
        <f>[1]Sheet1!Q177</f>
        <v>Otro</v>
      </c>
      <c r="R177" s="228"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228" t="str">
        <f>[1]Sheet1!S177</f>
        <v>Ver archivo adjunto con información del requerimiento. Link: https://educorpperu-my.sharepoint.com/:x:/g/personal/diana_zapata_laureate_pe1/IQA4jws3Zxk9RI9Zb6WbpNsKAcXE0uImyxpnyZg5Gbjzhbs?e=3Ggumx</v>
      </c>
      <c r="T177" s="228"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228" t="str">
        <f>[1]Sheet1!U177</f>
        <v>Alumnos</v>
      </c>
      <c r="V177" s="228" t="str">
        <f>[1]Sheet1!V177</f>
        <v>Excelencia operativa</v>
      </c>
      <c r="W177" s="228" t="str">
        <f>[1]Sheet1!W177</f>
        <v>Si</v>
      </c>
      <c r="X177" s="228" t="str">
        <f>[1]Sheet1!X177</f>
        <v>No cuantificado o S/0</v>
      </c>
      <c r="Y177" s="228"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59"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59">
        <f>[1]Sheet1!AA177</f>
        <v>1.2000000000000002</v>
      </c>
    </row>
    <row r="178" spans="1:27" ht="18.600000000000001" customHeight="1">
      <c r="A178" s="363">
        <f>[1]Sheet1!A178</f>
        <v>204</v>
      </c>
      <c r="B178" s="227">
        <f>[1]Sheet1!B178</f>
        <v>46169.750474537002</v>
      </c>
      <c r="C178" s="227">
        <f>[1]Sheet1!C178</f>
        <v>46169.752673611103</v>
      </c>
      <c r="D178" s="228" t="str">
        <f>[1]Sheet1!D178</f>
        <v>davies.galdos@laureate.pe</v>
      </c>
      <c r="E178" s="228" t="str">
        <f>[1]Sheet1!E178</f>
        <v>Davies Galdos Yactayo</v>
      </c>
      <c r="F178" s="228" t="str">
        <f>[1]Sheet1!F178</f>
        <v>[199] - Trámite de convalidación de asignatura</v>
      </c>
      <c r="G178" s="228"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228" t="str">
        <f>[1]Sheet1!H178</f>
        <v>UPC</v>
      </c>
      <c r="I178" s="228" t="str">
        <f>[1]Sheet1!I178</f>
        <v>Milagros Morgan - Rectorado UPC</v>
      </c>
      <c r="J178" s="228" t="str">
        <f>[1]Sheet1!J178</f>
        <v>Miguel Chang</v>
      </c>
      <c r="K178" s="228"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228" t="str">
        <f>[1]Sheet1!L178</f>
        <v>Ninguno</v>
      </c>
      <c r="M178" s="229">
        <f>[1]Sheet1!M178</f>
        <v>46387</v>
      </c>
      <c r="N178" s="229" t="str">
        <f>[1]Sheet1!N178</f>
        <v>No</v>
      </c>
      <c r="O178" s="228">
        <f>[1]Sheet1!O178</f>
        <v>0</v>
      </c>
      <c r="P178" s="228">
        <f>[1]Sheet1!P178</f>
        <v>0</v>
      </c>
      <c r="Q178" s="228" t="str">
        <f>[1]Sheet1!Q178</f>
        <v>Otro</v>
      </c>
      <c r="R178" s="228"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228" t="str">
        <f>[1]Sheet1!S178</f>
        <v>Ver archivo adjunto con información del requerimiento. Link: https://educorpperu-my.sharepoint.com/:x:/g/personal/diana_zapata_laureate_pe1/IQA4jws3Zxk9RI9Zb6WbpNsKAcXE0uImyxpnyZg5Gbjzhbs?e=3Ggumx</v>
      </c>
      <c r="T178" s="228"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228" t="str">
        <f>[1]Sheet1!U178</f>
        <v>Alumnos</v>
      </c>
      <c r="V178" s="228" t="str">
        <f>[1]Sheet1!V178</f>
        <v>Excelencia operativa</v>
      </c>
      <c r="W178" s="228" t="str">
        <f>[1]Sheet1!W178</f>
        <v>Si</v>
      </c>
      <c r="X178" s="228" t="str">
        <f>[1]Sheet1!X178</f>
        <v>No cuantificado o S/0</v>
      </c>
      <c r="Y178" s="228"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59"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59">
        <f>[1]Sheet1!AA178</f>
        <v>1.2000000000000002</v>
      </c>
    </row>
    <row r="179" spans="1:27" ht="18.600000000000001" customHeight="1">
      <c r="A179" s="363">
        <f>[1]Sheet1!A179</f>
        <v>205</v>
      </c>
      <c r="B179" s="227">
        <f>[1]Sheet1!B179</f>
        <v>46169.752847222197</v>
      </c>
      <c r="C179" s="227">
        <f>[1]Sheet1!C179</f>
        <v>46169.754074074102</v>
      </c>
      <c r="D179" s="228" t="str">
        <f>[1]Sheet1!D179</f>
        <v>davies.galdos@laureate.pe</v>
      </c>
      <c r="E179" s="228" t="str">
        <f>[1]Sheet1!E179</f>
        <v>Davies Galdos Yactayo</v>
      </c>
      <c r="F179" s="228" t="str">
        <f>[1]Sheet1!F179</f>
        <v>[186] - Tramites Correccion de Evaluacion - anulación</v>
      </c>
      <c r="G179" s="228"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228" t="str">
        <f>[1]Sheet1!H179</f>
        <v>UPC</v>
      </c>
      <c r="I179" s="228" t="str">
        <f>[1]Sheet1!I179</f>
        <v>Milagros Morgan - Rectorado UPC</v>
      </c>
      <c r="J179" s="228" t="str">
        <f>[1]Sheet1!J179</f>
        <v>Miguel Chang</v>
      </c>
      <c r="K179" s="228"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228" t="str">
        <f>[1]Sheet1!L179</f>
        <v>Ninguno</v>
      </c>
      <c r="M179" s="229">
        <f>[1]Sheet1!M179</f>
        <v>46387</v>
      </c>
      <c r="N179" s="229" t="str">
        <f>[1]Sheet1!N179</f>
        <v>No</v>
      </c>
      <c r="O179" s="228">
        <f>[1]Sheet1!O179</f>
        <v>0</v>
      </c>
      <c r="P179" s="228">
        <f>[1]Sheet1!P179</f>
        <v>0</v>
      </c>
      <c r="Q179" s="228" t="str">
        <f>[1]Sheet1!Q179</f>
        <v>Otro</v>
      </c>
      <c r="R179" s="228"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228" t="str">
        <f>[1]Sheet1!S179</f>
        <v>Ver archivo adjunto con información del requerimiento. Link: https://educorpperu-my.sharepoint.com/:x:/g/personal/diana_zapata_laureate_pe1/IQA4jws3Zxk9RI9Zb6WbpNsKAcXE0uImyxpnyZg5Gbjzhbs?e=3Ggumx</v>
      </c>
      <c r="T179" s="228"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228" t="str">
        <f>[1]Sheet1!U179</f>
        <v>Alumnos</v>
      </c>
      <c r="V179" s="228" t="str">
        <f>[1]Sheet1!V179</f>
        <v>Excelencia operativa</v>
      </c>
      <c r="W179" s="228" t="str">
        <f>[1]Sheet1!W179</f>
        <v>Si</v>
      </c>
      <c r="X179" s="228" t="str">
        <f>[1]Sheet1!X179</f>
        <v>No cuantificado o S/0</v>
      </c>
      <c r="Y179" s="228"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59"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59">
        <f>[1]Sheet1!AA179</f>
        <v>1.2000000000000002</v>
      </c>
    </row>
    <row r="180" spans="1:27" ht="18.600000000000001" customHeight="1">
      <c r="A180" s="363">
        <f>[1]Sheet1!A180</f>
        <v>206</v>
      </c>
      <c r="B180" s="227">
        <f>[1]Sheet1!B180</f>
        <v>46169.754131944399</v>
      </c>
      <c r="C180" s="227">
        <f>[1]Sheet1!C180</f>
        <v>46169.758865740703</v>
      </c>
      <c r="D180" s="228" t="str">
        <f>[1]Sheet1!D180</f>
        <v>davies.galdos@laureate.pe</v>
      </c>
      <c r="E180" s="228" t="str">
        <f>[1]Sheet1!E180</f>
        <v>Davies Galdos Yactayo</v>
      </c>
      <c r="F180" s="228" t="str">
        <f>[1]Sheet1!F180</f>
        <v>[197] - Trámite Recuperación de evaluación</v>
      </c>
      <c r="G180" s="228"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228" t="str">
        <f>[1]Sheet1!H180</f>
        <v>UPC</v>
      </c>
      <c r="I180" s="228" t="str">
        <f>[1]Sheet1!I180</f>
        <v>Milagros Morgan - Rectorado UPC</v>
      </c>
      <c r="J180" s="228" t="str">
        <f>[1]Sheet1!J180</f>
        <v>Miguel Chang</v>
      </c>
      <c r="K180" s="228"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228" t="str">
        <f>[1]Sheet1!L180</f>
        <v>Ninguno</v>
      </c>
      <c r="M180" s="229">
        <f>[1]Sheet1!M180</f>
        <v>46387</v>
      </c>
      <c r="N180" s="229" t="str">
        <f>[1]Sheet1!N180</f>
        <v>No</v>
      </c>
      <c r="O180" s="228">
        <f>[1]Sheet1!O180</f>
        <v>0</v>
      </c>
      <c r="P180" s="228">
        <f>[1]Sheet1!P180</f>
        <v>0</v>
      </c>
      <c r="Q180" s="228" t="str">
        <f>[1]Sheet1!Q180</f>
        <v>Otro</v>
      </c>
      <c r="R180" s="228"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228" t="str">
        <f>[1]Sheet1!S180</f>
        <v>Ver archivo adjunto con información del requerimiento. Link: https://educorpperu-my.sharepoint.com/:x:/g/personal/diana_zapata_laureate_pe1/IQA4jws3Zxk9RI9Zb6WbpNsKAcXE0uImyxpnyZg5Gbjzhbs?e=3Ggumx</v>
      </c>
      <c r="T180" s="228"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228" t="str">
        <f>[1]Sheet1!U180</f>
        <v>Alumnos</v>
      </c>
      <c r="V180" s="228" t="str">
        <f>[1]Sheet1!V180</f>
        <v>Excelencia operativa</v>
      </c>
      <c r="W180" s="228" t="str">
        <f>[1]Sheet1!W180</f>
        <v>Si</v>
      </c>
      <c r="X180" s="228" t="str">
        <f>[1]Sheet1!X180</f>
        <v>No cuantificado o S/0</v>
      </c>
      <c r="Y180" s="228"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59"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59">
        <f>[1]Sheet1!AA180</f>
        <v>1.2000000000000002</v>
      </c>
    </row>
    <row r="181" spans="1:27" ht="18.600000000000001" customHeight="1">
      <c r="A181" s="363">
        <f>[1]Sheet1!A181</f>
        <v>207</v>
      </c>
      <c r="B181" s="227">
        <f>[1]Sheet1!B181</f>
        <v>46169.7590277778</v>
      </c>
      <c r="C181" s="227">
        <f>[1]Sheet1!C181</f>
        <v>46169.760717592602</v>
      </c>
      <c r="D181" s="228" t="str">
        <f>[1]Sheet1!D181</f>
        <v>davies.galdos@laureate.pe</v>
      </c>
      <c r="E181" s="228" t="str">
        <f>[1]Sheet1!E181</f>
        <v>Davies Galdos Yactayo</v>
      </c>
      <c r="F181" s="228" t="str">
        <f>[1]Sheet1!F181</f>
        <v>[36] - Convalidación PPP</v>
      </c>
      <c r="G181" s="228"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228" t="str">
        <f>[1]Sheet1!H181</f>
        <v>UPC</v>
      </c>
      <c r="I181" s="228" t="str">
        <f>[1]Sheet1!I181</f>
        <v>Milagros Morgan - Rectorado UPC</v>
      </c>
      <c r="J181" s="228" t="str">
        <f>[1]Sheet1!J181</f>
        <v>Mónica Villegas</v>
      </c>
      <c r="K181" s="228"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228" t="str">
        <f>[1]Sheet1!L181</f>
        <v>Ninguno</v>
      </c>
      <c r="M181" s="229">
        <f>[1]Sheet1!M181</f>
        <v>46387</v>
      </c>
      <c r="N181" s="229" t="str">
        <f>[1]Sheet1!N181</f>
        <v>No</v>
      </c>
      <c r="O181" s="228">
        <f>[1]Sheet1!O181</f>
        <v>0</v>
      </c>
      <c r="P181" s="228">
        <f>[1]Sheet1!P181</f>
        <v>0</v>
      </c>
      <c r="Q181" s="228" t="str">
        <f>[1]Sheet1!Q181</f>
        <v>Otro</v>
      </c>
      <c r="R181" s="228"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228" t="str">
        <f>[1]Sheet1!S181</f>
        <v>Ver archivo adjunto con información del requerimiento. Link: https://educorpperu-my.sharepoint.com/:x:/g/personal/diana_zapata_laureate_pe1/IQA4jws3Zxk9RI9Zb6WbpNsKAcXE0uImyxpnyZg5Gbjzhbs?e=3Ggumx</v>
      </c>
      <c r="T181" s="228"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228" t="str">
        <f>[1]Sheet1!U181</f>
        <v>Alumnos</v>
      </c>
      <c r="V181" s="228" t="str">
        <f>[1]Sheet1!V181</f>
        <v>Excelencia operativa</v>
      </c>
      <c r="W181" s="228" t="str">
        <f>[1]Sheet1!W181</f>
        <v>Si</v>
      </c>
      <c r="X181" s="228" t="str">
        <f>[1]Sheet1!X181</f>
        <v>No cuantificado o S/0</v>
      </c>
      <c r="Y181" s="228"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59"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59">
        <f>[1]Sheet1!AA181</f>
        <v>1.2000000000000002</v>
      </c>
    </row>
    <row r="182" spans="1:27" ht="18.600000000000001" customHeight="1">
      <c r="A182" s="363">
        <f>[1]Sheet1!A182</f>
        <v>208</v>
      </c>
      <c r="B182" s="227">
        <f>[1]Sheet1!B182</f>
        <v>46169.760856481502</v>
      </c>
      <c r="C182" s="227">
        <f>[1]Sheet1!C182</f>
        <v>46169.762476851902</v>
      </c>
      <c r="D182" s="228" t="str">
        <f>[1]Sheet1!D182</f>
        <v>davies.galdos@laureate.pe</v>
      </c>
      <c r="E182" s="228" t="str">
        <f>[1]Sheet1!E182</f>
        <v>Davies Galdos Yactayo</v>
      </c>
      <c r="F182" s="228" t="str">
        <f>[1]Sheet1!F182</f>
        <v>[12] - Traslado de carrera - Servicio Banner</v>
      </c>
      <c r="G182" s="228"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228" t="str">
        <f>[1]Sheet1!H182</f>
        <v>UPC</v>
      </c>
      <c r="I182" s="228" t="str">
        <f>[1]Sheet1!I182</f>
        <v>Milagros Morgan - Rectorado UPC</v>
      </c>
      <c r="J182" s="228" t="str">
        <f>[1]Sheet1!J182</f>
        <v>Maria Isabel Cifuentes</v>
      </c>
      <c r="K182" s="228"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228" t="str">
        <f>[1]Sheet1!L182</f>
        <v>Ninguno</v>
      </c>
      <c r="M182" s="229">
        <f>[1]Sheet1!M182</f>
        <v>46387</v>
      </c>
      <c r="N182" s="229" t="str">
        <f>[1]Sheet1!N182</f>
        <v>No</v>
      </c>
      <c r="O182" s="228">
        <f>[1]Sheet1!O182</f>
        <v>0</v>
      </c>
      <c r="P182" s="228">
        <f>[1]Sheet1!P182</f>
        <v>0</v>
      </c>
      <c r="Q182" s="228" t="str">
        <f>[1]Sheet1!Q182</f>
        <v>Otro</v>
      </c>
      <c r="R182" s="228"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228" t="str">
        <f>[1]Sheet1!S182</f>
        <v>Ver archivo adjunto con información del requerimiento. Link: https://educorpperu-my.sharepoint.com/:x:/g/personal/diana_zapata_laureate_pe1/IQA4jws3Zxk9RI9Zb6WbpNsKAcXE0uImyxpnyZg5Gbjzhbs?e=3Ggumx</v>
      </c>
      <c r="T182" s="228"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228" t="str">
        <f>[1]Sheet1!U182</f>
        <v>Alumnos</v>
      </c>
      <c r="V182" s="228" t="str">
        <f>[1]Sheet1!V182</f>
        <v>Excelencia operativa</v>
      </c>
      <c r="W182" s="228" t="str">
        <f>[1]Sheet1!W182</f>
        <v>Si</v>
      </c>
      <c r="X182" s="228" t="str">
        <f>[1]Sheet1!X182</f>
        <v>No cuantificado o S/0</v>
      </c>
      <c r="Y182" s="228"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59"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59">
        <f>[1]Sheet1!AA182</f>
        <v>1.2000000000000002</v>
      </c>
    </row>
    <row r="183" spans="1:27" ht="18.600000000000001" customHeight="1">
      <c r="A183" s="59">
        <f>[1]Sheet1!A183</f>
        <v>209</v>
      </c>
      <c r="B183" s="227">
        <f>[1]Sheet1!B183</f>
        <v>46169.786111111098</v>
      </c>
      <c r="C183" s="227">
        <f>[1]Sheet1!C183</f>
        <v>46169.802662037</v>
      </c>
      <c r="D183" s="228" t="str">
        <f>[1]Sheet1!D183</f>
        <v>nancy.fernandez@laureate.pe</v>
      </c>
      <c r="E183" s="228" t="str">
        <f>[1]Sheet1!E183</f>
        <v>Nancy Fernandez Ventosilla</v>
      </c>
      <c r="F183" s="228" t="str">
        <f>[1]Sheet1!F183</f>
        <v>Conectar Sócrates con el nuevo Spring CIB</v>
      </c>
      <c r="G183" s="228" t="str">
        <f>[1]Sheet1!G183</f>
        <v>Conectar Sócrates con el nuevo Spring CIB para que funcione como el modelo UPC</v>
      </c>
      <c r="H183" s="228" t="str">
        <f>[1]Sheet1!H183</f>
        <v>CIB</v>
      </c>
      <c r="I183" s="228" t="str">
        <f>[1]Sheet1!I183</f>
        <v>Humberto Marota - Tecnologías y transformación digital</v>
      </c>
      <c r="J183" s="228" t="str">
        <f>[1]Sheet1!J183</f>
        <v>Danilo Nogueira Tauil</v>
      </c>
      <c r="K183" s="228" t="str">
        <f>[1]Sheet1!K183</f>
        <v>https://educorpperu-my.sharepoint.com/personal/diana_zapata_laureate_pe1/Documents/Aplicaciones/Microsoft%20Forms/REGISTRO%20DE%20INICIATIVAS%20-%20GESTI%C3%93N%20DE%20LA%20DEMANDA%20(2%201/Pregunta/Captura%20de%20pantalla%202026-05-27%20185912_Nancy%20Fernandez%20Vent.png</v>
      </c>
      <c r="L183" s="228" t="str">
        <f>[1]Sheet1!L183</f>
        <v>Carla Arias-Schreiber</v>
      </c>
      <c r="M183" s="229">
        <f>[1]Sheet1!M183</f>
        <v>46185</v>
      </c>
      <c r="N183" s="229" t="str">
        <f>[1]Sheet1!N183</f>
        <v>No</v>
      </c>
      <c r="O183" s="228">
        <f>[1]Sheet1!O183</f>
        <v>0</v>
      </c>
      <c r="P183" s="228">
        <f>[1]Sheet1!P183</f>
        <v>0</v>
      </c>
      <c r="Q183" s="228" t="str">
        <f>[1]Sheet1!Q183</f>
        <v>Otro</v>
      </c>
      <c r="R183" s="228" t="str">
        <f>[1]Sheet1!R183</f>
        <v>Actualmente CIB trabaja con Socrates Obligaciones, se requiere saber si el esfuerzo que se realizo en Grandeza y que quwdo al 90% (pensando en conectarse al Orquestador) sirve para tener el modelo UPC</v>
      </c>
      <c r="S183" s="228" t="str">
        <f>[1]Sheet1!S183</f>
        <v xml:space="preserve">modelo UPC con nuevo Socrates </v>
      </c>
      <c r="T183" s="228" t="str">
        <f>[1]Sheet1!T183</f>
        <v>Admisión</v>
      </c>
      <c r="U183" s="228" t="str">
        <f>[1]Sheet1!U183</f>
        <v>Administrativos</v>
      </c>
      <c r="V183" s="228" t="str">
        <f>[1]Sheet1!V183</f>
        <v>Excelencia operativa</v>
      </c>
      <c r="W183" s="228" t="str">
        <f>[1]Sheet1!W183</f>
        <v>No</v>
      </c>
      <c r="X183" s="228" t="str">
        <f>[1]Sheet1!X183</f>
        <v>No cuantificado o S/0</v>
      </c>
      <c r="Y183" s="228" t="str">
        <f>[1]Sheet1!Y183</f>
        <v>menos trabajo manual</v>
      </c>
      <c r="Z183" s="59"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59">
        <f>[1]Sheet1!AA183</f>
        <v>0.60000000000000009</v>
      </c>
    </row>
    <row r="184" spans="1:27" ht="18.600000000000001" customHeight="1">
      <c r="A184" s="59">
        <f>[1]Sheet1!A184</f>
        <v>210</v>
      </c>
      <c r="B184" s="227">
        <f>[1]Sheet1!B184</f>
        <v>46169.8046412037</v>
      </c>
      <c r="C184" s="227">
        <f>[1]Sheet1!C184</f>
        <v>46169.817731481497</v>
      </c>
      <c r="D184" s="228" t="str">
        <f>[1]Sheet1!D184</f>
        <v>nancy.fernandez@laureate.pe</v>
      </c>
      <c r="E184" s="228" t="str">
        <f>[1]Sheet1!E184</f>
        <v>Nancy Fernandez Ventosilla</v>
      </c>
      <c r="F184" s="228" t="str">
        <f>[1]Sheet1!F184</f>
        <v>Implementar FOCO y demás modalidades en Banner CIB</v>
      </c>
      <c r="G184" s="228" t="str">
        <f>[1]Sheet1!G184</f>
        <v>Implementar FOCO y demás modalidades en Banner CIB para no depender de Socrates y puedan funcionar con Lego</v>
      </c>
      <c r="H184" s="228" t="str">
        <f>[1]Sheet1!H184</f>
        <v>CIB</v>
      </c>
      <c r="I184" s="228" t="str">
        <f>[1]Sheet1!I184</f>
        <v>Humberto Marota - Tecnologías y transformación digital</v>
      </c>
      <c r="J184" s="228" t="str">
        <f>[1]Sheet1!J184</f>
        <v>Danilo Nogueira Tauil</v>
      </c>
      <c r="K184" s="228" t="str">
        <f>[1]Sheet1!K184</f>
        <v>https://educorpperu-my.sharepoint.com/personal/diana_zapata_laureate_pe1/Documents/Aplicaciones/Microsoft%20Forms/REGISTRO%20DE%20INICIATIVAS%20-%20GESTI%C3%93N%20DE%20LA%20DEMANDA%20(2%201/Pregunta/Captura%20de%20pantalla%202026-05-27%20185912_Nancy%20Fernandez%20Vent%201.png</v>
      </c>
      <c r="L184" s="228" t="str">
        <f>[1]Sheet1!L184</f>
        <v>Carla Arias-Schreiber</v>
      </c>
      <c r="M184" s="229">
        <f>[1]Sheet1!M184</f>
        <v>46185</v>
      </c>
      <c r="N184" s="229" t="str">
        <f>[1]Sheet1!N184</f>
        <v>No</v>
      </c>
      <c r="O184" s="228">
        <f>[1]Sheet1!O184</f>
        <v>0</v>
      </c>
      <c r="P184" s="228">
        <f>[1]Sheet1!P184</f>
        <v>0</v>
      </c>
      <c r="Q184" s="228" t="str">
        <f>[1]Sheet1!Q184</f>
        <v>Otro</v>
      </c>
      <c r="R184" s="228" t="str">
        <f>[1]Sheet1!R184</f>
        <v>Actualmente solo Carreras Técnicas esta en Banner, se requiere a todas las modalidades</v>
      </c>
      <c r="S184" s="228" t="str">
        <f>[1]Sheet1!S184</f>
        <v>se requiere a todas las modalidades CIB</v>
      </c>
      <c r="T184" s="228" t="str">
        <f>[1]Sheet1!T184</f>
        <v>Academia</v>
      </c>
      <c r="U184" s="228" t="str">
        <f>[1]Sheet1!U184</f>
        <v>Administrativos</v>
      </c>
      <c r="V184" s="228" t="str">
        <f>[1]Sheet1!V184</f>
        <v>Excelencia operativa</v>
      </c>
      <c r="W184" s="228" t="str">
        <f>[1]Sheet1!W184</f>
        <v>Si</v>
      </c>
      <c r="X184" s="228" t="str">
        <f>[1]Sheet1!X184</f>
        <v>No cuantificado o S/0</v>
      </c>
      <c r="Y184" s="228" t="str">
        <f>[1]Sheet1!Y184</f>
        <v>menos trabajo manual</v>
      </c>
      <c r="Z184" s="59" t="str">
        <f>[1]Sheet1!Z184</f>
        <v>https://educorpperu-my.sharepoint.com/personal/diana_zapata_laureate_pe1/_layouts/15/Doc.aspx?sourcedoc=%7B1F4B3AD2-AA9B-4D4B-87B0-A94E49AA5A74%7D&amp;file=Analisis%20Wetalk%20CIB%20vs%20FOCO%20CIB_Nancy%20Fernandez%20Vent.pptx&amp;action=edit&amp;mobileredirect=true</v>
      </c>
      <c r="AA184" s="59">
        <f>[1]Sheet1!AA184</f>
        <v>0.60000000000000009</v>
      </c>
    </row>
    <row r="185" spans="1:27" ht="18.600000000000001" customHeight="1">
      <c r="A185" s="64">
        <f>[1]Sheet1!A185</f>
        <v>211</v>
      </c>
      <c r="B185" s="227">
        <f>[1]Sheet1!B185</f>
        <v>46169.990219907399</v>
      </c>
      <c r="C185" s="227">
        <f>[1]Sheet1!C185</f>
        <v>46169.994224536997</v>
      </c>
      <c r="D185" s="228" t="str">
        <f>[1]Sheet1!D185</f>
        <v>carla.arias@laureate.pe</v>
      </c>
      <c r="E185" s="228" t="str">
        <f>[1]Sheet1!E185</f>
        <v>Carla Arias Schreiber Ulloa</v>
      </c>
      <c r="F185" s="228" t="str">
        <f>[1]Sheet1!F185</f>
        <v>[250] Generación de turnos de Planificación Horaria</v>
      </c>
      <c r="G185" s="228"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228" t="str">
        <f>[1]Sheet1!H185</f>
        <v>UPC</v>
      </c>
      <c r="I185" s="228" t="str">
        <f>[1]Sheet1!I185</f>
        <v>Milagros Morgan - Rectorado UPC</v>
      </c>
      <c r="J185" s="228" t="str">
        <f>[1]Sheet1!J185</f>
        <v>Miguel Chang</v>
      </c>
      <c r="K185" s="228" t="str">
        <f>[1]Sheet1!K185</f>
        <v>https://educorpperu-my.sharepoint.com/personal/diana_zapata_laureate_pe1/Documents/Aplicaciones/Microsoft%20Forms/REGISTRO%20DE%20INICIATIVAS%20-%20GESTI%C3%93N%20DE%20LA%20DEMANDA%20(2%201/Pregunta/Aprobaci%C3%B3n%20Miguel_Requerimientos%20SisAcaUPC_Carla%20Arias%20Schreibe.pdf</v>
      </c>
      <c r="L185" s="228" t="str">
        <f>[1]Sheet1!L185</f>
        <v>Ninguno</v>
      </c>
      <c r="M185" s="229">
        <f>[1]Sheet1!M185</f>
        <v>46209</v>
      </c>
      <c r="N185" s="229" t="str">
        <f>[1]Sheet1!N185</f>
        <v>No</v>
      </c>
      <c r="O185" s="228">
        <f>[1]Sheet1!O185</f>
        <v>0</v>
      </c>
      <c r="P185" s="228">
        <f>[1]Sheet1!P185</f>
        <v>0</v>
      </c>
      <c r="Q185" s="228" t="str">
        <f>[1]Sheet1!Q185</f>
        <v>Otro</v>
      </c>
      <c r="R185" s="228" t="str">
        <f>[1]Sheet1!R185</f>
        <v>Actualmente, los estudiantes y la institución enfrentan dificultades para gestionar cambios académicos, financieros y administrativos de manera eficiente, afectando la experiencia del estudiante y la gestión interna.</v>
      </c>
      <c r="S185" s="228" t="str">
        <f>[1]Sheet1!S185</f>
        <v>Ver archivo adjunto con información del requerimiento. Link: https://educorpperu.sharepoint.com/:x:/s/Repositorio_EquipoCentral/dit/portafoliosyp/IQBPjj-nPuoDQbtwySJjx2sbAR4Cx0FwHcOnpoZf6N5wGdw?e=Qxpak7</v>
      </c>
      <c r="T185" s="228" t="str">
        <f>[1]Sheet1!T185</f>
        <v>Ver archivo adjunto con información del requerimiento. Link: https://educorpperu.sharepoint.com/:x:/s/Repositorio_EquipoCentral/dit/portafoliosyp/IQBPjj-nPuoDQbtwySJjx2sbAR4Cx0FwHcOnpoZf6N5wGdw?e=Qxpak11</v>
      </c>
      <c r="U185" s="228" t="str">
        <f>[1]Sheet1!U185</f>
        <v>Alumnos</v>
      </c>
      <c r="V185" s="228" t="str">
        <f>[1]Sheet1!V185</f>
        <v>Excelencia operativa</v>
      </c>
      <c r="W185" s="228" t="str">
        <f>[1]Sheet1!W185</f>
        <v>Si</v>
      </c>
      <c r="X185" s="228" t="str">
        <f>[1]Sheet1!X185</f>
        <v>No cuantificado o S/0</v>
      </c>
      <c r="Y185" s="228"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59"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59">
        <f>[1]Sheet1!AA185</f>
        <v>1.2000000000000002</v>
      </c>
    </row>
    <row r="186" spans="1:27" ht="18.600000000000001" customHeight="1">
      <c r="A186" s="59">
        <f>[1]Sheet1!A186</f>
        <v>212</v>
      </c>
      <c r="B186" s="227">
        <f>[1]Sheet1!B186</f>
        <v>46169.993784722203</v>
      </c>
      <c r="C186" s="227">
        <f>[1]Sheet1!C186</f>
        <v>46169.995497685202</v>
      </c>
      <c r="D186" s="228" t="str">
        <f>[1]Sheet1!D186</f>
        <v>carla.arias@laureate.pe</v>
      </c>
      <c r="E186" s="228" t="str">
        <f>[1]Sheet1!E186</f>
        <v>Carla Arias Schreiber Ulloa</v>
      </c>
      <c r="F186" s="228" t="str">
        <f>[1]Sheet1!F186</f>
        <v>[200] Reporte individual de trámites (corrección asistencia docente, corrección asistencia alumno, reprogramación de clases, subsanación de evaluaciones, corrección de evaluaciones y  recuperación de evaluaciones)</v>
      </c>
      <c r="G186" s="228"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228" t="str">
        <f>[1]Sheet1!H186</f>
        <v>UPC</v>
      </c>
      <c r="I186" s="228" t="str">
        <f>[1]Sheet1!I186</f>
        <v>Milagros Morgan - Rectorado UPC</v>
      </c>
      <c r="J186" s="228" t="str">
        <f>[1]Sheet1!J186</f>
        <v>Miguel Chang</v>
      </c>
      <c r="K186" s="228"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228" t="str">
        <f>[1]Sheet1!L186</f>
        <v>Ninguno</v>
      </c>
      <c r="M186" s="229">
        <f>[1]Sheet1!M186</f>
        <v>46178</v>
      </c>
      <c r="N186" s="229" t="str">
        <f>[1]Sheet1!N186</f>
        <v>No</v>
      </c>
      <c r="O186" s="228">
        <f>[1]Sheet1!O186</f>
        <v>0</v>
      </c>
      <c r="P186" s="228">
        <f>[1]Sheet1!P186</f>
        <v>0</v>
      </c>
      <c r="Q186" s="228" t="str">
        <f>[1]Sheet1!Q186</f>
        <v>Otro</v>
      </c>
      <c r="R186" s="228" t="str">
        <f>[1]Sheet1!R186</f>
        <v>Actualmente, los estudiantes y la institución enfrentan dificultades para gestionar cambios académicos, financieros y administrativos de manera eficiente, afectando la experiencia del estudiante y la gestión interna.</v>
      </c>
      <c r="S186" s="228" t="str">
        <f>[1]Sheet1!S186</f>
        <v>Ver archivo adjunto con información del requerimiento. Link: https://educorpperu.sharepoint.com/:x:/s/Repositorio_EquipoCentral/dit/portafoliosyp/IQBPjj-nPuoDQbtwySJjx2sbAR4Cx0FwHcOnpoZf6N5wGdw?e=Qxpak7</v>
      </c>
      <c r="T186" s="228" t="str">
        <f>[1]Sheet1!T186</f>
        <v>Ver archivo adjunto con información del requerimiento. Link: https://educorpperu.sharepoint.com/:x:/s/Repositorio_EquipoCentral/dit/portafoliosyp/IQBPjj-nPuoDQbtwySJjx2sbAR4Cx0FwHcOnpoZf6N5wGdw?e=Qxpak11</v>
      </c>
      <c r="U186" s="228" t="str">
        <f>[1]Sheet1!U186</f>
        <v>Alumnos</v>
      </c>
      <c r="V186" s="228" t="str">
        <f>[1]Sheet1!V186</f>
        <v>Excelencia operativa</v>
      </c>
      <c r="W186" s="228" t="str">
        <f>[1]Sheet1!W186</f>
        <v>Si</v>
      </c>
      <c r="X186" s="228" t="str">
        <f>[1]Sheet1!X186</f>
        <v>No cuantificado o S/0</v>
      </c>
      <c r="Y186" s="228"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59"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59">
        <f>[1]Sheet1!AA186</f>
        <v>1.2000000000000002</v>
      </c>
    </row>
    <row r="187" spans="1:27" ht="18.600000000000001" customHeight="1">
      <c r="A187" s="64">
        <f>[1]Sheet1!A187</f>
        <v>213</v>
      </c>
      <c r="B187" s="227">
        <f>[1]Sheet1!B187</f>
        <v>46169.994814814803</v>
      </c>
      <c r="C187" s="227">
        <f>[1]Sheet1!C187</f>
        <v>46169.996388888903</v>
      </c>
      <c r="D187" s="228" t="str">
        <f>[1]Sheet1!D187</f>
        <v>carla.arias@laureate.pe</v>
      </c>
      <c r="E187" s="228" t="str">
        <f>[1]Sheet1!E187</f>
        <v>Carla Arias Schreiber Ulloa</v>
      </c>
      <c r="F187" s="228" t="str">
        <f>[1]Sheet1!F187</f>
        <v>[192] Corrección de asistencia alumno</v>
      </c>
      <c r="G187" s="228"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228" t="str">
        <f>[1]Sheet1!H187</f>
        <v>UPC</v>
      </c>
      <c r="I187" s="228" t="str">
        <f>[1]Sheet1!I187</f>
        <v>Milagros Morgan - Rectorado UPC</v>
      </c>
      <c r="J187" s="228" t="str">
        <f>[1]Sheet1!J187</f>
        <v>Miguel Chang</v>
      </c>
      <c r="K187" s="228"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228" t="str">
        <f>[1]Sheet1!L187</f>
        <v>Ninguno</v>
      </c>
      <c r="M187" s="229">
        <f>[1]Sheet1!M187</f>
        <v>46239</v>
      </c>
      <c r="N187" s="229" t="str">
        <f>[1]Sheet1!N187</f>
        <v>No</v>
      </c>
      <c r="O187" s="228">
        <f>[1]Sheet1!O187</f>
        <v>0</v>
      </c>
      <c r="P187" s="228">
        <f>[1]Sheet1!P187</f>
        <v>0</v>
      </c>
      <c r="Q187" s="228" t="str">
        <f>[1]Sheet1!Q187</f>
        <v>Otro</v>
      </c>
      <c r="R187" s="228" t="str">
        <f>[1]Sheet1!R187</f>
        <v>Actualmente, los estudiantes y la institución enfrentan dificultades para gestionar cambios académicos, financieros y administrativos de manera eficiente, afectando la experiencia del estudiante y la gestión interna.</v>
      </c>
      <c r="S187" s="228" t="str">
        <f>[1]Sheet1!S187</f>
        <v>Ver archivo adjunto con información del requerimiento. Link: https://educorpperu.sharepoint.com/:x:/s/Repositorio_EquipoCentral/dit/portafoliosyp/IQBPjj-nPuoDQbtwySJjx2sbAR4Cx0FwHcOnpoZf6N5wGdw?e=Qxpak7</v>
      </c>
      <c r="T187" s="228" t="str">
        <f>[1]Sheet1!T187</f>
        <v>Ver archivo adjunto con información del requerimiento. Link: https://educorpperu.sharepoint.com/:x:/s/Repositorio_EquipoCentral/dit/portafoliosyp/IQBPjj-nPuoDQbtwySJjx2sbAR4Cx0FwHcOnpoZf6N5wGdw?e=Qxpak11</v>
      </c>
      <c r="U187" s="228" t="str">
        <f>[1]Sheet1!U187</f>
        <v>Alumnos</v>
      </c>
      <c r="V187" s="228" t="str">
        <f>[1]Sheet1!V187</f>
        <v>Excelencia operativa</v>
      </c>
      <c r="W187" s="228" t="str">
        <f>[1]Sheet1!W187</f>
        <v>Si</v>
      </c>
      <c r="X187" s="228" t="str">
        <f>[1]Sheet1!X187</f>
        <v>No cuantificado o S/0</v>
      </c>
      <c r="Y187" s="228"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59"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59">
        <f>[1]Sheet1!AA187</f>
        <v>1.2000000000000002</v>
      </c>
    </row>
    <row r="188" spans="1:27" ht="18.600000000000001" customHeight="1">
      <c r="A188" s="64">
        <f>[1]Sheet1!A188</f>
        <v>214</v>
      </c>
      <c r="B188" s="227">
        <f>[1]Sheet1!B188</f>
        <v>46169.996284722198</v>
      </c>
      <c r="C188" s="227">
        <f>[1]Sheet1!C188</f>
        <v>46169.997106481504</v>
      </c>
      <c r="D188" s="228" t="str">
        <f>[1]Sheet1!D188</f>
        <v>carla.arias@laureate.pe</v>
      </c>
      <c r="E188" s="228" t="str">
        <f>[1]Sheet1!E188</f>
        <v>Carla Arias Schreiber Ulloa</v>
      </c>
      <c r="F188" s="228" t="str">
        <f>[1]Sheet1!F188</f>
        <v>[193] Corrección de asistencia docente</v>
      </c>
      <c r="G188" s="228"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228" t="str">
        <f>[1]Sheet1!H188</f>
        <v>UPC</v>
      </c>
      <c r="I188" s="228" t="str">
        <f>[1]Sheet1!I188</f>
        <v>Milagros Morgan - Rectorado UPC</v>
      </c>
      <c r="J188" s="228" t="str">
        <f>[1]Sheet1!J188</f>
        <v>Miguel Chang</v>
      </c>
      <c r="K188" s="228"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228" t="str">
        <f>[1]Sheet1!L188</f>
        <v>Ninguno</v>
      </c>
      <c r="M188" s="229">
        <f>[1]Sheet1!M188</f>
        <v>46239</v>
      </c>
      <c r="N188" s="229" t="str">
        <f>[1]Sheet1!N188</f>
        <v>No</v>
      </c>
      <c r="O188" s="228">
        <f>[1]Sheet1!O188</f>
        <v>0</v>
      </c>
      <c r="P188" s="228">
        <f>[1]Sheet1!P188</f>
        <v>0</v>
      </c>
      <c r="Q188" s="228" t="str">
        <f>[1]Sheet1!Q188</f>
        <v>Otro</v>
      </c>
      <c r="R188" s="228" t="str">
        <f>[1]Sheet1!R188</f>
        <v>Actualmente, los estudiantes y la institución enfrentan dificultades para gestionar cambios académicos, financieros y administrativos de manera eficiente, afectando la experiencia del estudiante y la gestión interna.</v>
      </c>
      <c r="S188" s="228" t="str">
        <f>[1]Sheet1!S188</f>
        <v>Ver archivo adjunto con información del requerimiento. Link: https://educorpperu.sharepoint.com/:x:/s/Repositorio_EquipoCentral/dit/portafoliosyp/IQBPjj-nPuoDQbtwySJjx2sbAR4Cx0FwHcOnpoZf6N5wGdw?e=Qxpak7</v>
      </c>
      <c r="T188" s="228" t="str">
        <f>[1]Sheet1!T188</f>
        <v>Ver archivo adjunto con información del requerimiento. Link: https://educorpperu.sharepoint.com/:x:/s/Repositorio_EquipoCentral/dit/portafoliosyp/IQBPjj-nPuoDQbtwySJjx2sbAR4Cx0FwHcOnpoZf6N5wGdw?e=Qxpak11</v>
      </c>
      <c r="U188" s="228" t="str">
        <f>[1]Sheet1!U188</f>
        <v>Alumnos</v>
      </c>
      <c r="V188" s="228" t="str">
        <f>[1]Sheet1!V188</f>
        <v>Excelencia operativa</v>
      </c>
      <c r="W188" s="228" t="str">
        <f>[1]Sheet1!W188</f>
        <v>Si</v>
      </c>
      <c r="X188" s="228" t="str">
        <f>[1]Sheet1!X188</f>
        <v>No cuantificado o S/0</v>
      </c>
      <c r="Y188" s="228"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59"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59">
        <f>[1]Sheet1!AA188</f>
        <v>1.2000000000000002</v>
      </c>
    </row>
    <row r="189" spans="1:27" ht="18.600000000000001" customHeight="1">
      <c r="A189" s="64">
        <f>[1]Sheet1!A189</f>
        <v>215</v>
      </c>
      <c r="B189" s="227">
        <f>[1]Sheet1!B189</f>
        <v>46169.997152777803</v>
      </c>
      <c r="C189" s="227">
        <f>[1]Sheet1!C189</f>
        <v>46169.999085648145</v>
      </c>
      <c r="D189" s="228" t="str">
        <f>[1]Sheet1!D189</f>
        <v>carla.arias@laureate.pe</v>
      </c>
      <c r="E189" s="228" t="str">
        <f>[1]Sheet1!E189</f>
        <v>Carla Arias Schreiber Ulloa</v>
      </c>
      <c r="F189" s="228" t="str">
        <f>[1]Sheet1!F189</f>
        <v>[209] Implementación de Plataforma de Gestión de Cambios y Asignación docente de la Programación Horaria.</v>
      </c>
      <c r="G189" s="228"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228" t="str">
        <f>[1]Sheet1!H189</f>
        <v>UPC</v>
      </c>
      <c r="I189" s="228" t="str">
        <f>[1]Sheet1!I189</f>
        <v>Milagros Morgan - Rectorado UPC</v>
      </c>
      <c r="J189" s="228" t="str">
        <f>[1]Sheet1!J189</f>
        <v>Miguel Chang</v>
      </c>
      <c r="K189" s="228"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228" t="str">
        <f>[1]Sheet1!L189</f>
        <v>Ninguno</v>
      </c>
      <c r="M189" s="229">
        <f>[1]Sheet1!M189</f>
        <v>46178</v>
      </c>
      <c r="N189" s="229" t="str">
        <f>[1]Sheet1!N189</f>
        <v>No</v>
      </c>
      <c r="O189" s="228">
        <f>[1]Sheet1!O189</f>
        <v>0</v>
      </c>
      <c r="P189" s="228">
        <f>[1]Sheet1!P189</f>
        <v>0</v>
      </c>
      <c r="Q189" s="228" t="str">
        <f>[1]Sheet1!Q189</f>
        <v>Otro</v>
      </c>
      <c r="R189" s="228" t="str">
        <f>[1]Sheet1!R189</f>
        <v>Actualmente, los estudiantes y la institución enfrentan dificultades para gestionar cambios académicos, financieros y administrativos de manera eficiente, afectando la experiencia del estudiante y la gestión interna.</v>
      </c>
      <c r="S189" s="228" t="str">
        <f>[1]Sheet1!S189</f>
        <v>Ver archivo adjunto con información del requerimiento. Link: https://educorpperu.sharepoint.com/:x:/s/Repositorio_EquipoCentral/dit/portafoliosyp/IQBPjj-nPuoDQbtwySJjx2sbAR4Cx0FwHcOnpoZf6N5wGdw?e=Qxpak7</v>
      </c>
      <c r="T189" s="228" t="str">
        <f>[1]Sheet1!T189</f>
        <v>Ver archivo adjunto con información del requerimiento. Link: https://educorpperu.sharepoint.com/:x:/s/Repositorio_EquipoCentral/dit/portafoliosyp/IQBPjj-nPuoDQbtwySJjx2sbAR4Cx0FwHcOnpoZf6N5wGdw?e=Qxpak16</v>
      </c>
      <c r="U189" s="228" t="str">
        <f>[1]Sheet1!U189</f>
        <v>Docentes</v>
      </c>
      <c r="V189" s="228" t="str">
        <f>[1]Sheet1!V189</f>
        <v>Excelencia operativa</v>
      </c>
      <c r="W189" s="228" t="str">
        <f>[1]Sheet1!W189</f>
        <v>Si</v>
      </c>
      <c r="X189" s="228" t="str">
        <f>[1]Sheet1!X189</f>
        <v>No cuantificado o S/0</v>
      </c>
      <c r="Y189" s="228"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59"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59">
        <f>[1]Sheet1!AA189</f>
        <v>1.05</v>
      </c>
    </row>
    <row r="190" spans="1:27" ht="18.600000000000001" customHeight="1">
      <c r="A190" s="64">
        <f>[1]Sheet1!A190</f>
        <v>216</v>
      </c>
      <c r="B190" s="227">
        <f>[1]Sheet1!B190</f>
        <v>46169.998946759297</v>
      </c>
      <c r="C190" s="227">
        <f>[1]Sheet1!C190</f>
        <v>46170.000914351898</v>
      </c>
      <c r="D190" s="228" t="str">
        <f>[1]Sheet1!D190</f>
        <v>carla.arias@laureate.pe</v>
      </c>
      <c r="E190" s="228" t="str">
        <f>[1]Sheet1!E190</f>
        <v>Carla Arias Schreiber Ulloa</v>
      </c>
      <c r="F190" s="228" t="str">
        <f>[1]Sheet1!F190</f>
        <v>[248] Registro de NRC a Bloque Horario</v>
      </c>
      <c r="G190" s="228"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228" t="str">
        <f>[1]Sheet1!H190</f>
        <v>UPC</v>
      </c>
      <c r="I190" s="228" t="str">
        <f>[1]Sheet1!I190</f>
        <v>Milagros Morgan - Rectorado UPC</v>
      </c>
      <c r="J190" s="228" t="str">
        <f>[1]Sheet1!J190</f>
        <v>Miguel Chang</v>
      </c>
      <c r="K190" s="228"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228" t="str">
        <f>[1]Sheet1!L190</f>
        <v>Ninguno</v>
      </c>
      <c r="M190" s="229">
        <f>[1]Sheet1!M190</f>
        <v>46209</v>
      </c>
      <c r="N190" s="229" t="str">
        <f>[1]Sheet1!N190</f>
        <v>No</v>
      </c>
      <c r="O190" s="228">
        <f>[1]Sheet1!O190</f>
        <v>0</v>
      </c>
      <c r="P190" s="228">
        <f>[1]Sheet1!P190</f>
        <v>0</v>
      </c>
      <c r="Q190" s="228" t="str">
        <f>[1]Sheet1!Q190</f>
        <v>Otro</v>
      </c>
      <c r="R190" s="228" t="str">
        <f>[1]Sheet1!R190</f>
        <v>Actualmente, los estudiantes y la institución enfrentan dificultades para gestionar cambios académicos, financieros y administrativos de manera eficiente, afectando la experiencia del estudiante y la gestión interna.</v>
      </c>
      <c r="S190" s="228" t="str">
        <f>[1]Sheet1!S190</f>
        <v>Ver archivo adjunto con información del requerimiento. Link: https://educorpperu.sharepoint.com/:x:/s/Repositorio_EquipoCentral/dit/portafoliosyp/IQBPjj-nPuoDQbtwySJjx2sbAR4Cx0FwHcOnpoZf6N5wGdw?e=Qxpak7</v>
      </c>
      <c r="T190" s="228" t="str">
        <f>[1]Sheet1!T190</f>
        <v>Ver archivo adjunto con información del requerimiento. Link: https://educorpperu.sharepoint.com/:x:/s/Repositorio_EquipoCentral/dit/portafoliosyp/IQBPjj-nPuoDQbtwySJjx2sbAR4Cx0FwHcOnpoZf6N5wGdw?e=Qxpak16</v>
      </c>
      <c r="U190" s="228" t="str">
        <f>[1]Sheet1!U190</f>
        <v>Alumnos</v>
      </c>
      <c r="V190" s="228" t="str">
        <f>[1]Sheet1!V190</f>
        <v>Excelencia operativa</v>
      </c>
      <c r="W190" s="228" t="str">
        <f>[1]Sheet1!W190</f>
        <v>Si</v>
      </c>
      <c r="X190" s="228" t="str">
        <f>[1]Sheet1!X190</f>
        <v>No cuantificado o S/0</v>
      </c>
      <c r="Y190" s="228"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59"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59">
        <f>[1]Sheet1!AA190</f>
        <v>1.2000000000000002</v>
      </c>
    </row>
    <row r="191" spans="1:27" ht="18.600000000000001" customHeight="1">
      <c r="A191" s="64">
        <f>[1]Sheet1!A191</f>
        <v>217</v>
      </c>
      <c r="B191" s="227">
        <f>[1]Sheet1!B191</f>
        <v>46170.000833333303</v>
      </c>
      <c r="C191" s="227">
        <f>[1]Sheet1!C191</f>
        <v>46170.001875000002</v>
      </c>
      <c r="D191" s="228" t="str">
        <f>[1]Sheet1!D191</f>
        <v>carla.arias@laureate.pe</v>
      </c>
      <c r="E191" s="228" t="str">
        <f>[1]Sheet1!E191</f>
        <v>Carla Arias Schreiber Ulloa</v>
      </c>
      <c r="F191" s="228" t="str">
        <f>[1]Sheet1!F191</f>
        <v>[247] Registro de Horarios personalizado masivo (matricula)</v>
      </c>
      <c r="G191" s="228"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228" t="str">
        <f>[1]Sheet1!H191</f>
        <v>UPC</v>
      </c>
      <c r="I191" s="228" t="str">
        <f>[1]Sheet1!I191</f>
        <v>Milagros Morgan - Rectorado UPC</v>
      </c>
      <c r="J191" s="228" t="str">
        <f>[1]Sheet1!J191</f>
        <v>Miguel Chang</v>
      </c>
      <c r="K191" s="228"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228" t="str">
        <f>[1]Sheet1!L191</f>
        <v>Ninguno</v>
      </c>
      <c r="M191" s="229">
        <f>[1]Sheet1!M191</f>
        <v>46207</v>
      </c>
      <c r="N191" s="229" t="str">
        <f>[1]Sheet1!N191</f>
        <v>No</v>
      </c>
      <c r="O191" s="228">
        <f>[1]Sheet1!O191</f>
        <v>0</v>
      </c>
      <c r="P191" s="228">
        <f>[1]Sheet1!P191</f>
        <v>0</v>
      </c>
      <c r="Q191" s="228" t="str">
        <f>[1]Sheet1!Q191</f>
        <v>Otro</v>
      </c>
      <c r="R191" s="228" t="str">
        <f>[1]Sheet1!R191</f>
        <v>Actualmente, los estudiantes y la institución enfrentan dificultades para gestionar cambios académicos, financieros y administrativos de manera eficiente, afectando la experiencia del estudiante y la gestión interna.</v>
      </c>
      <c r="S191" s="228" t="str">
        <f>[1]Sheet1!S191</f>
        <v>Ver archivo adjunto con información del requerimiento. Link: https://educorpperu.sharepoint.com/:x:/s/Repositorio_EquipoCentral/dit/portafoliosyp/IQBPjj-nPuoDQbtwySJjx2sbAR4Cx0FwHcOnpoZf6N5wGdw?e=Qxpak7</v>
      </c>
      <c r="T191" s="228" t="str">
        <f>[1]Sheet1!T191</f>
        <v>Ver archivo adjunto con información del requerimiento. Link: https://educorpperu.sharepoint.com/:x:/s/Repositorio_EquipoCentral/dit/portafoliosyp/IQBPjj-nPuoDQbtwySJjx2sbAR4Cx0FwHcOnpoZf6N5wGdw?e=Qxpak16</v>
      </c>
      <c r="U191" s="228" t="str">
        <f>[1]Sheet1!U191</f>
        <v>Administrativos</v>
      </c>
      <c r="V191" s="228" t="str">
        <f>[1]Sheet1!V191</f>
        <v>Excelencia operativa</v>
      </c>
      <c r="W191" s="228" t="str">
        <f>[1]Sheet1!W191</f>
        <v>Si</v>
      </c>
      <c r="X191" s="228" t="str">
        <f>[1]Sheet1!X191</f>
        <v>No cuantificado o S/0</v>
      </c>
      <c r="Y191" s="228"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59"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59">
        <f>[1]Sheet1!AA191</f>
        <v>0.60000000000000009</v>
      </c>
    </row>
    <row r="192" spans="1:27" ht="18.600000000000001" customHeight="1">
      <c r="A192" s="64">
        <f>[1]Sheet1!A192</f>
        <v>218</v>
      </c>
      <c r="B192" s="227">
        <f>[1]Sheet1!B192</f>
        <v>46170.001956018503</v>
      </c>
      <c r="C192" s="227">
        <f>[1]Sheet1!C192</f>
        <v>46170.004374999997</v>
      </c>
      <c r="D192" s="228" t="str">
        <f>[1]Sheet1!D192</f>
        <v>carla.arias@laureate.pe</v>
      </c>
      <c r="E192" s="228" t="str">
        <f>[1]Sheet1!E192</f>
        <v>Carla Arias Schreiber Ulloa</v>
      </c>
      <c r="F192" s="228" t="str">
        <f>[1]Sheet1!F192</f>
        <v>[187] Trámite de permisos para llevar cursos de otra carrera</v>
      </c>
      <c r="G192" s="228"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228" t="str">
        <f>[1]Sheet1!H192</f>
        <v>UPC</v>
      </c>
      <c r="I192" s="228" t="str">
        <f>[1]Sheet1!I192</f>
        <v>Milagros Morgan - Rectorado UPC</v>
      </c>
      <c r="J192" s="228" t="str">
        <f>[1]Sheet1!J192</f>
        <v>Miguel Chang</v>
      </c>
      <c r="K192" s="228"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228" t="str">
        <f>[1]Sheet1!L192</f>
        <v>Ninguno</v>
      </c>
      <c r="M192" s="229">
        <f>[1]Sheet1!M192</f>
        <v>46209</v>
      </c>
      <c r="N192" s="229" t="str">
        <f>[1]Sheet1!N192</f>
        <v>No</v>
      </c>
      <c r="O192" s="228">
        <f>[1]Sheet1!O192</f>
        <v>0</v>
      </c>
      <c r="P192" s="228">
        <f>[1]Sheet1!P192</f>
        <v>0</v>
      </c>
      <c r="Q192" s="228" t="str">
        <f>[1]Sheet1!Q192</f>
        <v>Otro</v>
      </c>
      <c r="R192" s="228" t="str">
        <f>[1]Sheet1!R192</f>
        <v>Actualmente, los estudiantes y la institución enfrentan dificultades para gestionar cambios académicos, financieros y administrativos de manera eficiente, afectando la experiencia del estudiante y la gestión interna.</v>
      </c>
      <c r="S192" s="228" t="str">
        <f>[1]Sheet1!S192</f>
        <v>Ver archivo adjunto con información del requerimiento. Link: https://educorpperu.sharepoint.com/:x:/s/Repositorio_EquipoCentral/dit/portafoliosyp/IQBPjj-nPuoDQbtwySJjx2sbAR4Cx0FwHcOnpoZf6N5wGdw?e=Qxpak7</v>
      </c>
      <c r="T192" s="228" t="str">
        <f>[1]Sheet1!T192</f>
        <v>Ver archivo adjunto con información del requerimiento. Link: https://educorpperu.sharepoint.com/:x:/s/Repositorio_EquipoCentral/dit/portafoliosyp/IQBPjj-nPuoDQbtwySJjx2sbAR4Cx0FwHcOnpoZf6N5wGdw?e=Qxpak7</v>
      </c>
      <c r="U192" s="228" t="str">
        <f>[1]Sheet1!U192</f>
        <v>Alumnos</v>
      </c>
      <c r="V192" s="228" t="str">
        <f>[1]Sheet1!V192</f>
        <v>Excelencia operativa</v>
      </c>
      <c r="W192" s="228" t="str">
        <f>[1]Sheet1!W192</f>
        <v>Si</v>
      </c>
      <c r="X192" s="228" t="str">
        <f>[1]Sheet1!X192</f>
        <v>No cuantificado o S/0</v>
      </c>
      <c r="Y192" s="228"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59"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59">
        <f>[1]Sheet1!AA192</f>
        <v>1.2000000000000002</v>
      </c>
    </row>
    <row r="193" spans="1:27" ht="18.600000000000001" customHeight="1">
      <c r="A193" s="64">
        <f>[1]Sheet1!A193</f>
        <v>219</v>
      </c>
      <c r="B193" s="227">
        <f>[1]Sheet1!B193</f>
        <v>46170.004328703697</v>
      </c>
      <c r="C193" s="227">
        <f>[1]Sheet1!C193</f>
        <v>46170.005775463003</v>
      </c>
      <c r="D193" s="228" t="str">
        <f>[1]Sheet1!D193</f>
        <v>carla.arias@laureate.pe</v>
      </c>
      <c r="E193" s="228" t="str">
        <f>[1]Sheet1!E193</f>
        <v>Carla Arias Schreiber Ulloa</v>
      </c>
      <c r="F193" s="228" t="str">
        <f>[1]Sheet1!F193</f>
        <v>[257] Reporte alumnos reanudantes</v>
      </c>
      <c r="G193" s="228"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228" t="str">
        <f>[1]Sheet1!H193</f>
        <v>UPC</v>
      </c>
      <c r="I193" s="228" t="str">
        <f>[1]Sheet1!I193</f>
        <v>Milagros Morgan - Rectorado UPC</v>
      </c>
      <c r="J193" s="228" t="str">
        <f>[1]Sheet1!J193</f>
        <v>Miguel Chang</v>
      </c>
      <c r="K193" s="228"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228" t="str">
        <f>[1]Sheet1!L193</f>
        <v>Ninguno</v>
      </c>
      <c r="M193" s="229">
        <f>[1]Sheet1!M193</f>
        <v>46209</v>
      </c>
      <c r="N193" s="229" t="str">
        <f>[1]Sheet1!N193</f>
        <v>No</v>
      </c>
      <c r="O193" s="228">
        <f>[1]Sheet1!O193</f>
        <v>0</v>
      </c>
      <c r="P193" s="228">
        <f>[1]Sheet1!P193</f>
        <v>0</v>
      </c>
      <c r="Q193" s="228" t="str">
        <f>[1]Sheet1!Q193</f>
        <v>Otro</v>
      </c>
      <c r="R193" s="228" t="str">
        <f>[1]Sheet1!R193</f>
        <v>Actualmente, los estudiantes y la institución enfrentan dificultades para gestionar cambios académicos, financieros y administrativos de manera eficiente, afectando la experiencia del estudiante y la gestión interna.</v>
      </c>
      <c r="S193" s="228" t="str">
        <f>[1]Sheet1!S193</f>
        <v>Ver archivo adjunto con información del requerimiento. Link: https://educorpperu.sharepoint.com/:x:/s/Repositorio_EquipoCentral/dit/portafoliosyp/IQBPjj-nPuoDQbtwySJjx2sbAR4Cx0FwHcOnpoZf6N5wGdw?e=Qxpak7</v>
      </c>
      <c r="T193" s="228" t="str">
        <f>[1]Sheet1!T193</f>
        <v>Ver archivo adjunto con información del requerimiento. Link: https://educorpperu.sharepoint.com/:x:/s/Repositorio_EquipoCentral/dit/portafoliosyp/IQBPjj-nPuoDQbtwySJjx2sbAR4Cx0FwHcOnpoZf6N5wGdw?e=Qxpak7</v>
      </c>
      <c r="U193" s="228" t="str">
        <f>[1]Sheet1!U193</f>
        <v>Alumnos</v>
      </c>
      <c r="V193" s="228" t="str">
        <f>[1]Sheet1!V193</f>
        <v>Excelencia operativa</v>
      </c>
      <c r="W193" s="228" t="str">
        <f>[1]Sheet1!W193</f>
        <v>Si</v>
      </c>
      <c r="X193" s="228" t="str">
        <f>[1]Sheet1!X193</f>
        <v>No cuantificado o S/0</v>
      </c>
      <c r="Y193" s="228"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59"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59">
        <f>[1]Sheet1!AA193</f>
        <v>1.2000000000000002</v>
      </c>
    </row>
    <row r="194" spans="1:27" ht="18.600000000000001" customHeight="1">
      <c r="A194" s="64">
        <f>[1]Sheet1!A194</f>
        <v>220</v>
      </c>
      <c r="B194" s="227">
        <f>[1]Sheet1!B194</f>
        <v>46170.005717592598</v>
      </c>
      <c r="C194" s="227">
        <f>[1]Sheet1!C194</f>
        <v>46170.006967592599</v>
      </c>
      <c r="D194" s="228" t="str">
        <f>[1]Sheet1!D194</f>
        <v>carla.arias@laureate.pe</v>
      </c>
      <c r="E194" s="228" t="str">
        <f>[1]Sheet1!E194</f>
        <v>Carla Arias Schreiber Ulloa</v>
      </c>
      <c r="F194" s="228" t="str">
        <f>[1]Sheet1!F194</f>
        <v>[258] MDUU eliminación masiva de atributos</v>
      </c>
      <c r="G194" s="228"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228" t="str">
        <f>[1]Sheet1!H194</f>
        <v>UPC</v>
      </c>
      <c r="I194" s="228" t="str">
        <f>[1]Sheet1!I194</f>
        <v>Milagros Morgan - Rectorado UPC</v>
      </c>
      <c r="J194" s="228" t="str">
        <f>[1]Sheet1!J194</f>
        <v>Miguel Chang</v>
      </c>
      <c r="K194" s="228"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228" t="str">
        <f>[1]Sheet1!L194</f>
        <v>Ninguno</v>
      </c>
      <c r="M194" s="229">
        <f>[1]Sheet1!M194</f>
        <v>46209</v>
      </c>
      <c r="N194" s="229" t="str">
        <f>[1]Sheet1!N194</f>
        <v>No</v>
      </c>
      <c r="O194" s="228">
        <f>[1]Sheet1!O194</f>
        <v>0</v>
      </c>
      <c r="P194" s="228">
        <f>[1]Sheet1!P194</f>
        <v>0</v>
      </c>
      <c r="Q194" s="228" t="str">
        <f>[1]Sheet1!Q194</f>
        <v>Otro</v>
      </c>
      <c r="R194" s="228" t="str">
        <f>[1]Sheet1!R194</f>
        <v>Actualmente, los estudiantes y la institución enfrentan dificultades para gestionar cambios académicos, financieros y administrativos de manera eficiente, afectando la experiencia del estudiante y la gestión interna.</v>
      </c>
      <c r="S194" s="228" t="str">
        <f>[1]Sheet1!S194</f>
        <v>Ver archivo adjunto con información del requerimiento. Link: https://educorpperu.sharepoint.com/:x:/s/Repositorio_EquipoCentral/dit/portafoliosyp/IQBPjj-nPuoDQbtwySJjx2sbAR4Cx0FwHcOnpoZf6N5wGdw?e=Qxpak7</v>
      </c>
      <c r="T194" s="228" t="str">
        <f>[1]Sheet1!T194</f>
        <v>Ver archivo adjunto con información del requerimiento. Link: https://educorpperu.sharepoint.com/:x:/s/Repositorio_EquipoCentral/dit/portafoliosyp/IQBPjj-nPuoDQbtwySJjx2sbAR4Cx0FwHcOnpoZf6N5wGdw?e=Qxpak7</v>
      </c>
      <c r="U194" s="228" t="str">
        <f>[1]Sheet1!U194</f>
        <v>Alumnos</v>
      </c>
      <c r="V194" s="228" t="str">
        <f>[1]Sheet1!V194</f>
        <v>Excelencia operativa</v>
      </c>
      <c r="W194" s="228" t="str">
        <f>[1]Sheet1!W194</f>
        <v>Si</v>
      </c>
      <c r="X194" s="228" t="str">
        <f>[1]Sheet1!X194</f>
        <v>No cuantificado o S/0</v>
      </c>
      <c r="Y194" s="228"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59"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59">
        <f>[1]Sheet1!AA194</f>
        <v>1.2000000000000002</v>
      </c>
    </row>
    <row r="195" spans="1:27" ht="18.600000000000001" customHeight="1">
      <c r="A195" s="64">
        <f>[1]Sheet1!A195</f>
        <v>221</v>
      </c>
      <c r="B195" s="227">
        <f>[1]Sheet1!B195</f>
        <v>46170.006446759297</v>
      </c>
      <c r="C195" s="227">
        <f>[1]Sheet1!C195</f>
        <v>46170.007523148102</v>
      </c>
      <c r="D195" s="228" t="str">
        <f>[1]Sheet1!D195</f>
        <v>carla.arias@laureate.pe</v>
      </c>
      <c r="E195" s="228" t="str">
        <f>[1]Sheet1!E195</f>
        <v>Carla Arias Schreiber Ulloa</v>
      </c>
      <c r="F195" s="228" t="str">
        <f>[1]Sheet1!F195</f>
        <v>[263] MDUU CAMBIO_PERIODO_CTLG</v>
      </c>
      <c r="G195" s="228"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228" t="str">
        <f>[1]Sheet1!H195</f>
        <v>UPC</v>
      </c>
      <c r="I195" s="228" t="str">
        <f>[1]Sheet1!I195</f>
        <v>Milagros Morgan - Rectorado UPC</v>
      </c>
      <c r="J195" s="228" t="str">
        <f>[1]Sheet1!J195</f>
        <v>Miguel Chang</v>
      </c>
      <c r="K195" s="228"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228" t="str">
        <f>[1]Sheet1!L195</f>
        <v>Ninguno</v>
      </c>
      <c r="M195" s="229">
        <f>[1]Sheet1!M195</f>
        <v>46209</v>
      </c>
      <c r="N195" s="229" t="str">
        <f>[1]Sheet1!N195</f>
        <v>No</v>
      </c>
      <c r="O195" s="228">
        <f>[1]Sheet1!O195</f>
        <v>0</v>
      </c>
      <c r="P195" s="228">
        <f>[1]Sheet1!P195</f>
        <v>0</v>
      </c>
      <c r="Q195" s="228" t="str">
        <f>[1]Sheet1!Q195</f>
        <v>Otro</v>
      </c>
      <c r="R195" s="228" t="str">
        <f>[1]Sheet1!R195</f>
        <v>Actualmente, los estudiantes y la institución enfrentan dificultades para gestionar cambios académicos, financieros y administrativos de manera eficiente, afectando la experiencia del estudiante y la gestión interna.</v>
      </c>
      <c r="S195" s="228" t="str">
        <f>[1]Sheet1!S195</f>
        <v>Ver archivo adjunto con información del requerimiento. Link: https://educorpperu.sharepoint.com/:x:/s/Repositorio_EquipoCentral/dit/portafoliosyp/IQBPjj-nPuoDQbtwySJjx2sbAR4Cx0FwHcOnpoZf6N5wGdw?e=Qxpak7</v>
      </c>
      <c r="T195" s="228" t="str">
        <f>[1]Sheet1!T195</f>
        <v>Ver archivo adjunto con información del requerimiento. Link: https://educorpperu.sharepoint.com/:x:/s/Repositorio_EquipoCentral/dit/portafoliosyp/IQBPjj-nPuoDQbtwySJjx2sbAR4Cx0FwHcOnpoZf6N5wGdw?e=Qxpak7</v>
      </c>
      <c r="U195" s="228" t="str">
        <f>[1]Sheet1!U195</f>
        <v>Alumnos</v>
      </c>
      <c r="V195" s="228" t="str">
        <f>[1]Sheet1!V195</f>
        <v>Excelencia operativa</v>
      </c>
      <c r="W195" s="228" t="str">
        <f>[1]Sheet1!W195</f>
        <v>Si</v>
      </c>
      <c r="X195" s="228" t="str">
        <f>[1]Sheet1!X195</f>
        <v>No cuantificado o S/0</v>
      </c>
      <c r="Y195" s="228"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59"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59">
        <f>[1]Sheet1!AA195</f>
        <v>1.2000000000000002</v>
      </c>
    </row>
    <row r="196" spans="1:27" ht="51" customHeight="1">
      <c r="A196" s="59">
        <f>[1]Sheet1!A196</f>
        <v>222</v>
      </c>
      <c r="B196" s="227">
        <f>[1]Sheet1!B196</f>
        <v>46170.377951388902</v>
      </c>
      <c r="C196" s="227">
        <f>[1]Sheet1!C196</f>
        <v>46170.668530092596</v>
      </c>
      <c r="D196" s="228" t="str">
        <f>[1]Sheet1!D196</f>
        <v>angela.lucano@laureate.pe</v>
      </c>
      <c r="E196" s="228" t="str">
        <f>[1]Sheet1!E196</f>
        <v>Angela Lucano Carranza</v>
      </c>
      <c r="F196" s="228" t="str">
        <f>[1]Sheet1!F196</f>
        <v>UPC - Modernización y continuidad operativa del Repositorio Académico</v>
      </c>
      <c r="G196" s="228" t="str">
        <f>[1]Sheet1!G196</f>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
      <c r="H196" s="228" t="str">
        <f>[1]Sheet1!H196</f>
        <v>UPC</v>
      </c>
      <c r="I196" s="228" t="str">
        <f>[1]Sheet1!I196</f>
        <v>Milagros Morgan - Rectorado UPC</v>
      </c>
      <c r="J196" s="228" t="str">
        <f>[1]Sheet1!J196</f>
        <v>Cecilia Justino - Director de Gestión del Conocimiento</v>
      </c>
      <c r="K196" s="228" t="str">
        <f>[1]Sheet1!K196</f>
        <v>https://educorpperu-my.sharepoint.com/personal/diana_zapata_laureate_pe1/Documents/Aplicaciones/Microsoft%20Forms/REGISTRO%20DE%20INICIATIVAS%20-%20GESTI%C3%93N%20DE%20LA%20DEMANDA%20(2%201/Pregunta/Maria%20Cifuentes%20-%20VB%20Req.%20Repositorio%20Academi_Angela%20Lucano%20Carran.pdf</v>
      </c>
      <c r="L196" s="228" t="str">
        <f>[1]Sheet1!L196</f>
        <v>Ángela Lucano</v>
      </c>
      <c r="M196" s="229">
        <f>[1]Sheet1!M196</f>
        <v>46356</v>
      </c>
      <c r="N196" s="229" t="str">
        <f>[1]Sheet1!N196</f>
        <v>No</v>
      </c>
      <c r="O196" s="228">
        <f>[1]Sheet1!O196</f>
        <v>0</v>
      </c>
      <c r="P196" s="228">
        <f>[1]Sheet1!P196</f>
        <v>0</v>
      </c>
      <c r="Q196" s="228" t="str">
        <f>[1]Sheet1!Q196</f>
        <v>Otro</v>
      </c>
      <c r="R196" s="228" t="str">
        <f>[1]Sheet1!R196</f>
        <v>El repositorio opera sobre una versión antigua de DSpace sin soporte oficial ni actualizaciones, lo que genera riesgos operativos altos y observaciones de seguridad, además de ofrecer una interfaz rígida y estadísticas limitadas.</v>
      </c>
      <c r="S196" s="228" t="str">
        <f>[1]Sheet1!S196</f>
        <v>Migrar a una infraestructura robusta de última generación (DSpace 7+) con soporte experto 24/7, que resuelva de inmediato las brechas de seguridad, ofrezca una experiencia de usuario intuitiva y moderna, e implemente un módulo de analítica avanzada.</v>
      </c>
      <c r="T196" s="228" t="str">
        <f>[1]Sheet1!T196</f>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
      <c r="U196" s="228" t="str">
        <f>[1]Sheet1!U196</f>
        <v>Todos</v>
      </c>
      <c r="V196" s="228" t="str">
        <f>[1]Sheet1!V196</f>
        <v>Excelencia operativa</v>
      </c>
      <c r="W196" s="228" t="str">
        <f>[1]Sheet1!W196</f>
        <v>No</v>
      </c>
      <c r="X196" s="228" t="str">
        <f>[1]Sheet1!X196</f>
        <v>No cuantificado o S/0</v>
      </c>
      <c r="Y196" s="228" t="str">
        <f>[1]Sheet1!Y196</f>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
      <c r="Z196" s="59" t="str">
        <f>[1]Sheet1!Z196</f>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
      <c r="AA196" s="59">
        <f>[1]Sheet1!AA196</f>
        <v>1.2000000000000002</v>
      </c>
    </row>
    <row r="197" spans="1:27" ht="42" customHeight="1">
      <c r="A197" s="59">
        <f>[1]Sheet1!A197</f>
        <v>223</v>
      </c>
      <c r="B197" s="227">
        <f>[1]Sheet1!B197</f>
        <v>46170.759953703702</v>
      </c>
      <c r="C197" s="227">
        <f>[1]Sheet1!C197</f>
        <v>46170.7745138889</v>
      </c>
      <c r="D197" s="228" t="str">
        <f>[1]Sheet1!D197</f>
        <v>carla.arias@laureate.pe</v>
      </c>
      <c r="E197" s="228" t="str">
        <f>[1]Sheet1!E197</f>
        <v>Carla Arias Schreiber Ulloa</v>
      </c>
      <c r="F197" s="228" t="str">
        <f>[1]Sheet1!F197</f>
        <v>Modificación de query de RPA de Horarios Convalidantes [urgente]</v>
      </c>
      <c r="G197" s="228" t="str">
        <f>[1]Sheet1!G197</f>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
      <c r="H197" s="228" t="str">
        <f>[1]Sheet1!H197</f>
        <v>UPN</v>
      </c>
      <c r="I197" s="228" t="str">
        <f>[1]Sheet1!I197</f>
        <v>Martín Santana - Rectorado UPN</v>
      </c>
      <c r="J197" s="228" t="str">
        <f>[1]Sheet1!J197</f>
        <v>Adolfo Correa</v>
      </c>
      <c r="K197" s="228" t="str">
        <f>[1]Sheet1!K197</f>
        <v>https://educorpperu-my.sharepoint.com/personal/diana_zapata_laureate_pe1/Documents/Aplicaciones/Microsoft%20Forms/REGISTRO%20DE%20INICIATIVAS%20-%20GESTI%C3%93N%20DE%20LA%20DEMANDA%20(2%201/Pregunta/VB%20Direcci%C3%B3n%20de%20Operaciones%20Acad%C3%A9micas_Carla%20Arias%20Schreibe.png</v>
      </c>
      <c r="L197" s="228" t="str">
        <f>[1]Sheet1!L197</f>
        <v>Carla Arias-Schreiber</v>
      </c>
      <c r="M197" s="229">
        <f>[1]Sheet1!M197</f>
        <v>46185</v>
      </c>
      <c r="N197" s="229" t="str">
        <f>[1]Sheet1!N197</f>
        <v>No</v>
      </c>
      <c r="O197" s="228">
        <f>[1]Sheet1!O197</f>
        <v>0</v>
      </c>
      <c r="P197" s="228">
        <f>[1]Sheet1!P197</f>
        <v>0</v>
      </c>
      <c r="Q197" s="228" t="str">
        <f>[1]Sheet1!Q197</f>
        <v>Otro</v>
      </c>
      <c r="R197" s="228" t="str">
        <f>[1]Sheet1!R197</f>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
      <c r="S197" s="228" t="str">
        <f>[1]Sheet1!S197</f>
        <v>Que la query incluya criterios de ordenamiento de clases, validados con las áreas académicas, a fin de asegurar una mayor efectividad y registro de matrículas.</v>
      </c>
      <c r="T197" s="228" t="str">
        <f>[1]Sheet1!T197</f>
        <v>Admisión y matrícula de estudiantes nuevos</v>
      </c>
      <c r="U197" s="228" t="str">
        <f>[1]Sheet1!U197</f>
        <v>Alumnos</v>
      </c>
      <c r="V197" s="228" t="str">
        <f>[1]Sheet1!V197</f>
        <v>Crecimiento escalable</v>
      </c>
      <c r="W197" s="228" t="str">
        <f>[1]Sheet1!W197</f>
        <v>No</v>
      </c>
      <c r="X197" s="228" t="str">
        <f>[1]Sheet1!X197</f>
        <v>Entre S/100,000.00 y S/500,000.00</v>
      </c>
      <c r="Y197" s="228" t="str">
        <f>[1]Sheet1!Y197</f>
        <v>Impacto aproximado en 1000 NE sin horarios.
Sin horarios, hay gran posibilidad de deserción y no pago de la CM (promedio S/. 750 por estudiante)</v>
      </c>
      <c r="Z197" s="59" t="str">
        <f>[1]Sheet1!Z197</f>
        <v>https://educorpperu-my.sharepoint.com/personal/diana_zapata_laureate_pe1/_layouts/15/Doc.aspx?sourcedoc=%7B45E01FAF-19EF-4B31-AA5C-E27A0AF53719%7D&amp;file=Reglas%20RPA%20Convalidaci%C3%B3n_Carla%20Arias%20Schreibe.xlsx&amp;action=default&amp;mobileredirect=true</v>
      </c>
      <c r="AA197" s="59">
        <f>[1]Sheet1!AA197</f>
        <v>1.7</v>
      </c>
    </row>
    <row r="198" spans="1:27" ht="40.5" customHeight="1">
      <c r="A198" s="59">
        <f>[1]Sheet1!A198</f>
        <v>224</v>
      </c>
      <c r="B198" s="227">
        <f>[1]Sheet1!B198</f>
        <v>46175.551284722198</v>
      </c>
      <c r="C198" s="227">
        <f>[1]Sheet1!C198</f>
        <v>46175.568969907399</v>
      </c>
      <c r="D198" s="228" t="str">
        <f>[1]Sheet1!D198</f>
        <v>carla.arias@laureate.pe</v>
      </c>
      <c r="E198" s="228" t="str">
        <f>[1]Sheet1!E198</f>
        <v>Carla Arias Schreiber Ulloa</v>
      </c>
      <c r="F198" s="228" t="str">
        <f>[1]Sheet1!F198</f>
        <v>[Urgente] Subsanar impacto en Retiro de Cursos</v>
      </c>
      <c r="G198" s="228" t="str">
        <f>[1]Sheet1!G198</f>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
      <c r="H198" s="228" t="str">
        <f>[1]Sheet1!H198</f>
        <v>UPN</v>
      </c>
      <c r="I198" s="228" t="str">
        <f>[1]Sheet1!I198</f>
        <v>Martín Santana - Rectorado UPN</v>
      </c>
      <c r="J198" s="228" t="str">
        <f>[1]Sheet1!J198</f>
        <v>Luz Marina Flores</v>
      </c>
      <c r="K198" s="228" t="str">
        <f>[1]Sheet1!K198</f>
        <v>https://educorpperu-my.sharepoint.com/personal/diana_zapata_laureate_pe1/Documents/Aplicaciones/Microsoft%20Forms/REGISTRO%20DE%20INICIATIVAS%20-%20GESTI%C3%93N%20DE%20LA%20DEMANDA%20(2%201/Pregunta/VB%20Direcci%C3%B3n%20de%20Operaciones%20Acad%C3%A9micas_Carla%20Arias%20Schreibe%201.png</v>
      </c>
      <c r="L198" s="228" t="str">
        <f>[1]Sheet1!L198</f>
        <v>Carla Arias-Schreiber</v>
      </c>
      <c r="M198" s="229">
        <f>[1]Sheet1!M198</f>
        <v>46178</v>
      </c>
      <c r="N198" s="229" t="str">
        <f>[1]Sheet1!N198</f>
        <v>No</v>
      </c>
      <c r="O198" s="228">
        <f>[1]Sheet1!O198</f>
        <v>0</v>
      </c>
      <c r="P198" s="228">
        <f>[1]Sheet1!P198</f>
        <v>0</v>
      </c>
      <c r="Q198" s="228" t="str">
        <f>[1]Sheet1!Q198</f>
        <v>Normativa</v>
      </c>
      <c r="R198" s="228" t="str">
        <f>[1]Sheet1!R198</f>
        <v xml:space="preserve">Los estudiantes pueden retirarse de en cursos están finalizados, incumpliendo nuestro reglamento de estudios.
</v>
      </c>
      <c r="S198" s="228" t="str">
        <f>[1]Sheet1!S198</f>
        <v>Asegurar que las solicitudes de retiro de cursos solo permitan seleccionar los cursos habilitados, es decir, que a la fecha de la solicitud el curso no haya culminado.</v>
      </c>
      <c r="T198" s="228" t="str">
        <f>[1]Sheet1!T198</f>
        <v>Retiro de Curso</v>
      </c>
      <c r="U198" s="228" t="str">
        <f>[1]Sheet1!U198</f>
        <v>Alumnos</v>
      </c>
      <c r="V198" s="228" t="str">
        <f>[1]Sheet1!V198</f>
        <v>Excelencia académica</v>
      </c>
      <c r="W198" s="228" t="str">
        <f>[1]Sheet1!W198</f>
        <v>No</v>
      </c>
      <c r="X198" s="228" t="str">
        <f>[1]Sheet1!X198</f>
        <v>No cuantificado o S/0</v>
      </c>
      <c r="Y198" s="228" t="str">
        <f>[1]Sheet1!Y198</f>
        <v>Cumplimiento de reglamento de estudios</v>
      </c>
      <c r="Z198" s="59" t="str">
        <f>[1]Sheet1!Z198</f>
        <v>https://educorpperu-my.sharepoint.com/personal/diana_zapata_laureate_pe1/_layouts/15/Doc.aspx?sourcedoc=%7BCA651870-84CC-4F3D-A1CB-2E965DDE729A%7D&amp;file=PPT%20Modificaci%C3%B3n%20de%20retiro%20de%20curso-solo%20para_Carla%20Arias%20Schreibe.pptx&amp;action=edit&amp;mobileredirect=true</v>
      </c>
      <c r="AA198" s="59">
        <f>[1]Sheet1!AA198</f>
        <v>2.9</v>
      </c>
    </row>
    <row r="199" spans="1:27" ht="18.600000000000001" customHeight="1">
      <c r="A199" s="59">
        <f>[1]Sheet1!A199</f>
        <v>0</v>
      </c>
      <c r="B199" s="227">
        <f>[1]Sheet1!B199</f>
        <v>0</v>
      </c>
      <c r="C199" s="227">
        <f>[1]Sheet1!C199</f>
        <v>0</v>
      </c>
      <c r="D199" s="228">
        <f>[1]Sheet1!D199</f>
        <v>0</v>
      </c>
      <c r="E199" s="228">
        <f>[1]Sheet1!E199</f>
        <v>0</v>
      </c>
      <c r="F199" s="228">
        <f>[1]Sheet1!F199</f>
        <v>0</v>
      </c>
      <c r="G199" s="228">
        <f>[1]Sheet1!G199</f>
        <v>0</v>
      </c>
      <c r="H199" s="228">
        <f>[1]Sheet1!H199</f>
        <v>0</v>
      </c>
      <c r="I199" s="228">
        <f>[1]Sheet1!I199</f>
        <v>0</v>
      </c>
      <c r="J199" s="228">
        <f>[1]Sheet1!J199</f>
        <v>0</v>
      </c>
      <c r="K199" s="228">
        <f>[1]Sheet1!K199</f>
        <v>0</v>
      </c>
      <c r="L199" s="228">
        <f>[1]Sheet1!L199</f>
        <v>0</v>
      </c>
      <c r="M199" s="229">
        <f>[1]Sheet1!M199</f>
        <v>0</v>
      </c>
      <c r="N199" s="229">
        <f>[1]Sheet1!N199</f>
        <v>0</v>
      </c>
      <c r="O199" s="228">
        <f>[1]Sheet1!O199</f>
        <v>0</v>
      </c>
      <c r="P199" s="228">
        <f>[1]Sheet1!P199</f>
        <v>0</v>
      </c>
      <c r="Q199" s="228">
        <f>[1]Sheet1!Q199</f>
        <v>0</v>
      </c>
      <c r="R199" s="228">
        <f>[1]Sheet1!R199</f>
        <v>0</v>
      </c>
      <c r="S199" s="228">
        <f>[1]Sheet1!S199</f>
        <v>0</v>
      </c>
      <c r="T199" s="228">
        <f>[1]Sheet1!T199</f>
        <v>0</v>
      </c>
      <c r="U199" s="228">
        <f>[1]Sheet1!U199</f>
        <v>0</v>
      </c>
      <c r="V199" s="228">
        <f>[1]Sheet1!V199</f>
        <v>0</v>
      </c>
      <c r="W199" s="228">
        <f>[1]Sheet1!W199</f>
        <v>0</v>
      </c>
      <c r="X199" s="228">
        <f>[1]Sheet1!X199</f>
        <v>0</v>
      </c>
      <c r="Y199" s="228">
        <f>[1]Sheet1!Y199</f>
        <v>0</v>
      </c>
      <c r="Z199" s="59">
        <f>[1]Sheet1!Z199</f>
        <v>0</v>
      </c>
      <c r="AA199" s="59">
        <f>[1]Sheet1!AA199</f>
        <v>0</v>
      </c>
    </row>
    <row r="200" spans="1:27" ht="18.600000000000001" customHeight="1">
      <c r="A200" s="59">
        <f>[1]Sheet1!A200</f>
        <v>0</v>
      </c>
      <c r="B200" s="227">
        <f>[1]Sheet1!B200</f>
        <v>0</v>
      </c>
      <c r="C200" s="227">
        <f>[1]Sheet1!C200</f>
        <v>0</v>
      </c>
      <c r="D200" s="228">
        <f>[1]Sheet1!D200</f>
        <v>0</v>
      </c>
      <c r="E200" s="228">
        <f>[1]Sheet1!E200</f>
        <v>0</v>
      </c>
      <c r="F200" s="228">
        <f>[1]Sheet1!F200</f>
        <v>0</v>
      </c>
      <c r="G200" s="228">
        <f>[1]Sheet1!G200</f>
        <v>0</v>
      </c>
      <c r="H200" s="228">
        <f>[1]Sheet1!H200</f>
        <v>0</v>
      </c>
      <c r="I200" s="228">
        <f>[1]Sheet1!I200</f>
        <v>0</v>
      </c>
      <c r="J200" s="228">
        <f>[1]Sheet1!J200</f>
        <v>0</v>
      </c>
      <c r="K200" s="228">
        <f>[1]Sheet1!K200</f>
        <v>0</v>
      </c>
      <c r="L200" s="228">
        <f>[1]Sheet1!L200</f>
        <v>0</v>
      </c>
      <c r="M200" s="229">
        <f>[1]Sheet1!M200</f>
        <v>0</v>
      </c>
      <c r="N200" s="229">
        <f>[1]Sheet1!N200</f>
        <v>0</v>
      </c>
      <c r="O200" s="228">
        <f>[1]Sheet1!O200</f>
        <v>0</v>
      </c>
      <c r="P200" s="228">
        <f>[1]Sheet1!P200</f>
        <v>0</v>
      </c>
      <c r="Q200" s="228">
        <f>[1]Sheet1!Q200</f>
        <v>0</v>
      </c>
      <c r="R200" s="228">
        <f>[1]Sheet1!R200</f>
        <v>0</v>
      </c>
      <c r="S200" s="228">
        <f>[1]Sheet1!S200</f>
        <v>0</v>
      </c>
      <c r="T200" s="228">
        <f>[1]Sheet1!T200</f>
        <v>0</v>
      </c>
      <c r="U200" s="228">
        <f>[1]Sheet1!U200</f>
        <v>0</v>
      </c>
      <c r="V200" s="228">
        <f>[1]Sheet1!V200</f>
        <v>0</v>
      </c>
      <c r="W200" s="228">
        <f>[1]Sheet1!W200</f>
        <v>0</v>
      </c>
      <c r="X200" s="228">
        <f>[1]Sheet1!X200</f>
        <v>0</v>
      </c>
      <c r="Y200" s="228">
        <f>[1]Sheet1!Y200</f>
        <v>0</v>
      </c>
      <c r="Z200" s="59">
        <f>[1]Sheet1!Z200</f>
        <v>0</v>
      </c>
      <c r="AA200" s="59">
        <f>[1]Sheet1!AA200</f>
        <v>0</v>
      </c>
    </row>
    <row r="201" spans="1:27" ht="18.600000000000001" customHeight="1">
      <c r="A201" s="59">
        <f>[1]Sheet1!A201</f>
        <v>0</v>
      </c>
      <c r="B201" s="227">
        <f>[1]Sheet1!B201</f>
        <v>0</v>
      </c>
      <c r="C201" s="227">
        <f>[1]Sheet1!C201</f>
        <v>0</v>
      </c>
      <c r="D201" s="228">
        <f>[1]Sheet1!D201</f>
        <v>0</v>
      </c>
      <c r="E201" s="228">
        <f>[1]Sheet1!E201</f>
        <v>0</v>
      </c>
      <c r="F201" s="228">
        <f>[1]Sheet1!F201</f>
        <v>0</v>
      </c>
      <c r="G201" s="228">
        <f>[1]Sheet1!G201</f>
        <v>0</v>
      </c>
      <c r="H201" s="228">
        <f>[1]Sheet1!H201</f>
        <v>0</v>
      </c>
      <c r="I201" s="228">
        <f>[1]Sheet1!I201</f>
        <v>0</v>
      </c>
      <c r="J201" s="228">
        <f>[1]Sheet1!J201</f>
        <v>0</v>
      </c>
      <c r="K201" s="228">
        <f>[1]Sheet1!K201</f>
        <v>0</v>
      </c>
      <c r="L201" s="228">
        <f>[1]Sheet1!L201</f>
        <v>0</v>
      </c>
      <c r="M201" s="229">
        <f>[1]Sheet1!M201</f>
        <v>0</v>
      </c>
      <c r="N201" s="229">
        <f>[1]Sheet1!N201</f>
        <v>0</v>
      </c>
      <c r="O201" s="228">
        <f>[1]Sheet1!O201</f>
        <v>0</v>
      </c>
      <c r="P201" s="228">
        <f>[1]Sheet1!P201</f>
        <v>0</v>
      </c>
      <c r="Q201" s="228">
        <f>[1]Sheet1!Q201</f>
        <v>0</v>
      </c>
      <c r="R201" s="228">
        <f>[1]Sheet1!R201</f>
        <v>0</v>
      </c>
      <c r="S201" s="228">
        <f>[1]Sheet1!S201</f>
        <v>0</v>
      </c>
      <c r="T201" s="228">
        <f>[1]Sheet1!T201</f>
        <v>0</v>
      </c>
      <c r="U201" s="228">
        <f>[1]Sheet1!U201</f>
        <v>0</v>
      </c>
      <c r="V201" s="228">
        <f>[1]Sheet1!V201</f>
        <v>0</v>
      </c>
      <c r="W201" s="228">
        <f>[1]Sheet1!W201</f>
        <v>0</v>
      </c>
      <c r="X201" s="228">
        <f>[1]Sheet1!X201</f>
        <v>0</v>
      </c>
      <c r="Y201" s="228">
        <f>[1]Sheet1!Y201</f>
        <v>0</v>
      </c>
      <c r="Z201" s="59">
        <f>[1]Sheet1!Z201</f>
        <v>0</v>
      </c>
      <c r="AA201" s="59">
        <f>[1]Sheet1!AA201</f>
        <v>0</v>
      </c>
    </row>
    <row r="202" spans="1:27" ht="15" customHeight="1">
      <c r="A202" s="59">
        <f>[1]Sheet1!A202</f>
        <v>0</v>
      </c>
      <c r="B202" s="227">
        <f>[1]Sheet1!B202</f>
        <v>0</v>
      </c>
      <c r="C202" s="227">
        <f>[1]Sheet1!C202</f>
        <v>0</v>
      </c>
      <c r="D202" s="228">
        <f>[1]Sheet1!D202</f>
        <v>0</v>
      </c>
      <c r="E202" s="228">
        <f>[1]Sheet1!E202</f>
        <v>0</v>
      </c>
      <c r="F202" s="228">
        <f>[1]Sheet1!F202</f>
        <v>0</v>
      </c>
      <c r="G202" s="228">
        <f>[1]Sheet1!G202</f>
        <v>0</v>
      </c>
      <c r="H202" s="228">
        <f>[1]Sheet1!H202</f>
        <v>0</v>
      </c>
      <c r="I202" s="228">
        <f>[1]Sheet1!I202</f>
        <v>0</v>
      </c>
      <c r="J202" s="228">
        <f>[1]Sheet1!J202</f>
        <v>0</v>
      </c>
      <c r="K202" s="228">
        <f>[1]Sheet1!K202</f>
        <v>0</v>
      </c>
      <c r="L202" s="228">
        <f>[1]Sheet1!L202</f>
        <v>0</v>
      </c>
      <c r="M202" s="229">
        <f>[1]Sheet1!M202</f>
        <v>0</v>
      </c>
      <c r="N202" s="229">
        <f>[1]Sheet1!N202</f>
        <v>0</v>
      </c>
      <c r="O202" s="228">
        <f>[1]Sheet1!O202</f>
        <v>0</v>
      </c>
      <c r="P202" s="228">
        <f>[1]Sheet1!P202</f>
        <v>0</v>
      </c>
      <c r="Q202" s="228">
        <f>[1]Sheet1!Q202</f>
        <v>0</v>
      </c>
      <c r="R202" s="228">
        <f>[1]Sheet1!R202</f>
        <v>0</v>
      </c>
      <c r="S202" s="228">
        <f>[1]Sheet1!S202</f>
        <v>0</v>
      </c>
      <c r="T202" s="228">
        <f>[1]Sheet1!T202</f>
        <v>0</v>
      </c>
      <c r="U202" s="228">
        <f>[1]Sheet1!U202</f>
        <v>0</v>
      </c>
      <c r="V202" s="228">
        <f>[1]Sheet1!V202</f>
        <v>0</v>
      </c>
      <c r="W202" s="228">
        <f>[1]Sheet1!W202</f>
        <v>0</v>
      </c>
      <c r="X202" s="228">
        <f>[1]Sheet1!X202</f>
        <v>0</v>
      </c>
      <c r="Y202" s="228">
        <f>[1]Sheet1!Y202</f>
        <v>0</v>
      </c>
      <c r="Z202" s="59">
        <f>[1]Sheet1!Z202</f>
        <v>0</v>
      </c>
      <c r="AA202" s="59">
        <f>[1]Sheet1!AA202</f>
        <v>0</v>
      </c>
    </row>
    <row r="203" spans="1:27" ht="15" customHeight="1">
      <c r="A203" s="59">
        <f>[1]Sheet1!A203</f>
        <v>0</v>
      </c>
      <c r="B203" s="227">
        <f>[1]Sheet1!B203</f>
        <v>0</v>
      </c>
      <c r="C203" s="227">
        <f>[1]Sheet1!C203</f>
        <v>0</v>
      </c>
      <c r="D203" s="228">
        <f>[1]Sheet1!D203</f>
        <v>0</v>
      </c>
      <c r="E203" s="228">
        <f>[1]Sheet1!E203</f>
        <v>0</v>
      </c>
      <c r="F203" s="228">
        <f>[1]Sheet1!F203</f>
        <v>0</v>
      </c>
      <c r="G203" s="228">
        <f>[1]Sheet1!G203</f>
        <v>0</v>
      </c>
      <c r="H203" s="228">
        <f>[1]Sheet1!H203</f>
        <v>0</v>
      </c>
      <c r="I203" s="228">
        <f>[1]Sheet1!I203</f>
        <v>0</v>
      </c>
      <c r="J203" s="228">
        <f>[1]Sheet1!J203</f>
        <v>0</v>
      </c>
      <c r="K203" s="228">
        <f>[1]Sheet1!K203</f>
        <v>0</v>
      </c>
      <c r="L203" s="228">
        <f>[1]Sheet1!L203</f>
        <v>0</v>
      </c>
      <c r="M203" s="229">
        <f>[1]Sheet1!M203</f>
        <v>0</v>
      </c>
      <c r="N203" s="229">
        <f>[1]Sheet1!N203</f>
        <v>0</v>
      </c>
      <c r="O203" s="228">
        <f>[1]Sheet1!O203</f>
        <v>0</v>
      </c>
      <c r="P203" s="228">
        <f>[1]Sheet1!P203</f>
        <v>0</v>
      </c>
      <c r="Q203" s="228">
        <f>[1]Sheet1!Q203</f>
        <v>0</v>
      </c>
      <c r="R203" s="228">
        <f>[1]Sheet1!R203</f>
        <v>0</v>
      </c>
      <c r="S203" s="228">
        <f>[1]Sheet1!S203</f>
        <v>0</v>
      </c>
      <c r="T203" s="228">
        <f>[1]Sheet1!T203</f>
        <v>0</v>
      </c>
      <c r="U203" s="228">
        <f>[1]Sheet1!U203</f>
        <v>0</v>
      </c>
      <c r="V203" s="228">
        <f>[1]Sheet1!V203</f>
        <v>0</v>
      </c>
      <c r="W203" s="228">
        <f>[1]Sheet1!W203</f>
        <v>0</v>
      </c>
      <c r="X203" s="228">
        <f>[1]Sheet1!X203</f>
        <v>0</v>
      </c>
      <c r="Y203" s="228">
        <f>[1]Sheet1!Y203</f>
        <v>0</v>
      </c>
      <c r="Z203" s="59">
        <f>[1]Sheet1!Z203</f>
        <v>0</v>
      </c>
      <c r="AA203" s="59">
        <f>[1]Sheet1!AA203</f>
        <v>0</v>
      </c>
    </row>
    <row r="204" spans="1:27" ht="15" customHeight="1">
      <c r="A204" s="59">
        <f>[1]Sheet1!A204</f>
        <v>0</v>
      </c>
      <c r="B204" s="227">
        <f>[1]Sheet1!B204</f>
        <v>0</v>
      </c>
      <c r="C204" s="227">
        <f>[1]Sheet1!C204</f>
        <v>0</v>
      </c>
      <c r="D204" s="228">
        <f>[1]Sheet1!D204</f>
        <v>0</v>
      </c>
      <c r="E204" s="228">
        <f>[1]Sheet1!E204</f>
        <v>0</v>
      </c>
      <c r="F204" s="228">
        <f>[1]Sheet1!F204</f>
        <v>0</v>
      </c>
      <c r="G204" s="228">
        <f>[1]Sheet1!G204</f>
        <v>0</v>
      </c>
      <c r="H204" s="228">
        <f>[1]Sheet1!H204</f>
        <v>0</v>
      </c>
      <c r="I204" s="228">
        <f>[1]Sheet1!I204</f>
        <v>0</v>
      </c>
      <c r="J204" s="228">
        <f>[1]Sheet1!J204</f>
        <v>0</v>
      </c>
      <c r="K204" s="228">
        <f>[1]Sheet1!K204</f>
        <v>0</v>
      </c>
      <c r="L204" s="228">
        <f>[1]Sheet1!L204</f>
        <v>0</v>
      </c>
      <c r="M204" s="229">
        <f>[1]Sheet1!M204</f>
        <v>0</v>
      </c>
      <c r="N204" s="229">
        <f>[1]Sheet1!N204</f>
        <v>0</v>
      </c>
      <c r="O204" s="228">
        <f>[1]Sheet1!O204</f>
        <v>0</v>
      </c>
      <c r="P204" s="228">
        <f>[1]Sheet1!P204</f>
        <v>0</v>
      </c>
      <c r="Q204" s="228">
        <f>[1]Sheet1!Q204</f>
        <v>0</v>
      </c>
      <c r="R204" s="228">
        <f>[1]Sheet1!R204</f>
        <v>0</v>
      </c>
      <c r="S204" s="228">
        <f>[1]Sheet1!S204</f>
        <v>0</v>
      </c>
      <c r="T204" s="228">
        <f>[1]Sheet1!T204</f>
        <v>0</v>
      </c>
      <c r="U204" s="228">
        <f>[1]Sheet1!U204</f>
        <v>0</v>
      </c>
      <c r="V204" s="228">
        <f>[1]Sheet1!V204</f>
        <v>0</v>
      </c>
      <c r="W204" s="228">
        <f>[1]Sheet1!W204</f>
        <v>0</v>
      </c>
      <c r="X204" s="228">
        <f>[1]Sheet1!X204</f>
        <v>0</v>
      </c>
      <c r="Y204" s="228">
        <f>[1]Sheet1!Y204</f>
        <v>0</v>
      </c>
      <c r="Z204" s="59">
        <f>[1]Sheet1!Z204</f>
        <v>0</v>
      </c>
      <c r="AA204" s="59">
        <f>[1]Sheet1!AA204</f>
        <v>0</v>
      </c>
    </row>
    <row r="205" spans="1:27" ht="15" customHeight="1">
      <c r="A205" s="59">
        <f>[1]Sheet1!A205</f>
        <v>0</v>
      </c>
      <c r="B205" s="227">
        <f>[1]Sheet1!B205</f>
        <v>0</v>
      </c>
      <c r="C205" s="227">
        <f>[1]Sheet1!C205</f>
        <v>0</v>
      </c>
      <c r="D205" s="228">
        <f>[1]Sheet1!D205</f>
        <v>0</v>
      </c>
      <c r="E205" s="228">
        <f>[1]Sheet1!E205</f>
        <v>0</v>
      </c>
      <c r="F205" s="228">
        <f>[1]Sheet1!F205</f>
        <v>0</v>
      </c>
      <c r="G205" s="228">
        <f>[1]Sheet1!G205</f>
        <v>0</v>
      </c>
      <c r="H205" s="228">
        <f>[1]Sheet1!H205</f>
        <v>0</v>
      </c>
      <c r="I205" s="228">
        <f>[1]Sheet1!I205</f>
        <v>0</v>
      </c>
      <c r="J205" s="228">
        <f>[1]Sheet1!J205</f>
        <v>0</v>
      </c>
      <c r="K205" s="228">
        <f>[1]Sheet1!K205</f>
        <v>0</v>
      </c>
      <c r="L205" s="228">
        <f>[1]Sheet1!L205</f>
        <v>0</v>
      </c>
      <c r="M205" s="229">
        <f>[1]Sheet1!M205</f>
        <v>0</v>
      </c>
      <c r="N205" s="229">
        <f>[1]Sheet1!N205</f>
        <v>0</v>
      </c>
      <c r="O205" s="228">
        <f>[1]Sheet1!O205</f>
        <v>0</v>
      </c>
      <c r="P205" s="228">
        <f>[1]Sheet1!P205</f>
        <v>0</v>
      </c>
      <c r="Q205" s="228">
        <f>[1]Sheet1!Q205</f>
        <v>0</v>
      </c>
      <c r="R205" s="228">
        <f>[1]Sheet1!R205</f>
        <v>0</v>
      </c>
      <c r="S205" s="228">
        <f>[1]Sheet1!S205</f>
        <v>0</v>
      </c>
      <c r="T205" s="228">
        <f>[1]Sheet1!T205</f>
        <v>0</v>
      </c>
      <c r="U205" s="228">
        <f>[1]Sheet1!U205</f>
        <v>0</v>
      </c>
      <c r="V205" s="228">
        <f>[1]Sheet1!V205</f>
        <v>0</v>
      </c>
      <c r="W205" s="228">
        <f>[1]Sheet1!W205</f>
        <v>0</v>
      </c>
      <c r="X205" s="228">
        <f>[1]Sheet1!X205</f>
        <v>0</v>
      </c>
      <c r="Y205" s="228">
        <f>[1]Sheet1!Y205</f>
        <v>0</v>
      </c>
      <c r="Z205" s="59">
        <f>[1]Sheet1!Z205</f>
        <v>0</v>
      </c>
      <c r="AA205" s="59">
        <f>[1]Sheet1!AA205</f>
        <v>0</v>
      </c>
    </row>
    <row r="206" spans="1:27" ht="15" customHeight="1">
      <c r="A206" s="59">
        <f>[1]Sheet1!A206</f>
        <v>0</v>
      </c>
      <c r="B206" s="227">
        <f>[1]Sheet1!B206</f>
        <v>0</v>
      </c>
      <c r="C206" s="227">
        <f>[1]Sheet1!C206</f>
        <v>0</v>
      </c>
      <c r="D206" s="228">
        <f>[1]Sheet1!D206</f>
        <v>0</v>
      </c>
      <c r="E206" s="228">
        <f>[1]Sheet1!E206</f>
        <v>0</v>
      </c>
      <c r="F206" s="228">
        <f>[1]Sheet1!F206</f>
        <v>0</v>
      </c>
      <c r="G206" s="228">
        <f>[1]Sheet1!G206</f>
        <v>0</v>
      </c>
      <c r="H206" s="228">
        <f>[1]Sheet1!H206</f>
        <v>0</v>
      </c>
      <c r="I206" s="228">
        <f>[1]Sheet1!I206</f>
        <v>0</v>
      </c>
      <c r="J206" s="228">
        <f>[1]Sheet1!J206</f>
        <v>0</v>
      </c>
      <c r="K206" s="228">
        <f>[1]Sheet1!K206</f>
        <v>0</v>
      </c>
      <c r="L206" s="228">
        <f>[1]Sheet1!L206</f>
        <v>0</v>
      </c>
      <c r="M206" s="229">
        <f>[1]Sheet1!M206</f>
        <v>0</v>
      </c>
      <c r="N206" s="229">
        <f>[1]Sheet1!N206</f>
        <v>0</v>
      </c>
      <c r="O206" s="228">
        <f>[1]Sheet1!O206</f>
        <v>0</v>
      </c>
      <c r="P206" s="228">
        <f>[1]Sheet1!P206</f>
        <v>0</v>
      </c>
      <c r="Q206" s="228">
        <f>[1]Sheet1!Q206</f>
        <v>0</v>
      </c>
      <c r="R206" s="228">
        <f>[1]Sheet1!R206</f>
        <v>0</v>
      </c>
      <c r="S206" s="228">
        <f>[1]Sheet1!S206</f>
        <v>0</v>
      </c>
      <c r="T206" s="228">
        <f>[1]Sheet1!T206</f>
        <v>0</v>
      </c>
      <c r="U206" s="228">
        <f>[1]Sheet1!U206</f>
        <v>0</v>
      </c>
      <c r="V206" s="228">
        <f>[1]Sheet1!V206</f>
        <v>0</v>
      </c>
      <c r="W206" s="228">
        <f>[1]Sheet1!W206</f>
        <v>0</v>
      </c>
      <c r="X206" s="228">
        <f>[1]Sheet1!X206</f>
        <v>0</v>
      </c>
      <c r="Y206" s="228">
        <f>[1]Sheet1!Y206</f>
        <v>0</v>
      </c>
      <c r="Z206" s="59">
        <f>[1]Sheet1!Z206</f>
        <v>0</v>
      </c>
      <c r="AA206" s="59">
        <f>[1]Sheet1!AA206</f>
        <v>0</v>
      </c>
    </row>
    <row r="207" spans="1:27" ht="15" customHeight="1">
      <c r="A207" s="59">
        <f>[1]Sheet1!A207</f>
        <v>0</v>
      </c>
      <c r="B207" s="227">
        <f>[1]Sheet1!B207</f>
        <v>0</v>
      </c>
      <c r="C207" s="227">
        <f>[1]Sheet1!C207</f>
        <v>0</v>
      </c>
      <c r="D207" s="228">
        <f>[1]Sheet1!D207</f>
        <v>0</v>
      </c>
      <c r="E207" s="228">
        <f>[1]Sheet1!E207</f>
        <v>0</v>
      </c>
      <c r="F207" s="228">
        <f>[1]Sheet1!F207</f>
        <v>0</v>
      </c>
      <c r="G207" s="228">
        <f>[1]Sheet1!G207</f>
        <v>0</v>
      </c>
      <c r="H207" s="228">
        <f>[1]Sheet1!H207</f>
        <v>0</v>
      </c>
      <c r="I207" s="228">
        <f>[1]Sheet1!I207</f>
        <v>0</v>
      </c>
      <c r="J207" s="228">
        <f>[1]Sheet1!J207</f>
        <v>0</v>
      </c>
      <c r="K207" s="228">
        <f>[1]Sheet1!K207</f>
        <v>0</v>
      </c>
      <c r="L207" s="228">
        <f>[1]Sheet1!L207</f>
        <v>0</v>
      </c>
      <c r="M207" s="229">
        <f>[1]Sheet1!M207</f>
        <v>0</v>
      </c>
      <c r="N207" s="229">
        <f>[1]Sheet1!N207</f>
        <v>0</v>
      </c>
      <c r="O207" s="228">
        <f>[1]Sheet1!O207</f>
        <v>0</v>
      </c>
      <c r="P207" s="228">
        <f>[1]Sheet1!P207</f>
        <v>0</v>
      </c>
      <c r="Q207" s="228">
        <f>[1]Sheet1!Q207</f>
        <v>0</v>
      </c>
      <c r="R207" s="228">
        <f>[1]Sheet1!R207</f>
        <v>0</v>
      </c>
      <c r="S207" s="228">
        <f>[1]Sheet1!S207</f>
        <v>0</v>
      </c>
      <c r="T207" s="228">
        <f>[1]Sheet1!T207</f>
        <v>0</v>
      </c>
      <c r="U207" s="228">
        <f>[1]Sheet1!U207</f>
        <v>0</v>
      </c>
      <c r="V207" s="228">
        <f>[1]Sheet1!V207</f>
        <v>0</v>
      </c>
      <c r="W207" s="228">
        <f>[1]Sheet1!W207</f>
        <v>0</v>
      </c>
      <c r="X207" s="228">
        <f>[1]Sheet1!X207</f>
        <v>0</v>
      </c>
      <c r="Y207" s="228">
        <f>[1]Sheet1!Y207</f>
        <v>0</v>
      </c>
      <c r="Z207" s="59">
        <f>[1]Sheet1!Z207</f>
        <v>0</v>
      </c>
      <c r="AA207" s="59">
        <f>[1]Sheet1!AA207</f>
        <v>0</v>
      </c>
    </row>
    <row r="208" spans="1:27" ht="15" customHeight="1">
      <c r="A208" s="59">
        <f>[1]Sheet1!A208</f>
        <v>0</v>
      </c>
      <c r="B208" s="227">
        <f>[1]Sheet1!B208</f>
        <v>0</v>
      </c>
      <c r="C208" s="227">
        <f>[1]Sheet1!C208</f>
        <v>0</v>
      </c>
      <c r="D208" s="228">
        <f>[1]Sheet1!D208</f>
        <v>0</v>
      </c>
      <c r="E208" s="228">
        <f>[1]Sheet1!E208</f>
        <v>0</v>
      </c>
      <c r="F208" s="228">
        <f>[1]Sheet1!F208</f>
        <v>0</v>
      </c>
      <c r="G208" s="228">
        <f>[1]Sheet1!G208</f>
        <v>0</v>
      </c>
      <c r="H208" s="228">
        <f>[1]Sheet1!H208</f>
        <v>0</v>
      </c>
      <c r="I208" s="228">
        <f>[1]Sheet1!I208</f>
        <v>0</v>
      </c>
      <c r="J208" s="228">
        <f>[1]Sheet1!J208</f>
        <v>0</v>
      </c>
      <c r="K208" s="228">
        <f>[1]Sheet1!K208</f>
        <v>0</v>
      </c>
      <c r="L208" s="228">
        <f>[1]Sheet1!L208</f>
        <v>0</v>
      </c>
      <c r="M208" s="229">
        <f>[1]Sheet1!M208</f>
        <v>0</v>
      </c>
      <c r="N208" s="229">
        <f>[1]Sheet1!N208</f>
        <v>0</v>
      </c>
      <c r="O208" s="228">
        <f>[1]Sheet1!O208</f>
        <v>0</v>
      </c>
      <c r="P208" s="228">
        <f>[1]Sheet1!P208</f>
        <v>0</v>
      </c>
      <c r="Q208" s="228">
        <f>[1]Sheet1!Q208</f>
        <v>0</v>
      </c>
      <c r="R208" s="228">
        <f>[1]Sheet1!R208</f>
        <v>0</v>
      </c>
      <c r="S208" s="228">
        <f>[1]Sheet1!S208</f>
        <v>0</v>
      </c>
      <c r="T208" s="228">
        <f>[1]Sheet1!T208</f>
        <v>0</v>
      </c>
      <c r="U208" s="228">
        <f>[1]Sheet1!U208</f>
        <v>0</v>
      </c>
      <c r="V208" s="228">
        <f>[1]Sheet1!V208</f>
        <v>0</v>
      </c>
      <c r="W208" s="228">
        <f>[1]Sheet1!W208</f>
        <v>0</v>
      </c>
      <c r="X208" s="228">
        <f>[1]Sheet1!X208</f>
        <v>0</v>
      </c>
      <c r="Y208" s="228">
        <f>[1]Sheet1!Y208</f>
        <v>0</v>
      </c>
      <c r="Z208" s="59">
        <f>[1]Sheet1!Z208</f>
        <v>0</v>
      </c>
      <c r="AA208" s="59">
        <f>[1]Sheet1!AA208</f>
        <v>0</v>
      </c>
    </row>
    <row r="209" spans="1:27" ht="15" customHeight="1">
      <c r="A209" s="59">
        <f>[1]Sheet1!A209</f>
        <v>0</v>
      </c>
      <c r="B209" s="227">
        <f>[1]Sheet1!B209</f>
        <v>0</v>
      </c>
      <c r="C209" s="227">
        <f>[1]Sheet1!C209</f>
        <v>0</v>
      </c>
      <c r="D209" s="228">
        <f>[1]Sheet1!D209</f>
        <v>0</v>
      </c>
      <c r="E209" s="228">
        <f>[1]Sheet1!E209</f>
        <v>0</v>
      </c>
      <c r="F209" s="228">
        <f>[1]Sheet1!F209</f>
        <v>0</v>
      </c>
      <c r="G209" s="228">
        <f>[1]Sheet1!G209</f>
        <v>0</v>
      </c>
      <c r="H209" s="228">
        <f>[1]Sheet1!H209</f>
        <v>0</v>
      </c>
      <c r="I209" s="228">
        <f>[1]Sheet1!I209</f>
        <v>0</v>
      </c>
      <c r="J209" s="228">
        <f>[1]Sheet1!J209</f>
        <v>0</v>
      </c>
      <c r="K209" s="228">
        <f>[1]Sheet1!K209</f>
        <v>0</v>
      </c>
      <c r="L209" s="228">
        <f>[1]Sheet1!L209</f>
        <v>0</v>
      </c>
      <c r="M209" s="229">
        <f>[1]Sheet1!M209</f>
        <v>0</v>
      </c>
      <c r="N209" s="229">
        <f>[1]Sheet1!N209</f>
        <v>0</v>
      </c>
      <c r="O209" s="228">
        <f>[1]Sheet1!O209</f>
        <v>0</v>
      </c>
      <c r="P209" s="228">
        <f>[1]Sheet1!P209</f>
        <v>0</v>
      </c>
      <c r="Q209" s="228">
        <f>[1]Sheet1!Q209</f>
        <v>0</v>
      </c>
      <c r="R209" s="228">
        <f>[1]Sheet1!R209</f>
        <v>0</v>
      </c>
      <c r="S209" s="228">
        <f>[1]Sheet1!S209</f>
        <v>0</v>
      </c>
      <c r="T209" s="228">
        <f>[1]Sheet1!T209</f>
        <v>0</v>
      </c>
      <c r="U209" s="228">
        <f>[1]Sheet1!U209</f>
        <v>0</v>
      </c>
      <c r="V209" s="228">
        <f>[1]Sheet1!V209</f>
        <v>0</v>
      </c>
      <c r="W209" s="228">
        <f>[1]Sheet1!W209</f>
        <v>0</v>
      </c>
      <c r="X209" s="228">
        <f>[1]Sheet1!X209</f>
        <v>0</v>
      </c>
      <c r="Y209" s="228">
        <f>[1]Sheet1!Y209</f>
        <v>0</v>
      </c>
      <c r="Z209" s="59">
        <f>[1]Sheet1!Z209</f>
        <v>0</v>
      </c>
      <c r="AA209" s="59">
        <f>[1]Sheet1!AA209</f>
        <v>0</v>
      </c>
    </row>
    <row r="210" spans="1:27" ht="15" customHeight="1">
      <c r="A210" s="59">
        <f>[1]Sheet1!A210</f>
        <v>0</v>
      </c>
      <c r="B210" s="227">
        <f>[1]Sheet1!B210</f>
        <v>0</v>
      </c>
      <c r="C210" s="227">
        <f>[1]Sheet1!C210</f>
        <v>0</v>
      </c>
      <c r="D210" s="228">
        <f>[1]Sheet1!D210</f>
        <v>0</v>
      </c>
      <c r="E210" s="228">
        <f>[1]Sheet1!E210</f>
        <v>0</v>
      </c>
      <c r="F210" s="228">
        <f>[1]Sheet1!F210</f>
        <v>0</v>
      </c>
      <c r="G210" s="228">
        <f>[1]Sheet1!G210</f>
        <v>0</v>
      </c>
      <c r="H210" s="228">
        <f>[1]Sheet1!H210</f>
        <v>0</v>
      </c>
      <c r="I210" s="228">
        <f>[1]Sheet1!I210</f>
        <v>0</v>
      </c>
      <c r="J210" s="228">
        <f>[1]Sheet1!J210</f>
        <v>0</v>
      </c>
      <c r="K210" s="228">
        <f>[1]Sheet1!K210</f>
        <v>0</v>
      </c>
      <c r="L210" s="228">
        <f>[1]Sheet1!L210</f>
        <v>0</v>
      </c>
      <c r="M210" s="229">
        <f>[1]Sheet1!M210</f>
        <v>0</v>
      </c>
      <c r="N210" s="229">
        <f>[1]Sheet1!N210</f>
        <v>0</v>
      </c>
      <c r="O210" s="228">
        <f>[1]Sheet1!O210</f>
        <v>0</v>
      </c>
      <c r="P210" s="228">
        <f>[1]Sheet1!P210</f>
        <v>0</v>
      </c>
      <c r="Q210" s="228">
        <f>[1]Sheet1!Q210</f>
        <v>0</v>
      </c>
      <c r="R210" s="228">
        <f>[1]Sheet1!R210</f>
        <v>0</v>
      </c>
      <c r="S210" s="228">
        <f>[1]Sheet1!S210</f>
        <v>0</v>
      </c>
      <c r="T210" s="228">
        <f>[1]Sheet1!T210</f>
        <v>0</v>
      </c>
      <c r="U210" s="228">
        <f>[1]Sheet1!U210</f>
        <v>0</v>
      </c>
      <c r="V210" s="228">
        <f>[1]Sheet1!V210</f>
        <v>0</v>
      </c>
      <c r="W210" s="228">
        <f>[1]Sheet1!W210</f>
        <v>0</v>
      </c>
      <c r="X210" s="228">
        <f>[1]Sheet1!X210</f>
        <v>0</v>
      </c>
      <c r="Y210" s="228">
        <f>[1]Sheet1!Y210</f>
        <v>0</v>
      </c>
      <c r="Z210" s="59">
        <f>[1]Sheet1!Z210</f>
        <v>0</v>
      </c>
      <c r="AA210" s="59">
        <f>[1]Sheet1!AA210</f>
        <v>0</v>
      </c>
    </row>
    <row r="211" spans="1:27" ht="15" customHeight="1">
      <c r="A211" s="59">
        <f>[1]Sheet1!A211</f>
        <v>0</v>
      </c>
      <c r="B211" s="227">
        <f>[1]Sheet1!B211</f>
        <v>0</v>
      </c>
      <c r="C211" s="227">
        <f>[1]Sheet1!C211</f>
        <v>0</v>
      </c>
      <c r="D211" s="228">
        <f>[1]Sheet1!D211</f>
        <v>0</v>
      </c>
      <c r="E211" s="228">
        <f>[1]Sheet1!E211</f>
        <v>0</v>
      </c>
      <c r="F211" s="228">
        <f>[1]Sheet1!F211</f>
        <v>0</v>
      </c>
      <c r="G211" s="228">
        <f>[1]Sheet1!G211</f>
        <v>0</v>
      </c>
      <c r="H211" s="228">
        <f>[1]Sheet1!H211</f>
        <v>0</v>
      </c>
      <c r="I211" s="228">
        <f>[1]Sheet1!I211</f>
        <v>0</v>
      </c>
      <c r="J211" s="228">
        <f>[1]Sheet1!J211</f>
        <v>0</v>
      </c>
      <c r="K211" s="228">
        <f>[1]Sheet1!K211</f>
        <v>0</v>
      </c>
      <c r="L211" s="228">
        <f>[1]Sheet1!L211</f>
        <v>0</v>
      </c>
      <c r="M211" s="229">
        <f>[1]Sheet1!M211</f>
        <v>0</v>
      </c>
      <c r="N211" s="229">
        <f>[1]Sheet1!N211</f>
        <v>0</v>
      </c>
      <c r="O211" s="228">
        <f>[1]Sheet1!O211</f>
        <v>0</v>
      </c>
      <c r="P211" s="228">
        <f>[1]Sheet1!P211</f>
        <v>0</v>
      </c>
      <c r="Q211" s="228">
        <f>[1]Sheet1!Q211</f>
        <v>0</v>
      </c>
      <c r="R211" s="228">
        <f>[1]Sheet1!R211</f>
        <v>0</v>
      </c>
      <c r="S211" s="228">
        <f>[1]Sheet1!S211</f>
        <v>0</v>
      </c>
      <c r="T211" s="228">
        <f>[1]Sheet1!T211</f>
        <v>0</v>
      </c>
      <c r="U211" s="228">
        <f>[1]Sheet1!U211</f>
        <v>0</v>
      </c>
      <c r="V211" s="228">
        <f>[1]Sheet1!V211</f>
        <v>0</v>
      </c>
      <c r="W211" s="228">
        <f>[1]Sheet1!W211</f>
        <v>0</v>
      </c>
      <c r="X211" s="228">
        <f>[1]Sheet1!X211</f>
        <v>0</v>
      </c>
      <c r="Y211" s="228">
        <f>[1]Sheet1!Y211</f>
        <v>0</v>
      </c>
      <c r="Z211" s="59">
        <f>[1]Sheet1!Z211</f>
        <v>0</v>
      </c>
      <c r="AA211" s="59">
        <f>[1]Sheet1!AA211</f>
        <v>0</v>
      </c>
    </row>
    <row r="212" spans="1:27" ht="15" customHeight="1">
      <c r="A212" s="59">
        <f>[1]Sheet1!A212</f>
        <v>0</v>
      </c>
      <c r="B212" s="227">
        <f>[1]Sheet1!B212</f>
        <v>0</v>
      </c>
      <c r="C212" s="227">
        <f>[1]Sheet1!C212</f>
        <v>0</v>
      </c>
      <c r="D212" s="228">
        <f>[1]Sheet1!D212</f>
        <v>0</v>
      </c>
      <c r="E212" s="228">
        <f>[1]Sheet1!E212</f>
        <v>0</v>
      </c>
      <c r="F212" s="228">
        <f>[1]Sheet1!F212</f>
        <v>0</v>
      </c>
      <c r="G212" s="228">
        <f>[1]Sheet1!G212</f>
        <v>0</v>
      </c>
      <c r="H212" s="228">
        <f>[1]Sheet1!H212</f>
        <v>0</v>
      </c>
      <c r="I212" s="228">
        <f>[1]Sheet1!I212</f>
        <v>0</v>
      </c>
      <c r="J212" s="228">
        <f>[1]Sheet1!J212</f>
        <v>0</v>
      </c>
      <c r="K212" s="228">
        <f>[1]Sheet1!K212</f>
        <v>0</v>
      </c>
      <c r="L212" s="228">
        <f>[1]Sheet1!L212</f>
        <v>0</v>
      </c>
      <c r="M212" s="229">
        <f>[1]Sheet1!M212</f>
        <v>0</v>
      </c>
      <c r="N212" s="229">
        <f>[1]Sheet1!N212</f>
        <v>0</v>
      </c>
      <c r="O212" s="228">
        <f>[1]Sheet1!O212</f>
        <v>0</v>
      </c>
      <c r="P212" s="228">
        <f>[1]Sheet1!P212</f>
        <v>0</v>
      </c>
      <c r="Q212" s="228">
        <f>[1]Sheet1!Q212</f>
        <v>0</v>
      </c>
      <c r="R212" s="228">
        <f>[1]Sheet1!R212</f>
        <v>0</v>
      </c>
      <c r="S212" s="228">
        <f>[1]Sheet1!S212</f>
        <v>0</v>
      </c>
      <c r="T212" s="228">
        <f>[1]Sheet1!T212</f>
        <v>0</v>
      </c>
      <c r="U212" s="228">
        <f>[1]Sheet1!U212</f>
        <v>0</v>
      </c>
      <c r="V212" s="228">
        <f>[1]Sheet1!V212</f>
        <v>0</v>
      </c>
      <c r="W212" s="228">
        <f>[1]Sheet1!W212</f>
        <v>0</v>
      </c>
      <c r="X212" s="228">
        <f>[1]Sheet1!X212</f>
        <v>0</v>
      </c>
      <c r="Y212" s="228">
        <f>[1]Sheet1!Y212</f>
        <v>0</v>
      </c>
      <c r="Z212" s="59">
        <f>[1]Sheet1!Z212</f>
        <v>0</v>
      </c>
      <c r="AA212" s="59">
        <f>[1]Sheet1!AA212</f>
        <v>0</v>
      </c>
    </row>
    <row r="213" spans="1:27" ht="15" customHeight="1">
      <c r="A213" s="59">
        <f>[1]Sheet1!A213</f>
        <v>0</v>
      </c>
      <c r="B213" s="227">
        <f>[1]Sheet1!B213</f>
        <v>0</v>
      </c>
      <c r="C213" s="227">
        <f>[1]Sheet1!C213</f>
        <v>0</v>
      </c>
      <c r="D213" s="228">
        <f>[1]Sheet1!D213</f>
        <v>0</v>
      </c>
      <c r="E213" s="228">
        <f>[1]Sheet1!E213</f>
        <v>0</v>
      </c>
      <c r="F213" s="228">
        <f>[1]Sheet1!F213</f>
        <v>0</v>
      </c>
      <c r="G213" s="228">
        <f>[1]Sheet1!G213</f>
        <v>0</v>
      </c>
      <c r="H213" s="228">
        <f>[1]Sheet1!H213</f>
        <v>0</v>
      </c>
      <c r="I213" s="228">
        <f>[1]Sheet1!I213</f>
        <v>0</v>
      </c>
      <c r="J213" s="228">
        <f>[1]Sheet1!J213</f>
        <v>0</v>
      </c>
      <c r="K213" s="228">
        <f>[1]Sheet1!K213</f>
        <v>0</v>
      </c>
      <c r="L213" s="228">
        <f>[1]Sheet1!L213</f>
        <v>0</v>
      </c>
      <c r="M213" s="229">
        <f>[1]Sheet1!M213</f>
        <v>0</v>
      </c>
      <c r="N213" s="229">
        <f>[1]Sheet1!N213</f>
        <v>0</v>
      </c>
      <c r="O213" s="228">
        <f>[1]Sheet1!O213</f>
        <v>0</v>
      </c>
      <c r="P213" s="228">
        <f>[1]Sheet1!P213</f>
        <v>0</v>
      </c>
      <c r="Q213" s="228">
        <f>[1]Sheet1!Q213</f>
        <v>0</v>
      </c>
      <c r="R213" s="228">
        <f>[1]Sheet1!R213</f>
        <v>0</v>
      </c>
      <c r="S213" s="228">
        <f>[1]Sheet1!S213</f>
        <v>0</v>
      </c>
      <c r="T213" s="228">
        <f>[1]Sheet1!T213</f>
        <v>0</v>
      </c>
      <c r="U213" s="228">
        <f>[1]Sheet1!U213</f>
        <v>0</v>
      </c>
      <c r="V213" s="228">
        <f>[1]Sheet1!V213</f>
        <v>0</v>
      </c>
      <c r="W213" s="228">
        <f>[1]Sheet1!W213</f>
        <v>0</v>
      </c>
      <c r="X213" s="228">
        <f>[1]Sheet1!X213</f>
        <v>0</v>
      </c>
      <c r="Y213" s="228">
        <f>[1]Sheet1!Y213</f>
        <v>0</v>
      </c>
      <c r="Z213" s="59">
        <f>[1]Sheet1!Z213</f>
        <v>0</v>
      </c>
      <c r="AA213" s="59">
        <f>[1]Sheet1!AA213</f>
        <v>0</v>
      </c>
    </row>
    <row r="214" spans="1:27" ht="15" customHeight="1">
      <c r="A214" s="59">
        <f>[1]Sheet1!A214</f>
        <v>0</v>
      </c>
      <c r="B214" s="227">
        <f>[1]Sheet1!B214</f>
        <v>0</v>
      </c>
      <c r="C214" s="227">
        <f>[1]Sheet1!C214</f>
        <v>0</v>
      </c>
      <c r="D214" s="228">
        <f>[1]Sheet1!D214</f>
        <v>0</v>
      </c>
      <c r="E214" s="228">
        <f>[1]Sheet1!E214</f>
        <v>0</v>
      </c>
      <c r="F214" s="228">
        <f>[1]Sheet1!F214</f>
        <v>0</v>
      </c>
      <c r="G214" s="228">
        <f>[1]Sheet1!G214</f>
        <v>0</v>
      </c>
      <c r="H214" s="228">
        <f>[1]Sheet1!H214</f>
        <v>0</v>
      </c>
      <c r="I214" s="228">
        <f>[1]Sheet1!I214</f>
        <v>0</v>
      </c>
      <c r="J214" s="228">
        <f>[1]Sheet1!J214</f>
        <v>0</v>
      </c>
      <c r="K214" s="228">
        <f>[1]Sheet1!K214</f>
        <v>0</v>
      </c>
      <c r="L214" s="228">
        <f>[1]Sheet1!L214</f>
        <v>0</v>
      </c>
      <c r="M214" s="229">
        <f>[1]Sheet1!M214</f>
        <v>0</v>
      </c>
      <c r="N214" s="229">
        <f>[1]Sheet1!N214</f>
        <v>0</v>
      </c>
      <c r="O214" s="228">
        <f>[1]Sheet1!O214</f>
        <v>0</v>
      </c>
      <c r="P214" s="228">
        <f>[1]Sheet1!P214</f>
        <v>0</v>
      </c>
      <c r="Q214" s="228">
        <f>[1]Sheet1!Q214</f>
        <v>0</v>
      </c>
      <c r="R214" s="228">
        <f>[1]Sheet1!R214</f>
        <v>0</v>
      </c>
      <c r="S214" s="228">
        <f>[1]Sheet1!S214</f>
        <v>0</v>
      </c>
      <c r="T214" s="228">
        <f>[1]Sheet1!T214</f>
        <v>0</v>
      </c>
      <c r="U214" s="228">
        <f>[1]Sheet1!U214</f>
        <v>0</v>
      </c>
      <c r="V214" s="228">
        <f>[1]Sheet1!V214</f>
        <v>0</v>
      </c>
      <c r="W214" s="228">
        <f>[1]Sheet1!W214</f>
        <v>0</v>
      </c>
      <c r="X214" s="228">
        <f>[1]Sheet1!X214</f>
        <v>0</v>
      </c>
      <c r="Y214" s="228">
        <f>[1]Sheet1!Y214</f>
        <v>0</v>
      </c>
      <c r="Z214" s="59">
        <f>[1]Sheet1!Z214</f>
        <v>0</v>
      </c>
      <c r="AA214" s="59">
        <f>[1]Sheet1!AA214</f>
        <v>0</v>
      </c>
    </row>
    <row r="215" spans="1:27" ht="15" customHeight="1">
      <c r="A215" s="59">
        <f>[1]Sheet1!A215</f>
        <v>0</v>
      </c>
      <c r="B215" s="227">
        <f>[1]Sheet1!B215</f>
        <v>0</v>
      </c>
      <c r="C215" s="227">
        <f>[1]Sheet1!C215</f>
        <v>0</v>
      </c>
      <c r="D215" s="228">
        <f>[1]Sheet1!D215</f>
        <v>0</v>
      </c>
      <c r="E215" s="228">
        <f>[1]Sheet1!E215</f>
        <v>0</v>
      </c>
      <c r="F215" s="228">
        <f>[1]Sheet1!F215</f>
        <v>0</v>
      </c>
      <c r="G215" s="228">
        <f>[1]Sheet1!G215</f>
        <v>0</v>
      </c>
      <c r="H215" s="228">
        <f>[1]Sheet1!H215</f>
        <v>0</v>
      </c>
      <c r="I215" s="228">
        <f>[1]Sheet1!I215</f>
        <v>0</v>
      </c>
      <c r="J215" s="228">
        <f>[1]Sheet1!J215</f>
        <v>0</v>
      </c>
      <c r="K215" s="228">
        <f>[1]Sheet1!K215</f>
        <v>0</v>
      </c>
      <c r="L215" s="228">
        <f>[1]Sheet1!L215</f>
        <v>0</v>
      </c>
      <c r="M215" s="229">
        <f>[1]Sheet1!M215</f>
        <v>0</v>
      </c>
      <c r="N215" s="229">
        <f>[1]Sheet1!N215</f>
        <v>0</v>
      </c>
      <c r="O215" s="228">
        <f>[1]Sheet1!O215</f>
        <v>0</v>
      </c>
      <c r="P215" s="228">
        <f>[1]Sheet1!P215</f>
        <v>0</v>
      </c>
      <c r="Q215" s="228">
        <f>[1]Sheet1!Q215</f>
        <v>0</v>
      </c>
      <c r="R215" s="228">
        <f>[1]Sheet1!R215</f>
        <v>0</v>
      </c>
      <c r="S215" s="228">
        <f>[1]Sheet1!S215</f>
        <v>0</v>
      </c>
      <c r="T215" s="228">
        <f>[1]Sheet1!T215</f>
        <v>0</v>
      </c>
      <c r="U215" s="228">
        <f>[1]Sheet1!U215</f>
        <v>0</v>
      </c>
      <c r="V215" s="228">
        <f>[1]Sheet1!V215</f>
        <v>0</v>
      </c>
      <c r="W215" s="228">
        <f>[1]Sheet1!W215</f>
        <v>0</v>
      </c>
      <c r="X215" s="228">
        <f>[1]Sheet1!X215</f>
        <v>0</v>
      </c>
      <c r="Y215" s="228">
        <f>[1]Sheet1!Y215</f>
        <v>0</v>
      </c>
      <c r="Z215" s="59">
        <f>[1]Sheet1!Z215</f>
        <v>0</v>
      </c>
      <c r="AA215" s="59">
        <f>[1]Sheet1!AA215</f>
        <v>0</v>
      </c>
    </row>
    <row r="216" spans="1:27" ht="15" customHeight="1">
      <c r="A216" s="59">
        <f>[1]Sheet1!A216</f>
        <v>0</v>
      </c>
      <c r="B216" s="227">
        <f>[1]Sheet1!B216</f>
        <v>0</v>
      </c>
      <c r="C216" s="227">
        <f>[1]Sheet1!C216</f>
        <v>0</v>
      </c>
      <c r="D216" s="228">
        <f>[1]Sheet1!D216</f>
        <v>0</v>
      </c>
      <c r="E216" s="228">
        <f>[1]Sheet1!E216</f>
        <v>0</v>
      </c>
      <c r="F216" s="228">
        <f>[1]Sheet1!F216</f>
        <v>0</v>
      </c>
      <c r="G216" s="228">
        <f>[1]Sheet1!G216</f>
        <v>0</v>
      </c>
      <c r="H216" s="228">
        <f>[1]Sheet1!H216</f>
        <v>0</v>
      </c>
      <c r="I216" s="228">
        <f>[1]Sheet1!I216</f>
        <v>0</v>
      </c>
      <c r="J216" s="228">
        <f>[1]Sheet1!J216</f>
        <v>0</v>
      </c>
      <c r="K216" s="228">
        <f>[1]Sheet1!K216</f>
        <v>0</v>
      </c>
      <c r="L216" s="228">
        <f>[1]Sheet1!L216</f>
        <v>0</v>
      </c>
      <c r="M216" s="229">
        <f>[1]Sheet1!M216</f>
        <v>0</v>
      </c>
      <c r="N216" s="229">
        <f>[1]Sheet1!N216</f>
        <v>0</v>
      </c>
      <c r="O216" s="228">
        <f>[1]Sheet1!O216</f>
        <v>0</v>
      </c>
      <c r="P216" s="228">
        <f>[1]Sheet1!P216</f>
        <v>0</v>
      </c>
      <c r="Q216" s="228">
        <f>[1]Sheet1!Q216</f>
        <v>0</v>
      </c>
      <c r="R216" s="228">
        <f>[1]Sheet1!R216</f>
        <v>0</v>
      </c>
      <c r="S216" s="228">
        <f>[1]Sheet1!S216</f>
        <v>0</v>
      </c>
      <c r="T216" s="228">
        <f>[1]Sheet1!T216</f>
        <v>0</v>
      </c>
      <c r="U216" s="228">
        <f>[1]Sheet1!U216</f>
        <v>0</v>
      </c>
      <c r="V216" s="228">
        <f>[1]Sheet1!V216</f>
        <v>0</v>
      </c>
      <c r="W216" s="228">
        <f>[1]Sheet1!W216</f>
        <v>0</v>
      </c>
      <c r="X216" s="228">
        <f>[1]Sheet1!X216</f>
        <v>0</v>
      </c>
      <c r="Y216" s="228">
        <f>[1]Sheet1!Y216</f>
        <v>0</v>
      </c>
      <c r="Z216" s="59">
        <f>[1]Sheet1!Z216</f>
        <v>0</v>
      </c>
      <c r="AA216" s="59">
        <f>[1]Sheet1!AA216</f>
        <v>0</v>
      </c>
    </row>
    <row r="217" spans="1:27" ht="15" customHeight="1">
      <c r="A217" s="59">
        <f>[1]Sheet1!A217</f>
        <v>0</v>
      </c>
      <c r="B217" s="227">
        <f>[1]Sheet1!B217</f>
        <v>0</v>
      </c>
      <c r="C217" s="227">
        <f>[1]Sheet1!C217</f>
        <v>0</v>
      </c>
      <c r="D217" s="228">
        <f>[1]Sheet1!D217</f>
        <v>0</v>
      </c>
      <c r="E217" s="228">
        <f>[1]Sheet1!E217</f>
        <v>0</v>
      </c>
      <c r="F217" s="228">
        <f>[1]Sheet1!F217</f>
        <v>0</v>
      </c>
      <c r="G217" s="228">
        <f>[1]Sheet1!G217</f>
        <v>0</v>
      </c>
      <c r="H217" s="228">
        <f>[1]Sheet1!H217</f>
        <v>0</v>
      </c>
      <c r="I217" s="228">
        <f>[1]Sheet1!I217</f>
        <v>0</v>
      </c>
      <c r="J217" s="228">
        <f>[1]Sheet1!J217</f>
        <v>0</v>
      </c>
      <c r="K217" s="228">
        <f>[1]Sheet1!K217</f>
        <v>0</v>
      </c>
      <c r="L217" s="228">
        <f>[1]Sheet1!L217</f>
        <v>0</v>
      </c>
      <c r="M217" s="229">
        <f>[1]Sheet1!M217</f>
        <v>0</v>
      </c>
      <c r="N217" s="229">
        <f>[1]Sheet1!N217</f>
        <v>0</v>
      </c>
      <c r="O217" s="228">
        <f>[1]Sheet1!O217</f>
        <v>0</v>
      </c>
      <c r="P217" s="228">
        <f>[1]Sheet1!P217</f>
        <v>0</v>
      </c>
      <c r="Q217" s="228">
        <f>[1]Sheet1!Q217</f>
        <v>0</v>
      </c>
      <c r="R217" s="228">
        <f>[1]Sheet1!R217</f>
        <v>0</v>
      </c>
      <c r="S217" s="228">
        <f>[1]Sheet1!S217</f>
        <v>0</v>
      </c>
      <c r="T217" s="228">
        <f>[1]Sheet1!T217</f>
        <v>0</v>
      </c>
      <c r="U217" s="228">
        <f>[1]Sheet1!U217</f>
        <v>0</v>
      </c>
      <c r="V217" s="228">
        <f>[1]Sheet1!V217</f>
        <v>0</v>
      </c>
      <c r="W217" s="228">
        <f>[1]Sheet1!W217</f>
        <v>0</v>
      </c>
      <c r="X217" s="228">
        <f>[1]Sheet1!X217</f>
        <v>0</v>
      </c>
      <c r="Y217" s="228">
        <f>[1]Sheet1!Y217</f>
        <v>0</v>
      </c>
      <c r="Z217" s="59">
        <f>[1]Sheet1!Z217</f>
        <v>0</v>
      </c>
      <c r="AA217" s="59">
        <f>[1]Sheet1!AA217</f>
        <v>0</v>
      </c>
    </row>
    <row r="218" spans="1:27" ht="15" customHeight="1">
      <c r="A218" s="59">
        <f>[1]Sheet1!A218</f>
        <v>0</v>
      </c>
      <c r="B218" s="227">
        <f>[1]Sheet1!B218</f>
        <v>0</v>
      </c>
      <c r="C218" s="227">
        <f>[1]Sheet1!C218</f>
        <v>0</v>
      </c>
      <c r="D218" s="228">
        <f>[1]Sheet1!D218</f>
        <v>0</v>
      </c>
      <c r="E218" s="228">
        <f>[1]Sheet1!E218</f>
        <v>0</v>
      </c>
      <c r="F218" s="228">
        <f>[1]Sheet1!F218</f>
        <v>0</v>
      </c>
      <c r="G218" s="228">
        <f>[1]Sheet1!G218</f>
        <v>0</v>
      </c>
      <c r="H218" s="228">
        <f>[1]Sheet1!H218</f>
        <v>0</v>
      </c>
      <c r="I218" s="228">
        <f>[1]Sheet1!I218</f>
        <v>0</v>
      </c>
      <c r="J218" s="228">
        <f>[1]Sheet1!J218</f>
        <v>0</v>
      </c>
      <c r="K218" s="228">
        <f>[1]Sheet1!K218</f>
        <v>0</v>
      </c>
      <c r="L218" s="228">
        <f>[1]Sheet1!L218</f>
        <v>0</v>
      </c>
      <c r="M218" s="229">
        <f>[1]Sheet1!M218</f>
        <v>0</v>
      </c>
      <c r="N218" s="229">
        <f>[1]Sheet1!N218</f>
        <v>0</v>
      </c>
      <c r="O218" s="228">
        <f>[1]Sheet1!O218</f>
        <v>0</v>
      </c>
      <c r="P218" s="228">
        <f>[1]Sheet1!P218</f>
        <v>0</v>
      </c>
      <c r="Q218" s="228">
        <f>[1]Sheet1!Q218</f>
        <v>0</v>
      </c>
      <c r="R218" s="228">
        <f>[1]Sheet1!R218</f>
        <v>0</v>
      </c>
      <c r="S218" s="228">
        <f>[1]Sheet1!S218</f>
        <v>0</v>
      </c>
      <c r="T218" s="228">
        <f>[1]Sheet1!T218</f>
        <v>0</v>
      </c>
      <c r="U218" s="228">
        <f>[1]Sheet1!U218</f>
        <v>0</v>
      </c>
      <c r="V218" s="228">
        <f>[1]Sheet1!V218</f>
        <v>0</v>
      </c>
      <c r="W218" s="228">
        <f>[1]Sheet1!W218</f>
        <v>0</v>
      </c>
      <c r="X218" s="228">
        <f>[1]Sheet1!X218</f>
        <v>0</v>
      </c>
      <c r="Y218" s="228">
        <f>[1]Sheet1!Y218</f>
        <v>0</v>
      </c>
      <c r="Z218" s="59">
        <f>[1]Sheet1!Z218</f>
        <v>0</v>
      </c>
      <c r="AA218" s="59">
        <f>[1]Sheet1!AA218</f>
        <v>0</v>
      </c>
    </row>
    <row r="219" spans="1:27" ht="15" customHeight="1">
      <c r="A219" s="59">
        <f>[1]Sheet1!A219</f>
        <v>0</v>
      </c>
      <c r="B219" s="227">
        <f>[1]Sheet1!B219</f>
        <v>0</v>
      </c>
      <c r="C219" s="227">
        <f>[1]Sheet1!C219</f>
        <v>0</v>
      </c>
      <c r="D219" s="228">
        <f>[1]Sheet1!D219</f>
        <v>0</v>
      </c>
      <c r="E219" s="228">
        <f>[1]Sheet1!E219</f>
        <v>0</v>
      </c>
      <c r="F219" s="228">
        <f>[1]Sheet1!F219</f>
        <v>0</v>
      </c>
      <c r="G219" s="228">
        <f>[1]Sheet1!G219</f>
        <v>0</v>
      </c>
      <c r="H219" s="228">
        <f>[1]Sheet1!H219</f>
        <v>0</v>
      </c>
      <c r="I219" s="228">
        <f>[1]Sheet1!I219</f>
        <v>0</v>
      </c>
      <c r="J219" s="228">
        <f>[1]Sheet1!J219</f>
        <v>0</v>
      </c>
      <c r="K219" s="228">
        <f>[1]Sheet1!K219</f>
        <v>0</v>
      </c>
      <c r="L219" s="228">
        <f>[1]Sheet1!L219</f>
        <v>0</v>
      </c>
      <c r="M219" s="229">
        <f>[1]Sheet1!M219</f>
        <v>0</v>
      </c>
      <c r="N219" s="229">
        <f>[1]Sheet1!N219</f>
        <v>0</v>
      </c>
      <c r="O219" s="228">
        <f>[1]Sheet1!O219</f>
        <v>0</v>
      </c>
      <c r="P219" s="228">
        <f>[1]Sheet1!P219</f>
        <v>0</v>
      </c>
      <c r="Q219" s="228">
        <f>[1]Sheet1!Q219</f>
        <v>0</v>
      </c>
      <c r="R219" s="228">
        <f>[1]Sheet1!R219</f>
        <v>0</v>
      </c>
      <c r="S219" s="228">
        <f>[1]Sheet1!S219</f>
        <v>0</v>
      </c>
      <c r="T219" s="228">
        <f>[1]Sheet1!T219</f>
        <v>0</v>
      </c>
      <c r="U219" s="228">
        <f>[1]Sheet1!U219</f>
        <v>0</v>
      </c>
      <c r="V219" s="228">
        <f>[1]Sheet1!V219</f>
        <v>0</v>
      </c>
      <c r="W219" s="228">
        <f>[1]Sheet1!W219</f>
        <v>0</v>
      </c>
      <c r="X219" s="228">
        <f>[1]Sheet1!X219</f>
        <v>0</v>
      </c>
      <c r="Y219" s="228">
        <f>[1]Sheet1!Y219</f>
        <v>0</v>
      </c>
      <c r="Z219" s="59">
        <f>[1]Sheet1!Z219</f>
        <v>0</v>
      </c>
      <c r="AA219" s="59">
        <f>[1]Sheet1!AA219</f>
        <v>0</v>
      </c>
    </row>
    <row r="220" spans="1:27" ht="15" customHeight="1">
      <c r="A220" s="59">
        <f>[1]Sheet1!A220</f>
        <v>0</v>
      </c>
      <c r="B220" s="227">
        <f>[1]Sheet1!B220</f>
        <v>0</v>
      </c>
      <c r="C220" s="227">
        <f>[1]Sheet1!C220</f>
        <v>0</v>
      </c>
      <c r="D220" s="228">
        <f>[1]Sheet1!D220</f>
        <v>0</v>
      </c>
      <c r="E220" s="228">
        <f>[1]Sheet1!E220</f>
        <v>0</v>
      </c>
      <c r="F220" s="228">
        <f>[1]Sheet1!F220</f>
        <v>0</v>
      </c>
      <c r="G220" s="228">
        <f>[1]Sheet1!G220</f>
        <v>0</v>
      </c>
      <c r="H220" s="228">
        <f>[1]Sheet1!H220</f>
        <v>0</v>
      </c>
      <c r="I220" s="228">
        <f>[1]Sheet1!I220</f>
        <v>0</v>
      </c>
      <c r="J220" s="228">
        <f>[1]Sheet1!J220</f>
        <v>0</v>
      </c>
      <c r="K220" s="228">
        <f>[1]Sheet1!K220</f>
        <v>0</v>
      </c>
      <c r="L220" s="228">
        <f>[1]Sheet1!L220</f>
        <v>0</v>
      </c>
      <c r="M220" s="229">
        <f>[1]Sheet1!M220</f>
        <v>0</v>
      </c>
      <c r="N220" s="229">
        <f>[1]Sheet1!N220</f>
        <v>0</v>
      </c>
      <c r="O220" s="228">
        <f>[1]Sheet1!O220</f>
        <v>0</v>
      </c>
      <c r="P220" s="228">
        <f>[1]Sheet1!P220</f>
        <v>0</v>
      </c>
      <c r="Q220" s="228">
        <f>[1]Sheet1!Q220</f>
        <v>0</v>
      </c>
      <c r="R220" s="228">
        <f>[1]Sheet1!R220</f>
        <v>0</v>
      </c>
      <c r="S220" s="228">
        <f>[1]Sheet1!S220</f>
        <v>0</v>
      </c>
      <c r="T220" s="228">
        <f>[1]Sheet1!T220</f>
        <v>0</v>
      </c>
      <c r="U220" s="228">
        <f>[1]Sheet1!U220</f>
        <v>0</v>
      </c>
      <c r="V220" s="228">
        <f>[1]Sheet1!V220</f>
        <v>0</v>
      </c>
      <c r="W220" s="228">
        <f>[1]Sheet1!W220</f>
        <v>0</v>
      </c>
      <c r="X220" s="228">
        <f>[1]Sheet1!X220</f>
        <v>0</v>
      </c>
      <c r="Y220" s="228">
        <f>[1]Sheet1!Y220</f>
        <v>0</v>
      </c>
      <c r="Z220" s="59">
        <f>[1]Sheet1!Z220</f>
        <v>0</v>
      </c>
      <c r="AA220" s="59">
        <f>[1]Sheet1!AA220</f>
        <v>0</v>
      </c>
    </row>
    <row r="221" spans="1:27" ht="15" customHeight="1">
      <c r="A221" s="59">
        <f>[1]Sheet1!A221</f>
        <v>0</v>
      </c>
      <c r="B221" s="227">
        <f>[1]Sheet1!B221</f>
        <v>0</v>
      </c>
      <c r="C221" s="227">
        <f>[1]Sheet1!C221</f>
        <v>0</v>
      </c>
      <c r="D221" s="228">
        <f>[1]Sheet1!D221</f>
        <v>0</v>
      </c>
      <c r="E221" s="228">
        <f>[1]Sheet1!E221</f>
        <v>0</v>
      </c>
      <c r="F221" s="228">
        <f>[1]Sheet1!F221</f>
        <v>0</v>
      </c>
      <c r="G221" s="228">
        <f>[1]Sheet1!G221</f>
        <v>0</v>
      </c>
      <c r="H221" s="228">
        <f>[1]Sheet1!H221</f>
        <v>0</v>
      </c>
      <c r="I221" s="228">
        <f>[1]Sheet1!I221</f>
        <v>0</v>
      </c>
      <c r="J221" s="228">
        <f>[1]Sheet1!J221</f>
        <v>0</v>
      </c>
      <c r="K221" s="228">
        <f>[1]Sheet1!K221</f>
        <v>0</v>
      </c>
      <c r="L221" s="228">
        <f>[1]Sheet1!L221</f>
        <v>0</v>
      </c>
      <c r="M221" s="229">
        <f>[1]Sheet1!M221</f>
        <v>0</v>
      </c>
      <c r="N221" s="229">
        <f>[1]Sheet1!N221</f>
        <v>0</v>
      </c>
      <c r="O221" s="228">
        <f>[1]Sheet1!O221</f>
        <v>0</v>
      </c>
      <c r="P221" s="228">
        <f>[1]Sheet1!P221</f>
        <v>0</v>
      </c>
      <c r="Q221" s="228">
        <f>[1]Sheet1!Q221</f>
        <v>0</v>
      </c>
      <c r="R221" s="228">
        <f>[1]Sheet1!R221</f>
        <v>0</v>
      </c>
      <c r="S221" s="228">
        <f>[1]Sheet1!S221</f>
        <v>0</v>
      </c>
      <c r="T221" s="228">
        <f>[1]Sheet1!T221</f>
        <v>0</v>
      </c>
      <c r="U221" s="228">
        <f>[1]Sheet1!U221</f>
        <v>0</v>
      </c>
      <c r="V221" s="228">
        <f>[1]Sheet1!V221</f>
        <v>0</v>
      </c>
      <c r="W221" s="228">
        <f>[1]Sheet1!W221</f>
        <v>0</v>
      </c>
      <c r="X221" s="228">
        <f>[1]Sheet1!X221</f>
        <v>0</v>
      </c>
      <c r="Y221" s="228">
        <f>[1]Sheet1!Y221</f>
        <v>0</v>
      </c>
      <c r="Z221" s="59">
        <f>[1]Sheet1!Z221</f>
        <v>0</v>
      </c>
      <c r="AA221" s="59">
        <f>[1]Sheet1!AA221</f>
        <v>0</v>
      </c>
    </row>
    <row r="222" spans="1:27" ht="15" customHeight="1">
      <c r="A222" s="59">
        <f>[1]Sheet1!A222</f>
        <v>0</v>
      </c>
      <c r="B222" s="227">
        <f>[1]Sheet1!B222</f>
        <v>0</v>
      </c>
      <c r="C222" s="227">
        <f>[1]Sheet1!C222</f>
        <v>0</v>
      </c>
      <c r="D222" s="228">
        <f>[1]Sheet1!D222</f>
        <v>0</v>
      </c>
      <c r="E222" s="228">
        <f>[1]Sheet1!E222</f>
        <v>0</v>
      </c>
      <c r="F222" s="228">
        <f>[1]Sheet1!F222</f>
        <v>0</v>
      </c>
      <c r="G222" s="228">
        <f>[1]Sheet1!G222</f>
        <v>0</v>
      </c>
      <c r="H222" s="228">
        <f>[1]Sheet1!H222</f>
        <v>0</v>
      </c>
      <c r="I222" s="228">
        <f>[1]Sheet1!I222</f>
        <v>0</v>
      </c>
      <c r="J222" s="228">
        <f>[1]Sheet1!J222</f>
        <v>0</v>
      </c>
      <c r="K222" s="228">
        <f>[1]Sheet1!K222</f>
        <v>0</v>
      </c>
      <c r="L222" s="228">
        <f>[1]Sheet1!L222</f>
        <v>0</v>
      </c>
      <c r="M222" s="229">
        <f>[1]Sheet1!M222</f>
        <v>0</v>
      </c>
      <c r="N222" s="229">
        <f>[1]Sheet1!N222</f>
        <v>0</v>
      </c>
      <c r="O222" s="228">
        <f>[1]Sheet1!O222</f>
        <v>0</v>
      </c>
      <c r="P222" s="228">
        <f>[1]Sheet1!P222</f>
        <v>0</v>
      </c>
      <c r="Q222" s="228">
        <f>[1]Sheet1!Q222</f>
        <v>0</v>
      </c>
      <c r="R222" s="228">
        <f>[1]Sheet1!R222</f>
        <v>0</v>
      </c>
      <c r="S222" s="228">
        <f>[1]Sheet1!S222</f>
        <v>0</v>
      </c>
      <c r="T222" s="228">
        <f>[1]Sheet1!T222</f>
        <v>0</v>
      </c>
      <c r="U222" s="228">
        <f>[1]Sheet1!U222</f>
        <v>0</v>
      </c>
      <c r="V222" s="228">
        <f>[1]Sheet1!V222</f>
        <v>0</v>
      </c>
      <c r="W222" s="228">
        <f>[1]Sheet1!W222</f>
        <v>0</v>
      </c>
      <c r="X222" s="228">
        <f>[1]Sheet1!X222</f>
        <v>0</v>
      </c>
      <c r="Y222" s="228">
        <f>[1]Sheet1!Y222</f>
        <v>0</v>
      </c>
      <c r="Z222" s="59">
        <f>[1]Sheet1!Z222</f>
        <v>0</v>
      </c>
      <c r="AA222" s="59">
        <f>[1]Sheet1!AA222</f>
        <v>0</v>
      </c>
    </row>
    <row r="223" spans="1:27" ht="15" customHeight="1">
      <c r="A223" s="59">
        <f>[1]Sheet1!A223</f>
        <v>0</v>
      </c>
      <c r="B223" s="227">
        <f>[1]Sheet1!B223</f>
        <v>0</v>
      </c>
      <c r="C223" s="227">
        <f>[1]Sheet1!C223</f>
        <v>0</v>
      </c>
      <c r="D223" s="228">
        <f>[1]Sheet1!D223</f>
        <v>0</v>
      </c>
      <c r="E223" s="228">
        <f>[1]Sheet1!E223</f>
        <v>0</v>
      </c>
      <c r="F223" s="228">
        <f>[1]Sheet1!F223</f>
        <v>0</v>
      </c>
      <c r="G223" s="228">
        <f>[1]Sheet1!G223</f>
        <v>0</v>
      </c>
      <c r="H223" s="228">
        <f>[1]Sheet1!H223</f>
        <v>0</v>
      </c>
      <c r="I223" s="228">
        <f>[1]Sheet1!I223</f>
        <v>0</v>
      </c>
      <c r="J223" s="228">
        <f>[1]Sheet1!J223</f>
        <v>0</v>
      </c>
      <c r="K223" s="228">
        <f>[1]Sheet1!K223</f>
        <v>0</v>
      </c>
      <c r="L223" s="228">
        <f>[1]Sheet1!L223</f>
        <v>0</v>
      </c>
      <c r="M223" s="229">
        <f>[1]Sheet1!M223</f>
        <v>0</v>
      </c>
      <c r="N223" s="229">
        <f>[1]Sheet1!N223</f>
        <v>0</v>
      </c>
      <c r="O223" s="228">
        <f>[1]Sheet1!O223</f>
        <v>0</v>
      </c>
      <c r="P223" s="228">
        <f>[1]Sheet1!P223</f>
        <v>0</v>
      </c>
      <c r="Q223" s="228">
        <f>[1]Sheet1!Q223</f>
        <v>0</v>
      </c>
      <c r="R223" s="228">
        <f>[1]Sheet1!R223</f>
        <v>0</v>
      </c>
      <c r="S223" s="228">
        <f>[1]Sheet1!S223</f>
        <v>0</v>
      </c>
      <c r="T223" s="228">
        <f>[1]Sheet1!T223</f>
        <v>0</v>
      </c>
      <c r="U223" s="228">
        <f>[1]Sheet1!U223</f>
        <v>0</v>
      </c>
      <c r="V223" s="228">
        <f>[1]Sheet1!V223</f>
        <v>0</v>
      </c>
      <c r="W223" s="228">
        <f>[1]Sheet1!W223</f>
        <v>0</v>
      </c>
      <c r="X223" s="228">
        <f>[1]Sheet1!X223</f>
        <v>0</v>
      </c>
      <c r="Y223" s="228">
        <f>[1]Sheet1!Y223</f>
        <v>0</v>
      </c>
      <c r="Z223" s="59">
        <f>[1]Sheet1!Z223</f>
        <v>0</v>
      </c>
      <c r="AA223" s="59">
        <f>[1]Sheet1!AA223</f>
        <v>0</v>
      </c>
    </row>
    <row r="224" spans="1:27" ht="15" customHeight="1">
      <c r="A224" s="59">
        <f>[1]Sheet1!A224</f>
        <v>0</v>
      </c>
      <c r="B224" s="227">
        <f>[1]Sheet1!B224</f>
        <v>0</v>
      </c>
      <c r="C224" s="227">
        <f>[1]Sheet1!C224</f>
        <v>0</v>
      </c>
      <c r="D224" s="228">
        <f>[1]Sheet1!D224</f>
        <v>0</v>
      </c>
      <c r="E224" s="228">
        <f>[1]Sheet1!E224</f>
        <v>0</v>
      </c>
      <c r="F224" s="228">
        <f>[1]Sheet1!F224</f>
        <v>0</v>
      </c>
      <c r="G224" s="228">
        <f>[1]Sheet1!G224</f>
        <v>0</v>
      </c>
      <c r="H224" s="228">
        <f>[1]Sheet1!H224</f>
        <v>0</v>
      </c>
      <c r="I224" s="228">
        <f>[1]Sheet1!I224</f>
        <v>0</v>
      </c>
      <c r="J224" s="228">
        <f>[1]Sheet1!J224</f>
        <v>0</v>
      </c>
      <c r="K224" s="228">
        <f>[1]Sheet1!K224</f>
        <v>0</v>
      </c>
      <c r="L224" s="228">
        <f>[1]Sheet1!L224</f>
        <v>0</v>
      </c>
      <c r="M224" s="229">
        <f>[1]Sheet1!M224</f>
        <v>0</v>
      </c>
      <c r="N224" s="229">
        <f>[1]Sheet1!N224</f>
        <v>0</v>
      </c>
      <c r="O224" s="228">
        <f>[1]Sheet1!O224</f>
        <v>0</v>
      </c>
      <c r="P224" s="228">
        <f>[1]Sheet1!P224</f>
        <v>0</v>
      </c>
      <c r="Q224" s="228">
        <f>[1]Sheet1!Q224</f>
        <v>0</v>
      </c>
      <c r="R224" s="228">
        <f>[1]Sheet1!R224</f>
        <v>0</v>
      </c>
      <c r="S224" s="228">
        <f>[1]Sheet1!S224</f>
        <v>0</v>
      </c>
      <c r="T224" s="228">
        <f>[1]Sheet1!T224</f>
        <v>0</v>
      </c>
      <c r="U224" s="228">
        <f>[1]Sheet1!U224</f>
        <v>0</v>
      </c>
      <c r="V224" s="228">
        <f>[1]Sheet1!V224</f>
        <v>0</v>
      </c>
      <c r="W224" s="228">
        <f>[1]Sheet1!W224</f>
        <v>0</v>
      </c>
      <c r="X224" s="228">
        <f>[1]Sheet1!X224</f>
        <v>0</v>
      </c>
      <c r="Y224" s="228">
        <f>[1]Sheet1!Y224</f>
        <v>0</v>
      </c>
      <c r="Z224" s="59">
        <f>[1]Sheet1!Z224</f>
        <v>0</v>
      </c>
      <c r="AA224" s="59">
        <f>[1]Sheet1!AA224</f>
        <v>0</v>
      </c>
    </row>
    <row r="225" ht="177.75" customHeight="1"/>
    <row r="226" ht="177.75" customHeight="1"/>
    <row r="227" ht="177.75" customHeight="1"/>
    <row r="228" ht="177.75" customHeight="1"/>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100"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A13"/>
  <sheetViews>
    <sheetView zoomScale="70" zoomScaleNormal="70" workbookViewId="0">
      <pane xSplit="6" ySplit="1" topLeftCell="AO2" activePane="bottomRight" state="frozen"/>
      <selection pane="bottomRight" activeCell="AP2" sqref="AP2"/>
      <selection pane="bottomLeft" activeCell="A2" sqref="A2"/>
      <selection pane="topRight" activeCell="G1" sqref="G1"/>
    </sheetView>
  </sheetViews>
  <sheetFormatPr defaultColWidth="10.85546875" defaultRowHeight="15" customHeight="1"/>
  <cols>
    <col min="1" max="1" width="7.140625" style="8" customWidth="1"/>
    <col min="2" max="2" width="15.7109375" style="224" customWidth="1"/>
    <col min="3" max="3" width="16.140625" style="224" customWidth="1"/>
    <col min="4" max="4" width="16.42578125" style="8" customWidth="1"/>
    <col min="5" max="5" width="22.5703125" style="8" customWidth="1"/>
    <col min="6" max="6" width="54" style="8" customWidth="1"/>
    <col min="7" max="7" width="53.85546875" style="8" customWidth="1"/>
    <col min="8" max="8" width="11.42578125" style="8" customWidth="1"/>
    <col min="9" max="9" width="28.140625" style="8" customWidth="1"/>
    <col min="10" max="10" width="33.140625" style="8" customWidth="1"/>
    <col min="11" max="11" width="29.85546875" style="8" customWidth="1"/>
    <col min="12" max="12" width="13" style="8" customWidth="1"/>
    <col min="13" max="13" width="17" style="8" customWidth="1"/>
    <col min="14" max="14" width="13.42578125" style="8" customWidth="1"/>
    <col min="15" max="15" width="15" style="224" customWidth="1"/>
    <col min="16" max="16" width="9.140625" style="8" bestFit="1" customWidth="1"/>
    <col min="17" max="17" width="14" style="8" customWidth="1"/>
    <col min="18" max="19" width="46.7109375" style="8" customWidth="1"/>
    <col min="20" max="20" width="22.85546875" style="8" customWidth="1"/>
    <col min="21" max="21" width="18" style="8" customWidth="1"/>
    <col min="22" max="22" width="29.42578125" style="8" customWidth="1"/>
    <col min="23" max="23" width="22.42578125" style="8" customWidth="1"/>
    <col min="24" max="24" width="24.42578125" style="8" customWidth="1"/>
    <col min="25" max="25" width="37.42578125" style="8" customWidth="1"/>
    <col min="26" max="26" width="32.85546875" style="8" customWidth="1"/>
    <col min="27" max="27" width="23" style="8" customWidth="1"/>
    <col min="28" max="28" width="31.42578125" style="59" customWidth="1"/>
    <col min="29" max="29" width="22" style="8" customWidth="1"/>
    <col min="30" max="30" width="18.28515625" style="8" customWidth="1"/>
    <col min="31" max="31" width="16" style="8" customWidth="1"/>
    <col min="32" max="32" width="14.140625" style="8" customWidth="1"/>
    <col min="33" max="33" width="15.140625" style="8" customWidth="1"/>
    <col min="34" max="37" width="9.140625" style="8" bestFit="1" customWidth="1"/>
    <col min="38" max="40" width="12" style="8" customWidth="1"/>
    <col min="41" max="41" width="26.28515625" style="8" customWidth="1"/>
    <col min="42" max="42" width="43.140625" style="8" customWidth="1"/>
    <col min="43" max="43" width="55.42578125" style="187" customWidth="1"/>
    <col min="44" max="54" width="10.85546875" style="8"/>
    <col min="55" max="16384" width="10.85546875" style="4"/>
  </cols>
  <sheetData>
    <row r="1" spans="1:157" ht="30.75" customHeight="1">
      <c r="A1" s="230" t="s">
        <v>5</v>
      </c>
      <c r="B1" s="231" t="s">
        <v>6</v>
      </c>
      <c r="C1" s="231" t="s">
        <v>7</v>
      </c>
      <c r="D1" s="231" t="s">
        <v>8</v>
      </c>
      <c r="E1" s="231" t="s">
        <v>9</v>
      </c>
      <c r="F1" s="231" t="s">
        <v>10</v>
      </c>
      <c r="G1" s="231" t="s">
        <v>11</v>
      </c>
      <c r="H1" s="231" t="s">
        <v>12</v>
      </c>
      <c r="I1" s="231" t="s">
        <v>13</v>
      </c>
      <c r="J1" s="231" t="s">
        <v>14</v>
      </c>
      <c r="K1" s="231" t="s">
        <v>15</v>
      </c>
      <c r="L1" s="231" t="s">
        <v>16</v>
      </c>
      <c r="M1" s="231" t="s">
        <v>17</v>
      </c>
      <c r="N1" s="231" t="s">
        <v>18</v>
      </c>
      <c r="O1" s="231" t="s">
        <v>19</v>
      </c>
      <c r="P1" s="231" t="s">
        <v>20</v>
      </c>
      <c r="Q1" s="231" t="s">
        <v>21</v>
      </c>
      <c r="R1" s="231" t="s">
        <v>22</v>
      </c>
      <c r="S1" s="231" t="s">
        <v>23</v>
      </c>
      <c r="T1" s="231" t="s">
        <v>24</v>
      </c>
      <c r="U1" s="231" t="s">
        <v>25</v>
      </c>
      <c r="V1" s="231" t="s">
        <v>26</v>
      </c>
      <c r="W1" s="231" t="s">
        <v>27</v>
      </c>
      <c r="X1" s="231" t="s">
        <v>28</v>
      </c>
      <c r="Y1" s="231" t="s">
        <v>29</v>
      </c>
      <c r="Z1" s="232" t="s">
        <v>30</v>
      </c>
      <c r="AA1" s="359" t="s">
        <v>32</v>
      </c>
      <c r="AB1" s="175" t="s">
        <v>33</v>
      </c>
      <c r="AC1" s="175" t="s">
        <v>34</v>
      </c>
      <c r="AD1" s="225" t="s">
        <v>35</v>
      </c>
      <c r="AE1" s="166" t="s">
        <v>36</v>
      </c>
      <c r="AF1" s="176" t="s">
        <v>37</v>
      </c>
      <c r="AG1" s="176" t="s">
        <v>38</v>
      </c>
      <c r="AH1" s="166" t="s">
        <v>39</v>
      </c>
      <c r="AI1" s="170" t="s">
        <v>40</v>
      </c>
      <c r="AJ1" s="171" t="s">
        <v>41</v>
      </c>
      <c r="AK1" s="166" t="s">
        <v>42</v>
      </c>
      <c r="AL1" s="166" t="s">
        <v>43</v>
      </c>
      <c r="AM1" s="166" t="s">
        <v>44</v>
      </c>
      <c r="AN1" s="166" t="s">
        <v>45</v>
      </c>
      <c r="AO1" s="166" t="s">
        <v>46</v>
      </c>
      <c r="AP1" s="367" t="s">
        <v>47</v>
      </c>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row>
    <row r="2" spans="1:157" ht="100.5" customHeight="1">
      <c r="A2" s="352">
        <v>144</v>
      </c>
      <c r="B2" s="353">
        <v>46153.673692129603</v>
      </c>
      <c r="C2" s="353">
        <v>46153.701365740701</v>
      </c>
      <c r="D2" s="354" t="s">
        <v>48</v>
      </c>
      <c r="E2" s="355" t="s">
        <v>49</v>
      </c>
      <c r="F2" s="355" t="s">
        <v>50</v>
      </c>
      <c r="G2" s="352" t="s">
        <v>51</v>
      </c>
      <c r="H2" s="355" t="s">
        <v>52</v>
      </c>
      <c r="I2" s="355" t="s">
        <v>53</v>
      </c>
      <c r="J2" s="237" t="s">
        <v>54</v>
      </c>
      <c r="K2" s="355" t="s">
        <v>55</v>
      </c>
      <c r="L2" s="348" t="s">
        <v>56</v>
      </c>
      <c r="M2" s="353">
        <v>46185</v>
      </c>
      <c r="N2" s="355" t="s">
        <v>57</v>
      </c>
      <c r="O2" s="355">
        <v>0</v>
      </c>
      <c r="Q2" s="236" t="s">
        <v>58</v>
      </c>
      <c r="R2" s="236" t="s">
        <v>59</v>
      </c>
      <c r="S2" s="236" t="s">
        <v>60</v>
      </c>
      <c r="T2" s="235" t="s">
        <v>61</v>
      </c>
      <c r="U2" s="236" t="s">
        <v>62</v>
      </c>
      <c r="V2" s="236" t="s">
        <v>63</v>
      </c>
      <c r="W2" s="233" t="s">
        <v>64</v>
      </c>
      <c r="X2" s="234" t="s">
        <v>65</v>
      </c>
      <c r="Y2" s="233" t="s">
        <v>66</v>
      </c>
      <c r="Z2" s="355" t="s">
        <v>67</v>
      </c>
      <c r="AA2" s="59">
        <v>1.05</v>
      </c>
      <c r="AB2" s="59" t="s">
        <v>68</v>
      </c>
      <c r="AC2" s="8" t="s">
        <v>69</v>
      </c>
      <c r="AD2" s="224">
        <v>46156</v>
      </c>
      <c r="AF2" s="224"/>
      <c r="AG2" s="224"/>
      <c r="AO2" s="8" t="s">
        <v>70</v>
      </c>
      <c r="AP2" s="59" t="s">
        <v>71</v>
      </c>
    </row>
    <row r="3" spans="1:157" ht="49.5" customHeight="1">
      <c r="A3" s="366">
        <v>49</v>
      </c>
      <c r="B3" s="224">
        <v>46069.613194444442</v>
      </c>
      <c r="C3" s="224">
        <v>46069.666666666657</v>
      </c>
      <c r="D3" s="8" t="s">
        <v>72</v>
      </c>
      <c r="E3" s="8" t="s">
        <v>73</v>
      </c>
      <c r="F3" s="8" t="s">
        <v>74</v>
      </c>
      <c r="G3" s="8" t="s">
        <v>75</v>
      </c>
      <c r="H3" s="8" t="s">
        <v>76</v>
      </c>
      <c r="I3" s="8" t="s">
        <v>77</v>
      </c>
      <c r="J3" s="8" t="s">
        <v>78</v>
      </c>
      <c r="K3" s="8">
        <v>0</v>
      </c>
      <c r="L3" s="8" t="s">
        <v>79</v>
      </c>
      <c r="M3" s="224">
        <v>46295</v>
      </c>
      <c r="N3" s="8" t="s">
        <v>57</v>
      </c>
      <c r="O3" s="224" t="s">
        <v>80</v>
      </c>
      <c r="Q3" s="8" t="s">
        <v>58</v>
      </c>
      <c r="R3" s="8" t="s">
        <v>81</v>
      </c>
      <c r="S3" s="8" t="s">
        <v>82</v>
      </c>
      <c r="T3" s="8" t="s">
        <v>83</v>
      </c>
      <c r="U3" s="8" t="s">
        <v>84</v>
      </c>
      <c r="V3" s="8" t="s">
        <v>85</v>
      </c>
      <c r="W3" s="8" t="s">
        <v>64</v>
      </c>
      <c r="X3" s="8" t="s">
        <v>86</v>
      </c>
      <c r="Y3" s="8" t="s">
        <v>87</v>
      </c>
      <c r="Z3" s="8" t="s">
        <v>88</v>
      </c>
      <c r="AA3" s="8">
        <v>0.9</v>
      </c>
      <c r="AB3" s="59" t="s">
        <v>89</v>
      </c>
      <c r="AC3" s="8" t="s">
        <v>69</v>
      </c>
      <c r="AD3" s="224">
        <v>46156</v>
      </c>
      <c r="AO3" s="8" t="s">
        <v>70</v>
      </c>
      <c r="AP3" s="59" t="s">
        <v>90</v>
      </c>
    </row>
    <row r="4" spans="1:157" ht="71.25" customHeight="1">
      <c r="A4" s="383">
        <v>184</v>
      </c>
      <c r="B4" s="224">
        <v>46169.528136574103</v>
      </c>
      <c r="C4" s="224">
        <v>46169.529490740701</v>
      </c>
      <c r="D4" s="8" t="s">
        <v>91</v>
      </c>
      <c r="E4" s="8" t="s">
        <v>92</v>
      </c>
      <c r="F4" s="8" t="s">
        <v>93</v>
      </c>
      <c r="G4" s="8" t="s">
        <v>94</v>
      </c>
      <c r="H4" s="8" t="s">
        <v>95</v>
      </c>
      <c r="I4" s="8" t="s">
        <v>96</v>
      </c>
      <c r="J4" s="8" t="s">
        <v>97</v>
      </c>
      <c r="K4" s="8" t="s">
        <v>98</v>
      </c>
      <c r="L4" s="8" t="s">
        <v>79</v>
      </c>
      <c r="M4" s="224">
        <v>46356</v>
      </c>
      <c r="N4" s="8" t="s">
        <v>57</v>
      </c>
      <c r="O4" s="224">
        <v>0</v>
      </c>
      <c r="P4" s="8">
        <v>0</v>
      </c>
      <c r="Q4" s="8" t="s">
        <v>99</v>
      </c>
      <c r="R4" s="8" t="s">
        <v>100</v>
      </c>
      <c r="S4" s="8" t="s">
        <v>101</v>
      </c>
      <c r="T4" s="8" t="s">
        <v>102</v>
      </c>
      <c r="U4" s="8" t="s">
        <v>84</v>
      </c>
      <c r="V4" s="8" t="s">
        <v>63</v>
      </c>
      <c r="W4" s="8" t="s">
        <v>57</v>
      </c>
      <c r="X4" s="8" t="s">
        <v>103</v>
      </c>
      <c r="Y4" s="8" t="s">
        <v>104</v>
      </c>
      <c r="Z4" s="8" t="s">
        <v>105</v>
      </c>
      <c r="AA4" s="8">
        <v>1.8</v>
      </c>
      <c r="AB4" s="59" t="s">
        <v>106</v>
      </c>
      <c r="AC4" s="8" t="s">
        <v>69</v>
      </c>
      <c r="AD4" s="224">
        <v>46169</v>
      </c>
      <c r="AE4" s="8" t="s">
        <v>2</v>
      </c>
      <c r="AF4" s="224">
        <v>46174</v>
      </c>
      <c r="AG4" s="224">
        <v>46192</v>
      </c>
      <c r="AO4" s="8" t="s">
        <v>70</v>
      </c>
      <c r="AP4" s="59" t="s">
        <v>107</v>
      </c>
    </row>
    <row r="5" spans="1:157" ht="55.5" customHeight="1">
      <c r="A5" s="8">
        <v>189</v>
      </c>
      <c r="B5" s="224">
        <v>46169.635381944398</v>
      </c>
      <c r="C5" s="224">
        <v>46169.641215277799</v>
      </c>
      <c r="D5" s="8" t="s">
        <v>108</v>
      </c>
      <c r="E5" s="8" t="s">
        <v>109</v>
      </c>
      <c r="F5" s="8" t="s">
        <v>110</v>
      </c>
      <c r="G5" s="8" t="s">
        <v>111</v>
      </c>
      <c r="H5" s="8" t="s">
        <v>112</v>
      </c>
      <c r="I5" s="8" t="s">
        <v>113</v>
      </c>
      <c r="J5" s="8" t="s">
        <v>114</v>
      </c>
      <c r="K5" s="8" t="s">
        <v>115</v>
      </c>
      <c r="L5" s="8" t="s">
        <v>79</v>
      </c>
      <c r="M5" s="224">
        <v>46235</v>
      </c>
      <c r="N5" s="8" t="s">
        <v>57</v>
      </c>
      <c r="O5" s="224">
        <v>0</v>
      </c>
      <c r="P5" s="8">
        <v>0</v>
      </c>
      <c r="Q5" s="8" t="s">
        <v>58</v>
      </c>
      <c r="R5" s="8" t="s">
        <v>116</v>
      </c>
      <c r="S5" s="8" t="s">
        <v>117</v>
      </c>
      <c r="T5" s="8" t="s">
        <v>117</v>
      </c>
      <c r="U5" s="8" t="s">
        <v>62</v>
      </c>
      <c r="V5" s="8" t="s">
        <v>63</v>
      </c>
      <c r="W5" s="8" t="s">
        <v>118</v>
      </c>
      <c r="X5" s="8" t="s">
        <v>86</v>
      </c>
      <c r="Y5" s="8" t="s">
        <v>119</v>
      </c>
      <c r="Z5" s="8" t="s">
        <v>120</v>
      </c>
      <c r="AA5" s="8">
        <v>1.2</v>
      </c>
      <c r="AB5" s="59" t="s">
        <v>106</v>
      </c>
      <c r="AC5" s="8" t="s">
        <v>69</v>
      </c>
      <c r="AD5" s="224">
        <v>46174</v>
      </c>
      <c r="AG5" s="224">
        <v>46181</v>
      </c>
      <c r="AO5" s="8" t="s">
        <v>70</v>
      </c>
      <c r="AP5" s="8" t="s">
        <v>121</v>
      </c>
    </row>
    <row r="6" spans="1:157" ht="70.5" customHeight="1">
      <c r="A6" s="8">
        <v>190</v>
      </c>
      <c r="B6" s="224">
        <v>46169.652569444399</v>
      </c>
      <c r="C6" s="224">
        <v>46169.658240740697</v>
      </c>
      <c r="D6" s="8" t="s">
        <v>122</v>
      </c>
      <c r="E6" s="8" t="s">
        <v>123</v>
      </c>
      <c r="F6" s="8" t="s">
        <v>124</v>
      </c>
      <c r="G6" s="8" t="s">
        <v>111</v>
      </c>
      <c r="H6" s="8" t="s">
        <v>112</v>
      </c>
      <c r="I6" s="8" t="s">
        <v>125</v>
      </c>
      <c r="J6" s="8" t="s">
        <v>126</v>
      </c>
      <c r="K6" s="8" t="s">
        <v>127</v>
      </c>
      <c r="L6" s="8" t="s">
        <v>79</v>
      </c>
      <c r="M6" s="224">
        <v>46234</v>
      </c>
      <c r="N6" s="8" t="s">
        <v>57</v>
      </c>
      <c r="O6" s="224">
        <v>0</v>
      </c>
      <c r="P6" s="8">
        <v>0</v>
      </c>
      <c r="Q6" s="8" t="s">
        <v>58</v>
      </c>
      <c r="R6" s="8" t="s">
        <v>128</v>
      </c>
      <c r="S6" s="8" t="s">
        <v>117</v>
      </c>
      <c r="T6" s="8" t="s">
        <v>129</v>
      </c>
      <c r="U6" s="8" t="s">
        <v>62</v>
      </c>
      <c r="V6" s="8" t="s">
        <v>63</v>
      </c>
      <c r="W6" s="8" t="s">
        <v>118</v>
      </c>
      <c r="X6" s="8" t="s">
        <v>86</v>
      </c>
      <c r="Y6" s="8" t="s">
        <v>119</v>
      </c>
      <c r="Z6" s="8" t="s">
        <v>130</v>
      </c>
      <c r="AA6" s="8">
        <v>1.2</v>
      </c>
      <c r="AB6" s="59" t="s">
        <v>131</v>
      </c>
      <c r="AC6" s="8" t="s">
        <v>69</v>
      </c>
      <c r="AD6" s="224">
        <v>46169</v>
      </c>
      <c r="AG6" s="224">
        <v>46176</v>
      </c>
      <c r="AO6" s="8" t="s">
        <v>70</v>
      </c>
      <c r="AP6" s="8" t="s">
        <v>132</v>
      </c>
    </row>
    <row r="7" spans="1:157" ht="57.75" customHeight="1">
      <c r="A7" s="8">
        <v>191</v>
      </c>
      <c r="B7" s="224">
        <v>46169.658587963</v>
      </c>
      <c r="C7" s="224">
        <v>46169.661851851903</v>
      </c>
      <c r="D7" s="8" t="s">
        <v>122</v>
      </c>
      <c r="E7" s="8" t="s">
        <v>123</v>
      </c>
      <c r="F7" s="8" t="s">
        <v>133</v>
      </c>
      <c r="G7" s="8" t="s">
        <v>134</v>
      </c>
      <c r="H7" s="8" t="s">
        <v>112</v>
      </c>
      <c r="I7" s="8" t="s">
        <v>125</v>
      </c>
      <c r="J7" s="8" t="s">
        <v>126</v>
      </c>
      <c r="K7" s="8" t="s">
        <v>135</v>
      </c>
      <c r="L7" s="8" t="s">
        <v>79</v>
      </c>
      <c r="M7" s="224">
        <v>46234</v>
      </c>
      <c r="N7" s="8" t="s">
        <v>57</v>
      </c>
      <c r="O7" s="224">
        <v>0</v>
      </c>
      <c r="P7" s="8">
        <v>0</v>
      </c>
      <c r="Q7" s="8" t="s">
        <v>58</v>
      </c>
      <c r="R7" s="8" t="s">
        <v>128</v>
      </c>
      <c r="S7" s="8" t="s">
        <v>117</v>
      </c>
      <c r="T7" s="8" t="s">
        <v>136</v>
      </c>
      <c r="U7" s="8" t="s">
        <v>62</v>
      </c>
      <c r="V7" s="8" t="s">
        <v>63</v>
      </c>
      <c r="W7" s="8" t="s">
        <v>118</v>
      </c>
      <c r="X7" s="8" t="s">
        <v>86</v>
      </c>
      <c r="Y7" s="8" t="s">
        <v>137</v>
      </c>
      <c r="Z7" s="8" t="s">
        <v>138</v>
      </c>
      <c r="AA7" s="8">
        <v>1.2</v>
      </c>
      <c r="AB7" s="59" t="s">
        <v>131</v>
      </c>
      <c r="AC7" s="8" t="s">
        <v>69</v>
      </c>
      <c r="AD7" s="224">
        <v>46169</v>
      </c>
      <c r="AG7" s="224">
        <v>46176</v>
      </c>
      <c r="AO7" s="8" t="s">
        <v>70</v>
      </c>
      <c r="AP7" s="8" t="s">
        <v>132</v>
      </c>
    </row>
    <row r="8" spans="1:157" ht="30" customHeight="1">
      <c r="A8" s="8">
        <v>192</v>
      </c>
      <c r="B8" s="224">
        <v>46169.662511574097</v>
      </c>
      <c r="C8" s="224">
        <v>46169.665196759299</v>
      </c>
      <c r="D8" s="8" t="s">
        <v>122</v>
      </c>
      <c r="E8" s="8" t="s">
        <v>123</v>
      </c>
      <c r="F8" s="8" t="s">
        <v>139</v>
      </c>
      <c r="G8" s="8" t="s">
        <v>134</v>
      </c>
      <c r="H8" s="8" t="s">
        <v>112</v>
      </c>
      <c r="I8" s="8" t="s">
        <v>125</v>
      </c>
      <c r="J8" s="8" t="s">
        <v>126</v>
      </c>
      <c r="K8" s="8" t="s">
        <v>140</v>
      </c>
      <c r="L8" s="8" t="s">
        <v>79</v>
      </c>
      <c r="M8" s="224">
        <v>46234</v>
      </c>
      <c r="N8" s="8" t="s">
        <v>57</v>
      </c>
      <c r="O8" s="224">
        <v>0</v>
      </c>
      <c r="P8" s="8">
        <v>0</v>
      </c>
      <c r="Q8" s="8" t="s">
        <v>58</v>
      </c>
      <c r="R8" s="8" t="s">
        <v>128</v>
      </c>
      <c r="S8" s="8" t="s">
        <v>117</v>
      </c>
      <c r="T8" s="8" t="s">
        <v>141</v>
      </c>
      <c r="U8" s="8" t="s">
        <v>62</v>
      </c>
      <c r="V8" s="8" t="s">
        <v>63</v>
      </c>
      <c r="W8" s="8" t="s">
        <v>118</v>
      </c>
      <c r="X8" s="8" t="s">
        <v>86</v>
      </c>
      <c r="Y8" s="8" t="s">
        <v>137</v>
      </c>
      <c r="Z8" s="8" t="s">
        <v>142</v>
      </c>
      <c r="AA8" s="8">
        <v>1.2</v>
      </c>
      <c r="AB8" s="59" t="s">
        <v>131</v>
      </c>
      <c r="AC8" s="8" t="s">
        <v>69</v>
      </c>
      <c r="AD8" s="224">
        <v>46169</v>
      </c>
      <c r="AG8" s="224">
        <v>46176</v>
      </c>
      <c r="AO8" s="8" t="s">
        <v>70</v>
      </c>
      <c r="AP8" s="8" t="s">
        <v>132</v>
      </c>
    </row>
    <row r="9" spans="1:157" ht="39" customHeight="1">
      <c r="A9" s="8">
        <v>193</v>
      </c>
      <c r="B9" s="224">
        <v>46169.665486111102</v>
      </c>
      <c r="C9" s="224">
        <v>46169.667557870402</v>
      </c>
      <c r="D9" s="8" t="s">
        <v>122</v>
      </c>
      <c r="E9" s="8" t="s">
        <v>123</v>
      </c>
      <c r="F9" s="8" t="s">
        <v>143</v>
      </c>
      <c r="G9" s="8" t="s">
        <v>134</v>
      </c>
      <c r="H9" s="8" t="s">
        <v>112</v>
      </c>
      <c r="I9" s="8" t="s">
        <v>125</v>
      </c>
      <c r="J9" s="8" t="s">
        <v>126</v>
      </c>
      <c r="K9" s="8" t="s">
        <v>144</v>
      </c>
      <c r="L9" s="8" t="s">
        <v>79</v>
      </c>
      <c r="M9" s="224">
        <v>46234</v>
      </c>
      <c r="N9" s="8" t="s">
        <v>57</v>
      </c>
      <c r="O9" s="224">
        <v>0</v>
      </c>
      <c r="P9" s="8">
        <v>0</v>
      </c>
      <c r="Q9" s="8" t="s">
        <v>58</v>
      </c>
      <c r="R9" s="8" t="s">
        <v>128</v>
      </c>
      <c r="S9" s="8" t="s">
        <v>117</v>
      </c>
      <c r="T9" s="8" t="s">
        <v>145</v>
      </c>
      <c r="U9" s="8" t="s">
        <v>62</v>
      </c>
      <c r="V9" s="8" t="s">
        <v>63</v>
      </c>
      <c r="W9" s="8" t="s">
        <v>118</v>
      </c>
      <c r="X9" s="8" t="s">
        <v>86</v>
      </c>
      <c r="Y9" s="8" t="s">
        <v>137</v>
      </c>
      <c r="Z9" s="8" t="s">
        <v>146</v>
      </c>
      <c r="AA9" s="8">
        <v>1.2</v>
      </c>
      <c r="AB9" s="59" t="s">
        <v>131</v>
      </c>
      <c r="AC9" s="8" t="s">
        <v>69</v>
      </c>
      <c r="AD9" s="224">
        <v>46169</v>
      </c>
      <c r="AG9" s="224">
        <v>46176</v>
      </c>
      <c r="AO9" s="8" t="s">
        <v>70</v>
      </c>
      <c r="AP9" s="8" t="s">
        <v>132</v>
      </c>
    </row>
    <row r="10" spans="1:157" ht="41.25" customHeight="1">
      <c r="A10" s="8">
        <v>195</v>
      </c>
      <c r="B10" s="224">
        <v>46169.671412037002</v>
      </c>
      <c r="C10" s="224">
        <v>46169.673622685201</v>
      </c>
      <c r="D10" s="8" t="s">
        <v>122</v>
      </c>
      <c r="E10" s="8" t="s">
        <v>123</v>
      </c>
      <c r="F10" s="8" t="s">
        <v>147</v>
      </c>
      <c r="G10" s="8" t="s">
        <v>134</v>
      </c>
      <c r="H10" s="8" t="s">
        <v>112</v>
      </c>
      <c r="I10" s="8" t="s">
        <v>125</v>
      </c>
      <c r="J10" s="8" t="s">
        <v>126</v>
      </c>
      <c r="K10" s="8" t="s">
        <v>148</v>
      </c>
      <c r="L10" s="8" t="s">
        <v>79</v>
      </c>
      <c r="M10" s="224">
        <v>46234</v>
      </c>
      <c r="N10" s="8" t="s">
        <v>57</v>
      </c>
      <c r="O10" s="224">
        <v>0</v>
      </c>
      <c r="P10" s="8">
        <v>0</v>
      </c>
      <c r="Q10" s="8" t="s">
        <v>58</v>
      </c>
      <c r="R10" s="8" t="s">
        <v>128</v>
      </c>
      <c r="S10" s="8" t="s">
        <v>117</v>
      </c>
      <c r="T10" s="8" t="s">
        <v>149</v>
      </c>
      <c r="U10" s="8" t="s">
        <v>62</v>
      </c>
      <c r="V10" s="8" t="s">
        <v>63</v>
      </c>
      <c r="W10" s="8" t="s">
        <v>118</v>
      </c>
      <c r="X10" s="8" t="s">
        <v>86</v>
      </c>
      <c r="Y10" s="8" t="s">
        <v>137</v>
      </c>
      <c r="Z10" s="8" t="s">
        <v>150</v>
      </c>
      <c r="AA10" s="8">
        <v>1.2</v>
      </c>
      <c r="AB10" s="59" t="s">
        <v>131</v>
      </c>
      <c r="AC10" s="8" t="s">
        <v>69</v>
      </c>
      <c r="AD10" s="224">
        <v>46169</v>
      </c>
      <c r="AG10" s="224">
        <v>46176</v>
      </c>
      <c r="AO10" s="8" t="s">
        <v>70</v>
      </c>
      <c r="AP10" s="8" t="s">
        <v>132</v>
      </c>
    </row>
    <row r="11" spans="1:157" ht="145.5" customHeight="1">
      <c r="A11" s="8">
        <v>200</v>
      </c>
      <c r="B11" s="224">
        <v>46169.686944444402</v>
      </c>
      <c r="C11" s="224">
        <v>46169.690324074101</v>
      </c>
      <c r="D11" s="8" t="s">
        <v>122</v>
      </c>
      <c r="E11" s="8" t="s">
        <v>123</v>
      </c>
      <c r="F11" s="8" t="s">
        <v>151</v>
      </c>
      <c r="G11" s="8" t="s">
        <v>134</v>
      </c>
      <c r="H11" s="8" t="s">
        <v>112</v>
      </c>
      <c r="I11" s="8" t="s">
        <v>113</v>
      </c>
      <c r="J11" s="8" t="s">
        <v>152</v>
      </c>
      <c r="K11" s="8" t="s">
        <v>153</v>
      </c>
      <c r="L11" s="8" t="s">
        <v>79</v>
      </c>
      <c r="M11" s="224">
        <v>46387</v>
      </c>
      <c r="N11" s="8" t="s">
        <v>57</v>
      </c>
      <c r="O11" s="224">
        <v>0</v>
      </c>
      <c r="P11" s="8">
        <v>0</v>
      </c>
      <c r="Q11" s="8" t="s">
        <v>58</v>
      </c>
      <c r="R11" s="8" t="s">
        <v>128</v>
      </c>
      <c r="S11" s="8" t="s">
        <v>117</v>
      </c>
      <c r="T11" s="8" t="s">
        <v>154</v>
      </c>
      <c r="U11" s="8" t="s">
        <v>62</v>
      </c>
      <c r="V11" s="8" t="s">
        <v>63</v>
      </c>
      <c r="W11" s="8" t="s">
        <v>118</v>
      </c>
      <c r="X11" s="8" t="s">
        <v>86</v>
      </c>
      <c r="Y11" s="8" t="s">
        <v>137</v>
      </c>
      <c r="Z11" s="8" t="s">
        <v>155</v>
      </c>
      <c r="AA11" s="8">
        <v>1.2</v>
      </c>
      <c r="AB11" s="59" t="s">
        <v>156</v>
      </c>
      <c r="AC11" s="8" t="s">
        <v>69</v>
      </c>
      <c r="AD11" s="224">
        <v>46169</v>
      </c>
      <c r="AE11" s="8" t="s">
        <v>3</v>
      </c>
      <c r="AF11" s="224">
        <v>46174</v>
      </c>
      <c r="AG11" s="224">
        <v>46191</v>
      </c>
      <c r="AO11" s="8" t="s">
        <v>70</v>
      </c>
      <c r="AP11" s="8" t="s">
        <v>157</v>
      </c>
    </row>
    <row r="12" spans="1:157" ht="42.75" customHeight="1">
      <c r="A12" s="8">
        <v>217</v>
      </c>
      <c r="B12" s="224">
        <v>46170.000833333303</v>
      </c>
      <c r="C12" s="224">
        <v>46170.001875000002</v>
      </c>
      <c r="D12" s="8" t="s">
        <v>48</v>
      </c>
      <c r="E12" s="8" t="s">
        <v>49</v>
      </c>
      <c r="F12" s="8" t="s">
        <v>158</v>
      </c>
      <c r="G12" s="8" t="s">
        <v>111</v>
      </c>
      <c r="H12" s="8" t="s">
        <v>112</v>
      </c>
      <c r="I12" s="8" t="s">
        <v>113</v>
      </c>
      <c r="J12" s="8" t="s">
        <v>159</v>
      </c>
      <c r="K12" s="8" t="s">
        <v>160</v>
      </c>
      <c r="L12" s="8" t="s">
        <v>79</v>
      </c>
      <c r="M12" s="224">
        <v>46207</v>
      </c>
      <c r="N12" s="8" t="s">
        <v>57</v>
      </c>
      <c r="O12" s="224">
        <v>0</v>
      </c>
      <c r="P12" s="8">
        <v>0</v>
      </c>
      <c r="Q12" s="8" t="s">
        <v>58</v>
      </c>
      <c r="R12" s="8" t="s">
        <v>116</v>
      </c>
      <c r="S12" s="8" t="s">
        <v>117</v>
      </c>
      <c r="T12" s="8" t="s">
        <v>161</v>
      </c>
      <c r="U12" s="8" t="s">
        <v>162</v>
      </c>
      <c r="V12" s="8" t="s">
        <v>63</v>
      </c>
      <c r="W12" s="8" t="s">
        <v>118</v>
      </c>
      <c r="X12" s="8" t="s">
        <v>86</v>
      </c>
      <c r="Y12" s="8" t="s">
        <v>163</v>
      </c>
      <c r="Z12" s="8" t="s">
        <v>164</v>
      </c>
      <c r="AA12" s="8">
        <v>0.6</v>
      </c>
      <c r="AB12" s="59" t="s">
        <v>165</v>
      </c>
      <c r="AC12" s="8" t="s">
        <v>69</v>
      </c>
      <c r="AD12" s="224">
        <v>46170</v>
      </c>
      <c r="AG12" s="224">
        <v>46177</v>
      </c>
      <c r="AO12" s="8" t="s">
        <v>70</v>
      </c>
      <c r="AP12" s="8" t="s">
        <v>166</v>
      </c>
    </row>
    <row r="13" spans="1:157" ht="35.25" customHeight="1">
      <c r="A13" s="8">
        <v>219</v>
      </c>
      <c r="B13" s="224">
        <v>46170.004328703697</v>
      </c>
      <c r="C13" s="224">
        <v>46170.005775463003</v>
      </c>
      <c r="D13" s="8" t="s">
        <v>48</v>
      </c>
      <c r="E13" s="8" t="s">
        <v>49</v>
      </c>
      <c r="F13" s="8" t="s">
        <v>167</v>
      </c>
      <c r="G13" s="8" t="s">
        <v>111</v>
      </c>
      <c r="H13" s="8" t="s">
        <v>112</v>
      </c>
      <c r="I13" s="8" t="s">
        <v>113</v>
      </c>
      <c r="J13" s="8" t="s">
        <v>159</v>
      </c>
      <c r="K13" s="8" t="s">
        <v>168</v>
      </c>
      <c r="L13" s="8" t="s">
        <v>79</v>
      </c>
      <c r="M13" s="224">
        <v>46209</v>
      </c>
      <c r="N13" s="8" t="s">
        <v>57</v>
      </c>
      <c r="O13" s="224">
        <v>0</v>
      </c>
      <c r="P13" s="8">
        <v>0</v>
      </c>
      <c r="Q13" s="8" t="s">
        <v>58</v>
      </c>
      <c r="R13" s="8" t="s">
        <v>116</v>
      </c>
      <c r="S13" s="8" t="s">
        <v>117</v>
      </c>
      <c r="T13" s="8" t="s">
        <v>117</v>
      </c>
      <c r="U13" s="8" t="s">
        <v>62</v>
      </c>
      <c r="V13" s="8" t="s">
        <v>63</v>
      </c>
      <c r="W13" s="8" t="s">
        <v>118</v>
      </c>
      <c r="X13" s="8" t="s">
        <v>86</v>
      </c>
      <c r="Y13" s="8" t="s">
        <v>163</v>
      </c>
      <c r="Z13" s="8" t="s">
        <v>169</v>
      </c>
      <c r="AA13" s="8">
        <v>1.2</v>
      </c>
      <c r="AB13" s="59" t="s">
        <v>165</v>
      </c>
      <c r="AC13" s="8" t="s">
        <v>69</v>
      </c>
      <c r="AD13" s="224">
        <v>46170</v>
      </c>
      <c r="AG13" s="224">
        <v>46177</v>
      </c>
      <c r="AO13" s="8" t="s">
        <v>70</v>
      </c>
      <c r="AP13" s="8" t="s">
        <v>170</v>
      </c>
    </row>
  </sheetData>
  <sheetProtection algorithmName="SHA-512" hashValue="G/rmYCy8SiDPo1RU9tPh2YLAEEoj7VGzXwOXFXAl13pnVxcAfwq3R4pHoul97BLvbtSFJIsmSqcF20QLZyGTDA==" saltValue="YqE0uZvbI/u9TC86NW7MbQ==" spinCount="100000" sheet="1" objects="1" scenarios="1"/>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pageMargins left="0.7" right="0.7" top="0.75" bottom="0.75" header="0.3" footer="0.3"/>
  <headerFooter>
    <oddFooter>&amp;C_x000D_&amp;1#&amp;"Aptos"&amp;7&amp;K000000 Uso Público de Laureate Perú — Se compartir externamente, información no sensible.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filterMode="1">
    <tabColor theme="5" tint="-0.249977111117893"/>
  </sheetPr>
  <dimension ref="A1:AP50"/>
  <sheetViews>
    <sheetView zoomScale="80" zoomScaleNormal="80" workbookViewId="0">
      <pane xSplit="6" ySplit="1" topLeftCell="G21" activePane="bottomRight" state="frozen"/>
      <selection pane="bottomRight" activeCell="G50" sqref="G50"/>
      <selection pane="bottomLeft"/>
      <selection pane="topRight"/>
    </sheetView>
  </sheetViews>
  <sheetFormatPr defaultColWidth="115.42578125" defaultRowHeight="15" customHeight="1"/>
  <cols>
    <col min="1" max="1" width="6.42578125" style="162" customWidth="1"/>
    <col min="2" max="2" width="11.140625" style="163" customWidth="1"/>
    <col min="3" max="3" width="19.42578125" style="163" customWidth="1"/>
    <col min="4" max="4" width="9.7109375" style="162" hidden="1" customWidth="1"/>
    <col min="5" max="5" width="9.42578125" style="162" hidden="1" customWidth="1"/>
    <col min="6" max="6" width="54.7109375" style="162" customWidth="1"/>
    <col min="7" max="7" width="94.42578125" style="162" customWidth="1"/>
    <col min="8" max="8" width="29.140625" style="162" customWidth="1"/>
    <col min="9" max="9" width="32.85546875" style="162" customWidth="1"/>
    <col min="10" max="11" width="42" style="162" customWidth="1"/>
    <col min="12" max="12" width="19" style="162" customWidth="1"/>
    <col min="13" max="13" width="19" style="163" customWidth="1"/>
    <col min="14" max="14" width="22.140625" style="162" customWidth="1"/>
    <col min="15" max="17" width="15.42578125" style="162" customWidth="1"/>
    <col min="18" max="18" width="61.42578125" style="162" customWidth="1"/>
    <col min="19" max="19" width="59.7109375" style="344" customWidth="1"/>
    <col min="20" max="20" width="54.140625" style="162" customWidth="1"/>
    <col min="21" max="21" width="29" style="162" customWidth="1"/>
    <col min="22" max="22" width="25.140625" style="162" customWidth="1"/>
    <col min="23" max="23" width="16.85546875" style="162" customWidth="1"/>
    <col min="24" max="24" width="42.42578125" style="162" customWidth="1"/>
    <col min="25" max="25" width="71.28515625" style="162" customWidth="1"/>
    <col min="26" max="26" width="35.42578125" style="169" customWidth="1"/>
    <col min="27" max="27" width="13.42578125" style="370" customWidth="1"/>
    <col min="28" max="28" width="26.85546875" style="381" customWidth="1"/>
    <col min="29" max="29" width="14.140625" style="162" customWidth="1"/>
    <col min="30" max="30" width="20.85546875" style="162" customWidth="1"/>
    <col min="31" max="31" width="18.42578125" style="169" customWidth="1"/>
    <col min="32" max="32" width="17.42578125" style="165" customWidth="1"/>
    <col min="33" max="33" width="19.140625" style="163" customWidth="1"/>
    <col min="34" max="34" width="16.42578125" style="169" customWidth="1"/>
    <col min="35" max="35" width="20.7109375" style="172" customWidth="1"/>
    <col min="36" max="36" width="28.42578125" style="173" customWidth="1"/>
    <col min="37" max="37" width="45.42578125" style="174" customWidth="1"/>
    <col min="38" max="38" width="13.85546875" style="169" customWidth="1"/>
    <col min="39" max="39" width="23.85546875" style="174" customWidth="1"/>
    <col min="40" max="40" width="17.85546875" style="174" customWidth="1"/>
    <col min="41" max="41" width="17.42578125" style="169" customWidth="1"/>
    <col min="42" max="42" width="50.42578125" style="169" customWidth="1"/>
    <col min="43" max="45" width="22.85546875" style="10" customWidth="1"/>
    <col min="46" max="16384" width="115.42578125" style="10"/>
  </cols>
  <sheetData>
    <row r="1" spans="1:42" s="59" customFormat="1" ht="43.5">
      <c r="A1" s="159" t="s">
        <v>5</v>
      </c>
      <c r="B1" s="160" t="s">
        <v>6</v>
      </c>
      <c r="C1" s="160" t="s">
        <v>7</v>
      </c>
      <c r="D1" s="159" t="s">
        <v>8</v>
      </c>
      <c r="E1" s="159" t="s">
        <v>9</v>
      </c>
      <c r="F1" s="159" t="s">
        <v>10</v>
      </c>
      <c r="G1" s="159" t="s">
        <v>11</v>
      </c>
      <c r="H1" s="159" t="s">
        <v>12</v>
      </c>
      <c r="I1" s="159" t="s">
        <v>13</v>
      </c>
      <c r="J1" s="159" t="s">
        <v>14</v>
      </c>
      <c r="K1" s="159" t="s">
        <v>171</v>
      </c>
      <c r="L1" s="159" t="s">
        <v>16</v>
      </c>
      <c r="M1" s="159" t="s">
        <v>17</v>
      </c>
      <c r="N1" s="159" t="s">
        <v>18</v>
      </c>
      <c r="O1" s="159" t="s">
        <v>172</v>
      </c>
      <c r="P1" s="159" t="s">
        <v>20</v>
      </c>
      <c r="Q1" s="159" t="s">
        <v>21</v>
      </c>
      <c r="R1" s="159" t="s">
        <v>22</v>
      </c>
      <c r="S1" s="347" t="s">
        <v>23</v>
      </c>
      <c r="T1" s="159" t="s">
        <v>24</v>
      </c>
      <c r="U1" s="159" t="s">
        <v>173</v>
      </c>
      <c r="V1" s="159" t="s">
        <v>26</v>
      </c>
      <c r="W1" s="159" t="s">
        <v>174</v>
      </c>
      <c r="X1" s="242" t="s">
        <v>28</v>
      </c>
      <c r="Y1" s="159" t="s">
        <v>29</v>
      </c>
      <c r="Z1" s="177" t="s">
        <v>175</v>
      </c>
      <c r="AA1" s="369" t="s">
        <v>32</v>
      </c>
      <c r="AB1" s="373" t="s">
        <v>33</v>
      </c>
      <c r="AC1" s="374" t="s">
        <v>34</v>
      </c>
      <c r="AD1" s="375" t="s">
        <v>35</v>
      </c>
      <c r="AE1" s="166" t="s">
        <v>36</v>
      </c>
      <c r="AF1" s="176" t="s">
        <v>37</v>
      </c>
      <c r="AG1" s="209" t="s">
        <v>38</v>
      </c>
      <c r="AH1" s="166" t="s">
        <v>39</v>
      </c>
      <c r="AI1" s="170" t="s">
        <v>176</v>
      </c>
      <c r="AJ1" s="171" t="s">
        <v>177</v>
      </c>
      <c r="AK1" s="166" t="s">
        <v>42</v>
      </c>
      <c r="AL1" s="166" t="s">
        <v>43</v>
      </c>
      <c r="AM1" s="166" t="s">
        <v>44</v>
      </c>
      <c r="AN1" s="166" t="s">
        <v>178</v>
      </c>
      <c r="AO1" s="166" t="s">
        <v>45</v>
      </c>
      <c r="AP1" s="166" t="s">
        <v>46</v>
      </c>
    </row>
    <row r="2" spans="1:42" s="59" customFormat="1" ht="177" hidden="1" customHeight="1">
      <c r="A2" s="244">
        <v>62</v>
      </c>
      <c r="B2" s="253">
        <v>46083.709027777775</v>
      </c>
      <c r="C2" s="253">
        <v>46083.711805555555</v>
      </c>
      <c r="D2" s="254" t="s">
        <v>91</v>
      </c>
      <c r="E2" s="254" t="s">
        <v>92</v>
      </c>
      <c r="F2" s="254" t="s">
        <v>179</v>
      </c>
      <c r="G2" s="254" t="s">
        <v>180</v>
      </c>
      <c r="H2" s="254" t="s">
        <v>95</v>
      </c>
      <c r="I2" s="244" t="s">
        <v>181</v>
      </c>
      <c r="J2" s="244" t="s">
        <v>92</v>
      </c>
      <c r="K2" s="244"/>
      <c r="L2" s="244" t="s">
        <v>182</v>
      </c>
      <c r="M2" s="253">
        <v>46326</v>
      </c>
      <c r="N2" s="244" t="s">
        <v>57</v>
      </c>
      <c r="O2" s="244"/>
      <c r="P2" s="244"/>
      <c r="Q2" s="248" t="s">
        <v>183</v>
      </c>
      <c r="R2" s="254" t="s">
        <v>184</v>
      </c>
      <c r="S2" s="345" t="s">
        <v>185</v>
      </c>
      <c r="T2" s="254" t="s">
        <v>186</v>
      </c>
      <c r="U2" s="249" t="s">
        <v>79</v>
      </c>
      <c r="V2" s="254" t="s">
        <v>187</v>
      </c>
      <c r="W2" s="254" t="s">
        <v>64</v>
      </c>
      <c r="X2" s="241" t="s">
        <v>86</v>
      </c>
      <c r="Y2" s="254" t="s">
        <v>188</v>
      </c>
      <c r="Z2" s="255" t="s">
        <v>189</v>
      </c>
      <c r="AA2" s="368">
        <v>1.35</v>
      </c>
      <c r="AB2" s="376" t="s">
        <v>190</v>
      </c>
      <c r="AC2" s="377" t="s">
        <v>191</v>
      </c>
      <c r="AD2" s="378">
        <v>46106</v>
      </c>
      <c r="AE2" s="167" t="s">
        <v>4</v>
      </c>
      <c r="AF2" s="178"/>
      <c r="AG2" s="372" t="str">
        <f>IF(AD2="","Pendiente fecha de asignación de LD",IF(AF2="","",WORKDAY(AF2,IF(AE2="Alta",20,IF(AE2="Media",10,5)))))</f>
        <v/>
      </c>
      <c r="AH2" s="167"/>
      <c r="AI2" s="183"/>
      <c r="AJ2" s="182"/>
      <c r="AK2" s="168"/>
      <c r="AL2" s="167"/>
      <c r="AM2" s="167"/>
      <c r="AN2" s="167"/>
      <c r="AO2" s="167" t="s">
        <v>192</v>
      </c>
      <c r="AP2" s="167"/>
    </row>
    <row r="3" spans="1:42" s="59" customFormat="1" ht="177" hidden="1" customHeight="1">
      <c r="A3" s="244">
        <v>63</v>
      </c>
      <c r="B3" s="250">
        <v>46083.711805555555</v>
      </c>
      <c r="C3" s="250">
        <v>46083.714583333334</v>
      </c>
      <c r="D3" s="244" t="s">
        <v>91</v>
      </c>
      <c r="E3" s="244" t="s">
        <v>92</v>
      </c>
      <c r="F3" s="244" t="s">
        <v>193</v>
      </c>
      <c r="G3" s="244" t="s">
        <v>194</v>
      </c>
      <c r="H3" s="244" t="s">
        <v>95</v>
      </c>
      <c r="I3" s="244" t="s">
        <v>181</v>
      </c>
      <c r="J3" s="244" t="s">
        <v>92</v>
      </c>
      <c r="K3" s="244"/>
      <c r="L3" s="250" t="s">
        <v>182</v>
      </c>
      <c r="M3" s="250">
        <v>46356</v>
      </c>
      <c r="N3" s="244" t="s">
        <v>57</v>
      </c>
      <c r="O3" s="244"/>
      <c r="P3" s="244"/>
      <c r="Q3" s="249" t="s">
        <v>183</v>
      </c>
      <c r="R3" s="244" t="s">
        <v>195</v>
      </c>
      <c r="S3" s="345" t="s">
        <v>196</v>
      </c>
      <c r="T3" s="244" t="s">
        <v>197</v>
      </c>
      <c r="U3" s="248" t="s">
        <v>79</v>
      </c>
      <c r="V3" s="244" t="s">
        <v>187</v>
      </c>
      <c r="W3" s="244" t="s">
        <v>64</v>
      </c>
      <c r="X3" s="251" t="s">
        <v>86</v>
      </c>
      <c r="Y3" s="244" t="s">
        <v>198</v>
      </c>
      <c r="Z3" s="255" t="s">
        <v>199</v>
      </c>
      <c r="AA3" s="368">
        <v>1.35</v>
      </c>
      <c r="AB3" s="376" t="s">
        <v>190</v>
      </c>
      <c r="AC3" s="377" t="s">
        <v>191</v>
      </c>
      <c r="AD3" s="378">
        <v>46106</v>
      </c>
      <c r="AE3" s="168" t="s">
        <v>3</v>
      </c>
      <c r="AF3" s="262"/>
      <c r="AG3" s="372" t="str">
        <f>IF(AD3="","Pendiente fecha de asignación de LD",IF(AF3="","",WORKDAY(AF3,IF(AE3="Alta",20,IF(AE3="Media",10,5)))))</f>
        <v/>
      </c>
      <c r="AH3" s="168"/>
      <c r="AI3" s="263"/>
      <c r="AJ3" s="264"/>
      <c r="AK3" s="168"/>
      <c r="AL3" s="168"/>
      <c r="AM3" s="168"/>
      <c r="AN3" s="168"/>
      <c r="AO3" s="168" t="s">
        <v>192</v>
      </c>
      <c r="AP3" s="168"/>
    </row>
    <row r="4" spans="1:42" ht="136.5" hidden="1" customHeight="1">
      <c r="A4" s="244">
        <v>95</v>
      </c>
      <c r="B4" s="250">
        <v>46126.512210648099</v>
      </c>
      <c r="C4" s="250">
        <v>46126.525636574101</v>
      </c>
      <c r="D4" s="244" t="s">
        <v>200</v>
      </c>
      <c r="E4" s="244" t="s">
        <v>201</v>
      </c>
      <c r="F4" s="244" t="s">
        <v>202</v>
      </c>
      <c r="G4" s="244" t="s">
        <v>203</v>
      </c>
      <c r="H4" s="244" t="s">
        <v>52</v>
      </c>
      <c r="I4" s="244" t="s">
        <v>204</v>
      </c>
      <c r="J4" s="244" t="s">
        <v>205</v>
      </c>
      <c r="K4" s="244"/>
      <c r="L4" s="250" t="s">
        <v>206</v>
      </c>
      <c r="M4" s="250">
        <v>46233</v>
      </c>
      <c r="N4" s="244" t="s">
        <v>118</v>
      </c>
      <c r="O4" s="244" t="s">
        <v>207</v>
      </c>
      <c r="P4" s="244"/>
      <c r="Q4" s="249" t="s">
        <v>58</v>
      </c>
      <c r="R4" s="244" t="s">
        <v>208</v>
      </c>
      <c r="S4" s="345" t="s">
        <v>209</v>
      </c>
      <c r="T4" s="244" t="s">
        <v>210</v>
      </c>
      <c r="U4" s="249" t="s">
        <v>162</v>
      </c>
      <c r="V4" s="244" t="s">
        <v>211</v>
      </c>
      <c r="W4" s="244" t="s">
        <v>64</v>
      </c>
      <c r="X4" s="238" t="s">
        <v>65</v>
      </c>
      <c r="Y4" s="244" t="s">
        <v>212</v>
      </c>
      <c r="Z4" s="255" t="s">
        <v>213</v>
      </c>
      <c r="AA4" s="368">
        <v>2.15</v>
      </c>
      <c r="AB4" s="376" t="s">
        <v>214</v>
      </c>
      <c r="AC4" s="377" t="s">
        <v>69</v>
      </c>
      <c r="AD4" s="378">
        <v>46128</v>
      </c>
      <c r="AE4" s="167" t="s">
        <v>2</v>
      </c>
      <c r="AF4" s="262">
        <v>46135</v>
      </c>
      <c r="AG4" s="372">
        <v>46181</v>
      </c>
      <c r="AH4" s="168">
        <v>1</v>
      </c>
      <c r="AI4" s="263">
        <v>0</v>
      </c>
      <c r="AJ4" s="264">
        <v>0</v>
      </c>
      <c r="AK4" s="168" t="s">
        <v>215</v>
      </c>
      <c r="AL4" s="168" t="s">
        <v>216</v>
      </c>
      <c r="AM4" s="168" t="s">
        <v>217</v>
      </c>
      <c r="AN4" s="168"/>
      <c r="AO4" s="168" t="s">
        <v>218</v>
      </c>
      <c r="AP4" s="168" t="s">
        <v>219</v>
      </c>
    </row>
    <row r="5" spans="1:42" ht="54" hidden="1" customHeight="1">
      <c r="A5" s="247">
        <v>111</v>
      </c>
      <c r="B5" s="245">
        <v>46134.395162036999</v>
      </c>
      <c r="C5" s="245">
        <v>46134.427453703698</v>
      </c>
      <c r="D5" s="254" t="s">
        <v>220</v>
      </c>
      <c r="E5" s="254" t="s">
        <v>221</v>
      </c>
      <c r="F5" s="244" t="s">
        <v>222</v>
      </c>
      <c r="G5" s="244" t="s">
        <v>223</v>
      </c>
      <c r="H5" s="244" t="s">
        <v>52</v>
      </c>
      <c r="I5" s="244" t="s">
        <v>224</v>
      </c>
      <c r="J5" s="244" t="s">
        <v>225</v>
      </c>
      <c r="K5" s="244"/>
      <c r="L5" s="244" t="s">
        <v>226</v>
      </c>
      <c r="M5" s="250">
        <v>46234</v>
      </c>
      <c r="N5" s="244" t="s">
        <v>57</v>
      </c>
      <c r="O5" s="244">
        <v>0</v>
      </c>
      <c r="P5" s="244"/>
      <c r="Q5" s="248" t="s">
        <v>58</v>
      </c>
      <c r="R5" s="244" t="s">
        <v>227</v>
      </c>
      <c r="S5" s="345" t="s">
        <v>228</v>
      </c>
      <c r="T5" s="244" t="s">
        <v>229</v>
      </c>
      <c r="U5" s="248" t="s">
        <v>162</v>
      </c>
      <c r="V5" s="244" t="s">
        <v>63</v>
      </c>
      <c r="W5" s="244" t="s">
        <v>64</v>
      </c>
      <c r="X5" s="256" t="s">
        <v>230</v>
      </c>
      <c r="Y5" s="244" t="s">
        <v>231</v>
      </c>
      <c r="Z5" s="246" t="s">
        <v>232</v>
      </c>
      <c r="AA5" s="368">
        <v>0.75</v>
      </c>
      <c r="AB5" s="376" t="s">
        <v>68</v>
      </c>
      <c r="AC5" s="377" t="s">
        <v>69</v>
      </c>
      <c r="AD5" s="378">
        <v>46135</v>
      </c>
      <c r="AE5" s="167" t="s">
        <v>3</v>
      </c>
      <c r="AF5" s="178">
        <v>46167</v>
      </c>
      <c r="AG5" s="371">
        <v>46181</v>
      </c>
      <c r="AH5" s="167"/>
      <c r="AI5" s="183"/>
      <c r="AJ5" s="182"/>
      <c r="AK5" s="168"/>
      <c r="AL5" s="167"/>
      <c r="AM5" s="168"/>
      <c r="AN5" s="168"/>
      <c r="AO5" s="167" t="s">
        <v>218</v>
      </c>
      <c r="AP5" s="167"/>
    </row>
    <row r="6" spans="1:42" ht="39" hidden="1" customHeight="1">
      <c r="A6" s="244">
        <v>126</v>
      </c>
      <c r="B6" s="245">
        <v>46141.590185185203</v>
      </c>
      <c r="C6" s="245">
        <v>46141.600729166697</v>
      </c>
      <c r="D6" s="244" t="s">
        <v>233</v>
      </c>
      <c r="E6" s="244" t="s">
        <v>234</v>
      </c>
      <c r="F6" s="244" t="s">
        <v>235</v>
      </c>
      <c r="G6" s="244" t="s">
        <v>236</v>
      </c>
      <c r="H6" s="244" t="s">
        <v>52</v>
      </c>
      <c r="I6" s="244" t="s">
        <v>77</v>
      </c>
      <c r="J6" s="247" t="s">
        <v>237</v>
      </c>
      <c r="K6" s="247"/>
      <c r="L6" s="247" t="s">
        <v>206</v>
      </c>
      <c r="M6" s="245">
        <v>46326</v>
      </c>
      <c r="N6" s="247" t="s">
        <v>57</v>
      </c>
      <c r="O6" s="247">
        <v>0</v>
      </c>
      <c r="P6" s="247"/>
      <c r="Q6" s="249" t="s">
        <v>58</v>
      </c>
      <c r="R6" s="244" t="s">
        <v>238</v>
      </c>
      <c r="S6" s="345" t="s">
        <v>239</v>
      </c>
      <c r="T6" s="244" t="s">
        <v>240</v>
      </c>
      <c r="U6" s="248" t="s">
        <v>79</v>
      </c>
      <c r="V6" s="247" t="s">
        <v>63</v>
      </c>
      <c r="W6" s="247" t="s">
        <v>64</v>
      </c>
      <c r="X6" s="257" t="s">
        <v>65</v>
      </c>
      <c r="Y6" s="244" t="s">
        <v>241</v>
      </c>
      <c r="Z6" s="246">
        <v>0</v>
      </c>
      <c r="AA6" s="368">
        <v>0.3</v>
      </c>
      <c r="AB6" s="376" t="s">
        <v>242</v>
      </c>
      <c r="AC6" s="379" t="s">
        <v>243</v>
      </c>
      <c r="AD6" s="378">
        <v>46142</v>
      </c>
      <c r="AE6" s="167" t="s">
        <v>2</v>
      </c>
      <c r="AF6" s="178">
        <v>46150</v>
      </c>
      <c r="AG6" s="371">
        <v>46181</v>
      </c>
      <c r="AH6" s="167"/>
      <c r="AI6" s="167"/>
      <c r="AJ6" s="167"/>
      <c r="AK6" s="226" t="s">
        <v>244</v>
      </c>
      <c r="AL6" s="167" t="s">
        <v>245</v>
      </c>
      <c r="AM6" s="167" t="s">
        <v>217</v>
      </c>
      <c r="AN6" s="167" t="s">
        <v>64</v>
      </c>
      <c r="AO6" s="167" t="s">
        <v>218</v>
      </c>
      <c r="AP6" s="168" t="s">
        <v>246</v>
      </c>
    </row>
    <row r="7" spans="1:42" ht="51" hidden="1" customHeight="1">
      <c r="A7" s="244">
        <v>134</v>
      </c>
      <c r="B7" s="245">
        <v>46146.699976851902</v>
      </c>
      <c r="C7" s="245">
        <v>46146.714398148099</v>
      </c>
      <c r="D7" s="244" t="s">
        <v>247</v>
      </c>
      <c r="E7" s="244" t="s">
        <v>248</v>
      </c>
      <c r="F7" s="244" t="s">
        <v>249</v>
      </c>
      <c r="G7" s="244" t="s">
        <v>250</v>
      </c>
      <c r="H7" s="244" t="s">
        <v>76</v>
      </c>
      <c r="I7" s="244" t="s">
        <v>251</v>
      </c>
      <c r="J7" s="244" t="s">
        <v>252</v>
      </c>
      <c r="K7" s="244" t="s">
        <v>253</v>
      </c>
      <c r="L7" s="247" t="s">
        <v>237</v>
      </c>
      <c r="M7" s="245">
        <v>46238</v>
      </c>
      <c r="N7" s="247" t="s">
        <v>57</v>
      </c>
      <c r="O7" s="247">
        <v>0</v>
      </c>
      <c r="P7" s="247"/>
      <c r="Q7" s="248" t="s">
        <v>58</v>
      </c>
      <c r="R7" s="244" t="s">
        <v>254</v>
      </c>
      <c r="S7" s="345" t="s">
        <v>255</v>
      </c>
      <c r="T7" s="244" t="s">
        <v>256</v>
      </c>
      <c r="U7" s="248" t="s">
        <v>162</v>
      </c>
      <c r="V7" s="247" t="s">
        <v>63</v>
      </c>
      <c r="W7" s="247" t="s">
        <v>64</v>
      </c>
      <c r="X7" s="240" t="s">
        <v>65</v>
      </c>
      <c r="Y7" s="244" t="s">
        <v>257</v>
      </c>
      <c r="Z7" s="246" t="s">
        <v>258</v>
      </c>
      <c r="AA7" s="368">
        <v>0.75</v>
      </c>
      <c r="AB7" s="380" t="s">
        <v>106</v>
      </c>
      <c r="AC7" s="379" t="s">
        <v>69</v>
      </c>
      <c r="AD7" s="378">
        <v>46147</v>
      </c>
      <c r="AE7" s="167" t="s">
        <v>3</v>
      </c>
      <c r="AF7" s="178">
        <v>46156</v>
      </c>
      <c r="AG7" s="371">
        <v>46169</v>
      </c>
      <c r="AH7" s="167"/>
      <c r="AI7" s="167"/>
      <c r="AJ7" s="264"/>
      <c r="AK7" s="167"/>
      <c r="AL7" s="167" t="s">
        <v>259</v>
      </c>
      <c r="AM7" s="167" t="s">
        <v>217</v>
      </c>
      <c r="AN7" s="167" t="s">
        <v>260</v>
      </c>
      <c r="AO7" s="167" t="s">
        <v>218</v>
      </c>
      <c r="AP7" s="168" t="s">
        <v>261</v>
      </c>
    </row>
    <row r="8" spans="1:42" ht="55.5" hidden="1" customHeight="1">
      <c r="A8" s="244">
        <v>135</v>
      </c>
      <c r="B8" s="245">
        <v>46148.721481481502</v>
      </c>
      <c r="C8" s="245">
        <v>46148.761435185203</v>
      </c>
      <c r="D8" s="244" t="s">
        <v>262</v>
      </c>
      <c r="E8" s="244" t="s">
        <v>263</v>
      </c>
      <c r="F8" s="244" t="s">
        <v>264</v>
      </c>
      <c r="G8" s="244" t="s">
        <v>265</v>
      </c>
      <c r="H8" s="244" t="s">
        <v>76</v>
      </c>
      <c r="I8" s="244" t="s">
        <v>77</v>
      </c>
      <c r="J8" s="244" t="s">
        <v>266</v>
      </c>
      <c r="K8" s="244" t="s">
        <v>267</v>
      </c>
      <c r="L8" s="247" t="s">
        <v>237</v>
      </c>
      <c r="M8" s="245">
        <v>46203</v>
      </c>
      <c r="N8" s="247" t="s">
        <v>57</v>
      </c>
      <c r="O8" s="247">
        <v>0</v>
      </c>
      <c r="P8" s="247"/>
      <c r="Q8" s="249" t="s">
        <v>58</v>
      </c>
      <c r="R8" s="244" t="s">
        <v>268</v>
      </c>
      <c r="S8" s="345" t="s">
        <v>269</v>
      </c>
      <c r="T8" s="244" t="s">
        <v>270</v>
      </c>
      <c r="U8" s="249" t="s">
        <v>79</v>
      </c>
      <c r="V8" s="247" t="s">
        <v>63</v>
      </c>
      <c r="W8" s="247" t="s">
        <v>64</v>
      </c>
      <c r="X8" s="239" t="s">
        <v>65</v>
      </c>
      <c r="Y8" s="244" t="s">
        <v>271</v>
      </c>
      <c r="Z8" s="246" t="s">
        <v>272</v>
      </c>
      <c r="AA8" s="368">
        <v>0.45</v>
      </c>
      <c r="AB8" s="376" t="s">
        <v>68</v>
      </c>
      <c r="AC8" s="379" t="s">
        <v>69</v>
      </c>
      <c r="AD8" s="378">
        <v>46149</v>
      </c>
      <c r="AE8" s="167" t="s">
        <v>2</v>
      </c>
      <c r="AF8" s="178">
        <v>46163</v>
      </c>
      <c r="AG8" s="371">
        <v>46194</v>
      </c>
      <c r="AH8" s="167"/>
      <c r="AI8" s="167"/>
      <c r="AJ8" s="167"/>
      <c r="AK8" s="167"/>
      <c r="AL8" s="167"/>
      <c r="AM8" s="167"/>
      <c r="AN8" s="167"/>
      <c r="AO8" s="167" t="s">
        <v>218</v>
      </c>
      <c r="AP8" s="168"/>
    </row>
    <row r="9" spans="1:42" ht="55.5" hidden="1" customHeight="1">
      <c r="A9" s="247">
        <v>136</v>
      </c>
      <c r="B9" s="245">
        <v>46148.807418981502</v>
      </c>
      <c r="C9" s="245">
        <v>46148.817395833299</v>
      </c>
      <c r="D9" s="247" t="s">
        <v>200</v>
      </c>
      <c r="E9" s="247" t="s">
        <v>201</v>
      </c>
      <c r="F9" s="247" t="s">
        <v>273</v>
      </c>
      <c r="G9" s="244" t="s">
        <v>274</v>
      </c>
      <c r="H9" s="247" t="s">
        <v>52</v>
      </c>
      <c r="I9" s="244" t="s">
        <v>204</v>
      </c>
      <c r="J9" s="244" t="s">
        <v>275</v>
      </c>
      <c r="K9" s="244" t="s">
        <v>276</v>
      </c>
      <c r="L9" s="247" t="s">
        <v>206</v>
      </c>
      <c r="M9" s="245">
        <v>46234</v>
      </c>
      <c r="N9" s="247" t="s">
        <v>118</v>
      </c>
      <c r="O9" s="247" t="s">
        <v>207</v>
      </c>
      <c r="P9" s="247"/>
      <c r="Q9" s="248" t="s">
        <v>58</v>
      </c>
      <c r="R9" s="244" t="s">
        <v>277</v>
      </c>
      <c r="S9" s="345" t="s">
        <v>278</v>
      </c>
      <c r="T9" s="247" t="s">
        <v>279</v>
      </c>
      <c r="U9" s="248" t="s">
        <v>162</v>
      </c>
      <c r="V9" s="247" t="s">
        <v>211</v>
      </c>
      <c r="W9" s="247" t="s">
        <v>64</v>
      </c>
      <c r="X9" s="256" t="s">
        <v>65</v>
      </c>
      <c r="Y9" s="244" t="s">
        <v>280</v>
      </c>
      <c r="Z9" s="252" t="s">
        <v>281</v>
      </c>
      <c r="AA9" s="368">
        <v>0.3</v>
      </c>
      <c r="AB9" s="376" t="s">
        <v>214</v>
      </c>
      <c r="AC9" s="379" t="s">
        <v>69</v>
      </c>
      <c r="AD9" s="378">
        <v>46149</v>
      </c>
      <c r="AE9" s="167" t="s">
        <v>2</v>
      </c>
      <c r="AF9" s="178">
        <v>46195</v>
      </c>
      <c r="AG9" s="371">
        <v>46251</v>
      </c>
      <c r="AH9" s="167"/>
      <c r="AI9" s="183"/>
      <c r="AJ9" s="182"/>
      <c r="AK9" s="168"/>
      <c r="AL9" s="167"/>
      <c r="AM9" s="168"/>
      <c r="AN9" s="168"/>
      <c r="AO9" s="167" t="s">
        <v>192</v>
      </c>
      <c r="AP9" s="167"/>
    </row>
    <row r="10" spans="1:42" s="59" customFormat="1" ht="45" hidden="1" customHeight="1">
      <c r="A10" s="247">
        <v>139</v>
      </c>
      <c r="B10" s="245">
        <v>46149.750567129602</v>
      </c>
      <c r="C10" s="245">
        <v>46149.757731481499</v>
      </c>
      <c r="D10" s="247" t="s">
        <v>233</v>
      </c>
      <c r="E10" s="247" t="s">
        <v>234</v>
      </c>
      <c r="F10" s="244" t="s">
        <v>282</v>
      </c>
      <c r="G10" s="244" t="s">
        <v>283</v>
      </c>
      <c r="H10" s="247" t="s">
        <v>112</v>
      </c>
      <c r="I10" s="244" t="s">
        <v>224</v>
      </c>
      <c r="J10" s="244" t="s">
        <v>284</v>
      </c>
      <c r="K10" s="246" t="s">
        <v>285</v>
      </c>
      <c r="L10" s="247" t="s">
        <v>56</v>
      </c>
      <c r="M10" s="245">
        <v>46265</v>
      </c>
      <c r="N10" s="247" t="s">
        <v>57</v>
      </c>
      <c r="O10" s="247">
        <v>0</v>
      </c>
      <c r="P10" s="247"/>
      <c r="Q10" s="249" t="s">
        <v>58</v>
      </c>
      <c r="R10" s="244" t="s">
        <v>286</v>
      </c>
      <c r="S10" s="345" t="s">
        <v>287</v>
      </c>
      <c r="T10" s="247" t="s">
        <v>288</v>
      </c>
      <c r="U10" s="249" t="s">
        <v>79</v>
      </c>
      <c r="V10" s="247" t="s">
        <v>63</v>
      </c>
      <c r="W10" s="247" t="s">
        <v>64</v>
      </c>
      <c r="X10" s="240" t="s">
        <v>103</v>
      </c>
      <c r="Y10" s="244" t="s">
        <v>289</v>
      </c>
      <c r="Z10" s="252" t="s">
        <v>290</v>
      </c>
      <c r="AA10" s="368">
        <v>2.15</v>
      </c>
      <c r="AB10" s="376" t="s">
        <v>156</v>
      </c>
      <c r="AC10" s="379" t="s">
        <v>69</v>
      </c>
      <c r="AD10" s="378">
        <v>46154</v>
      </c>
      <c r="AE10" s="167" t="s">
        <v>2</v>
      </c>
      <c r="AF10" s="178">
        <v>46171</v>
      </c>
      <c r="AG10" s="371">
        <v>46178</v>
      </c>
      <c r="AH10" s="167"/>
      <c r="AI10" s="183"/>
      <c r="AJ10" s="182"/>
      <c r="AK10" s="168"/>
      <c r="AL10" s="167"/>
      <c r="AM10" s="168"/>
      <c r="AN10" s="168"/>
      <c r="AO10" s="167" t="s">
        <v>218</v>
      </c>
      <c r="AP10" s="168" t="s">
        <v>291</v>
      </c>
    </row>
    <row r="11" spans="1:42" ht="83.25" hidden="1" customHeight="1">
      <c r="A11" s="244">
        <v>141</v>
      </c>
      <c r="B11" s="245">
        <v>46153.3528703704</v>
      </c>
      <c r="C11" s="245">
        <v>46153.391863425903</v>
      </c>
      <c r="D11" s="244" t="s">
        <v>220</v>
      </c>
      <c r="E11" s="244" t="s">
        <v>221</v>
      </c>
      <c r="F11" s="244" t="s">
        <v>292</v>
      </c>
      <c r="G11" s="244" t="s">
        <v>293</v>
      </c>
      <c r="H11" s="244" t="s">
        <v>112</v>
      </c>
      <c r="I11" s="244" t="s">
        <v>113</v>
      </c>
      <c r="J11" s="244" t="s">
        <v>294</v>
      </c>
      <c r="K11" s="246" t="s">
        <v>295</v>
      </c>
      <c r="L11" s="247" t="s">
        <v>296</v>
      </c>
      <c r="M11" s="245">
        <v>46234</v>
      </c>
      <c r="N11" s="247" t="s">
        <v>57</v>
      </c>
      <c r="O11" s="247">
        <v>0</v>
      </c>
      <c r="P11" s="247"/>
      <c r="Q11" s="249" t="s">
        <v>58</v>
      </c>
      <c r="R11" s="244" t="s">
        <v>297</v>
      </c>
      <c r="S11" s="345" t="s">
        <v>298</v>
      </c>
      <c r="T11" s="244" t="s">
        <v>299</v>
      </c>
      <c r="U11" s="248" t="s">
        <v>79</v>
      </c>
      <c r="V11" s="247" t="s">
        <v>63</v>
      </c>
      <c r="W11" s="247" t="s">
        <v>64</v>
      </c>
      <c r="X11" s="257" t="s">
        <v>65</v>
      </c>
      <c r="Y11" s="244" t="s">
        <v>300</v>
      </c>
      <c r="Z11" s="246" t="s">
        <v>301</v>
      </c>
      <c r="AA11" s="368">
        <v>0.3</v>
      </c>
      <c r="AB11" s="376" t="s">
        <v>302</v>
      </c>
      <c r="AC11" s="379" t="s">
        <v>69</v>
      </c>
      <c r="AD11" s="378">
        <v>46156</v>
      </c>
      <c r="AE11" s="167" t="s">
        <v>3</v>
      </c>
      <c r="AF11" s="178">
        <v>46188</v>
      </c>
      <c r="AG11" s="372">
        <f>IF(AD11="","Pendiente fecha de asignación de LD",IF(AF11="","",WORKDAY(AF11,IF(AE11="Alta",20,IF(AE11="Media",10,5)))))</f>
        <v>46202</v>
      </c>
      <c r="AH11" s="167"/>
      <c r="AI11" s="167"/>
      <c r="AJ11" s="167"/>
      <c r="AK11" s="167"/>
      <c r="AL11" s="167"/>
      <c r="AM11" s="167"/>
      <c r="AN11" s="167"/>
      <c r="AO11" s="167" t="s">
        <v>192</v>
      </c>
      <c r="AP11" s="168" t="s">
        <v>303</v>
      </c>
    </row>
    <row r="12" spans="1:42" ht="105" hidden="1" customHeight="1">
      <c r="A12" s="247">
        <v>142</v>
      </c>
      <c r="B12" s="245">
        <v>46153.365740740701</v>
      </c>
      <c r="C12" s="245">
        <v>46153.404918981498</v>
      </c>
      <c r="D12" s="247" t="s">
        <v>220</v>
      </c>
      <c r="E12" s="247" t="s">
        <v>221</v>
      </c>
      <c r="F12" s="244" t="s">
        <v>304</v>
      </c>
      <c r="G12" s="244" t="s">
        <v>305</v>
      </c>
      <c r="H12" s="247" t="s">
        <v>112</v>
      </c>
      <c r="I12" s="244" t="s">
        <v>113</v>
      </c>
      <c r="J12" s="244" t="s">
        <v>294</v>
      </c>
      <c r="K12" s="246" t="s">
        <v>306</v>
      </c>
      <c r="L12" s="247" t="s">
        <v>296</v>
      </c>
      <c r="M12" s="245">
        <v>46249</v>
      </c>
      <c r="N12" s="247" t="s">
        <v>57</v>
      </c>
      <c r="O12" s="247">
        <v>0</v>
      </c>
      <c r="P12" s="247"/>
      <c r="Q12" s="248" t="s">
        <v>183</v>
      </c>
      <c r="R12" s="244" t="s">
        <v>307</v>
      </c>
      <c r="S12" s="345" t="s">
        <v>308</v>
      </c>
      <c r="T12" s="247" t="s">
        <v>309</v>
      </c>
      <c r="U12" s="249" t="s">
        <v>162</v>
      </c>
      <c r="V12" s="247" t="s">
        <v>63</v>
      </c>
      <c r="W12" s="247" t="s">
        <v>64</v>
      </c>
      <c r="X12" s="239" t="s">
        <v>65</v>
      </c>
      <c r="Y12" s="244" t="s">
        <v>310</v>
      </c>
      <c r="Z12" s="252" t="s">
        <v>311</v>
      </c>
      <c r="AA12" s="368">
        <v>1.35</v>
      </c>
      <c r="AB12" s="376" t="s">
        <v>205</v>
      </c>
      <c r="AC12" s="379" t="s">
        <v>69</v>
      </c>
      <c r="AD12" s="378">
        <v>46156</v>
      </c>
      <c r="AE12" s="167"/>
      <c r="AF12" s="178"/>
      <c r="AG12" s="372" t="str">
        <f>IF(AD12="","Pendiente fecha de asignación de LD",IF(AF12="","",WORKDAY(AF12,IF(AE12="Alta",20,IF(AE12="Media",10,5)))))</f>
        <v/>
      </c>
      <c r="AH12" s="167"/>
      <c r="AI12" s="183"/>
      <c r="AJ12" s="182"/>
      <c r="AK12" s="168"/>
      <c r="AL12" s="167"/>
      <c r="AM12" s="168"/>
      <c r="AN12" s="168"/>
      <c r="AO12" s="167" t="s">
        <v>192</v>
      </c>
      <c r="AP12" s="167"/>
    </row>
    <row r="13" spans="1:42" ht="105" hidden="1" customHeight="1">
      <c r="A13" s="244">
        <v>153</v>
      </c>
      <c r="B13" s="245">
        <v>46153.723240740699</v>
      </c>
      <c r="C13" s="245">
        <v>46153.7434027778</v>
      </c>
      <c r="D13" s="244" t="s">
        <v>220</v>
      </c>
      <c r="E13" s="244" t="s">
        <v>221</v>
      </c>
      <c r="F13" s="244" t="s">
        <v>312</v>
      </c>
      <c r="G13" s="244" t="s">
        <v>313</v>
      </c>
      <c r="H13" s="244" t="s">
        <v>52</v>
      </c>
      <c r="I13" s="244" t="s">
        <v>53</v>
      </c>
      <c r="J13" s="244" t="s">
        <v>314</v>
      </c>
      <c r="K13" s="246" t="s">
        <v>315</v>
      </c>
      <c r="L13" s="247" t="s">
        <v>226</v>
      </c>
      <c r="M13" s="245">
        <v>46162</v>
      </c>
      <c r="N13" s="247" t="s">
        <v>57</v>
      </c>
      <c r="O13" s="247">
        <v>0</v>
      </c>
      <c r="P13" s="247"/>
      <c r="Q13" s="248" t="s">
        <v>58</v>
      </c>
      <c r="R13" s="244" t="s">
        <v>316</v>
      </c>
      <c r="S13" s="346" t="s">
        <v>317</v>
      </c>
      <c r="T13" s="244" t="s">
        <v>318</v>
      </c>
      <c r="U13" s="259" t="s">
        <v>319</v>
      </c>
      <c r="V13" s="244" t="s">
        <v>63</v>
      </c>
      <c r="W13" s="247" t="s">
        <v>64</v>
      </c>
      <c r="X13" s="239" t="s">
        <v>65</v>
      </c>
      <c r="Y13" s="244" t="s">
        <v>320</v>
      </c>
      <c r="Z13" s="246" t="s">
        <v>321</v>
      </c>
      <c r="AA13" s="368">
        <v>0.9</v>
      </c>
      <c r="AB13" s="376" t="s">
        <v>322</v>
      </c>
      <c r="AC13" s="379" t="s">
        <v>69</v>
      </c>
      <c r="AD13" s="378">
        <v>46154</v>
      </c>
      <c r="AE13" s="167" t="s">
        <v>3</v>
      </c>
      <c r="AF13" s="178">
        <v>46167</v>
      </c>
      <c r="AG13" s="371">
        <v>46178</v>
      </c>
      <c r="AH13" s="167"/>
      <c r="AI13" s="167"/>
      <c r="AJ13" s="167"/>
      <c r="AK13" s="167"/>
      <c r="AL13" s="167"/>
      <c r="AM13" s="167"/>
      <c r="AN13" s="167"/>
      <c r="AO13" s="167" t="s">
        <v>192</v>
      </c>
      <c r="AP13" s="168" t="s">
        <v>323</v>
      </c>
    </row>
    <row r="14" spans="1:42" ht="105" hidden="1" customHeight="1">
      <c r="A14" s="247">
        <v>156</v>
      </c>
      <c r="B14" s="245">
        <v>46153.7438078704</v>
      </c>
      <c r="C14" s="245">
        <v>46153.746921296297</v>
      </c>
      <c r="D14" s="247" t="s">
        <v>220</v>
      </c>
      <c r="E14" s="247" t="s">
        <v>221</v>
      </c>
      <c r="F14" s="244" t="s">
        <v>324</v>
      </c>
      <c r="G14" s="244" t="s">
        <v>325</v>
      </c>
      <c r="H14" s="247" t="s">
        <v>52</v>
      </c>
      <c r="I14" s="244" t="s">
        <v>53</v>
      </c>
      <c r="J14" s="244" t="s">
        <v>314</v>
      </c>
      <c r="K14" s="246" t="s">
        <v>326</v>
      </c>
      <c r="L14" s="247" t="s">
        <v>226</v>
      </c>
      <c r="M14" s="245">
        <v>46162</v>
      </c>
      <c r="N14" s="247" t="s">
        <v>57</v>
      </c>
      <c r="O14" s="247">
        <v>0</v>
      </c>
      <c r="P14" s="247"/>
      <c r="Q14" s="248" t="s">
        <v>58</v>
      </c>
      <c r="R14" s="244" t="s">
        <v>327</v>
      </c>
      <c r="S14" s="346" t="s">
        <v>328</v>
      </c>
      <c r="T14" s="247" t="s">
        <v>329</v>
      </c>
      <c r="U14" s="258" t="s">
        <v>319</v>
      </c>
      <c r="V14" s="247" t="s">
        <v>63</v>
      </c>
      <c r="W14" s="247" t="s">
        <v>64</v>
      </c>
      <c r="X14" s="256" t="s">
        <v>65</v>
      </c>
      <c r="Y14" s="244" t="s">
        <v>330</v>
      </c>
      <c r="Z14" s="252" t="s">
        <v>331</v>
      </c>
      <c r="AA14" s="368">
        <v>0.9</v>
      </c>
      <c r="AB14" s="376" t="s">
        <v>322</v>
      </c>
      <c r="AC14" s="379" t="s">
        <v>69</v>
      </c>
      <c r="AD14" s="378">
        <v>46155</v>
      </c>
      <c r="AE14" s="167" t="s">
        <v>3</v>
      </c>
      <c r="AF14" s="178">
        <v>46167</v>
      </c>
      <c r="AG14" s="371">
        <v>46178</v>
      </c>
      <c r="AH14" s="167"/>
      <c r="AI14" s="183"/>
      <c r="AJ14" s="182"/>
      <c r="AK14" s="168"/>
      <c r="AL14" s="167"/>
      <c r="AM14" s="168"/>
      <c r="AN14" s="168"/>
      <c r="AO14" s="167" t="s">
        <v>192</v>
      </c>
      <c r="AP14" s="168" t="s">
        <v>332</v>
      </c>
    </row>
    <row r="15" spans="1:42" ht="199.5" hidden="1" customHeight="1">
      <c r="A15" s="247">
        <v>162</v>
      </c>
      <c r="B15" s="245">
        <v>46160.441956018498</v>
      </c>
      <c r="C15" s="245">
        <v>46160.457743055602</v>
      </c>
      <c r="D15" s="247" t="s">
        <v>262</v>
      </c>
      <c r="E15" s="247" t="s">
        <v>263</v>
      </c>
      <c r="F15" s="244" t="s">
        <v>333</v>
      </c>
      <c r="G15" s="244" t="s">
        <v>334</v>
      </c>
      <c r="H15" s="247" t="s">
        <v>76</v>
      </c>
      <c r="I15" s="244" t="s">
        <v>335</v>
      </c>
      <c r="J15" s="244" t="s">
        <v>336</v>
      </c>
      <c r="K15" s="246" t="s">
        <v>337</v>
      </c>
      <c r="L15" s="247" t="s">
        <v>237</v>
      </c>
      <c r="M15" s="245">
        <v>46310</v>
      </c>
      <c r="N15" s="247" t="s">
        <v>57</v>
      </c>
      <c r="O15" s="247">
        <v>0</v>
      </c>
      <c r="P15" s="247">
        <v>0</v>
      </c>
      <c r="Q15" s="248" t="s">
        <v>58</v>
      </c>
      <c r="R15" s="244" t="s">
        <v>338</v>
      </c>
      <c r="S15" s="346" t="s">
        <v>339</v>
      </c>
      <c r="T15" s="244" t="s">
        <v>340</v>
      </c>
      <c r="U15" s="244" t="s">
        <v>79</v>
      </c>
      <c r="V15" s="249" t="s">
        <v>211</v>
      </c>
      <c r="W15" s="247" t="s">
        <v>57</v>
      </c>
      <c r="X15" s="240" t="s">
        <v>65</v>
      </c>
      <c r="Y15" s="240" t="s">
        <v>341</v>
      </c>
      <c r="Z15" s="252" t="s">
        <v>342</v>
      </c>
      <c r="AA15" s="368">
        <v>0.5</v>
      </c>
      <c r="AB15" s="376" t="s">
        <v>343</v>
      </c>
      <c r="AC15" s="379" t="s">
        <v>69</v>
      </c>
      <c r="AD15" s="378">
        <v>46162</v>
      </c>
      <c r="AE15" s="167"/>
      <c r="AF15" s="178"/>
      <c r="AG15" s="372" t="str">
        <f>IF(AD15="","Pendiente fecha de asignación de LD",IF(AF15="","",WORKDAY(AF15,IF(AE15="Alta",20,IF(AE15="Media",10,5)))))</f>
        <v/>
      </c>
      <c r="AH15" s="167"/>
      <c r="AI15" s="183"/>
      <c r="AJ15" s="182"/>
      <c r="AK15" s="168"/>
      <c r="AL15" s="243"/>
      <c r="AM15" s="168"/>
      <c r="AN15" s="265"/>
      <c r="AO15" s="167" t="s">
        <v>192</v>
      </c>
      <c r="AP15" s="168"/>
    </row>
    <row r="16" spans="1:42" ht="178.5" hidden="1" customHeight="1">
      <c r="A16" s="247">
        <v>169</v>
      </c>
      <c r="B16" s="245">
        <v>46161.670162037</v>
      </c>
      <c r="C16" s="245">
        <v>46162.429259259297</v>
      </c>
      <c r="D16" s="247" t="s">
        <v>344</v>
      </c>
      <c r="E16" s="247" t="s">
        <v>345</v>
      </c>
      <c r="F16" s="244" t="s">
        <v>346</v>
      </c>
      <c r="G16" s="244" t="s">
        <v>347</v>
      </c>
      <c r="H16" s="247" t="s">
        <v>52</v>
      </c>
      <c r="I16" s="244" t="s">
        <v>77</v>
      </c>
      <c r="J16" s="244" t="s">
        <v>348</v>
      </c>
      <c r="K16" s="246" t="s">
        <v>349</v>
      </c>
      <c r="L16" s="247" t="s">
        <v>56</v>
      </c>
      <c r="M16" s="245">
        <v>46199</v>
      </c>
      <c r="N16" s="247" t="s">
        <v>118</v>
      </c>
      <c r="O16" s="247" t="s">
        <v>350</v>
      </c>
      <c r="P16" s="247">
        <v>7541</v>
      </c>
      <c r="Q16" s="248" t="s">
        <v>58</v>
      </c>
      <c r="R16" s="244" t="s">
        <v>351</v>
      </c>
      <c r="S16" s="346" t="s">
        <v>352</v>
      </c>
      <c r="T16" s="244" t="s">
        <v>353</v>
      </c>
      <c r="U16" s="244" t="s">
        <v>162</v>
      </c>
      <c r="V16" s="249" t="s">
        <v>211</v>
      </c>
      <c r="W16" s="247" t="s">
        <v>57</v>
      </c>
      <c r="X16" s="240" t="s">
        <v>103</v>
      </c>
      <c r="Y16" s="240" t="s">
        <v>354</v>
      </c>
      <c r="Z16" s="252" t="s">
        <v>355</v>
      </c>
      <c r="AA16" s="368">
        <v>2.9</v>
      </c>
      <c r="AB16" s="376" t="s">
        <v>302</v>
      </c>
      <c r="AC16" s="379" t="s">
        <v>69</v>
      </c>
      <c r="AD16" s="378">
        <v>46163</v>
      </c>
      <c r="AE16" s="167" t="s">
        <v>3</v>
      </c>
      <c r="AF16" s="178">
        <v>46167</v>
      </c>
      <c r="AG16" s="371">
        <v>46181</v>
      </c>
      <c r="AH16" s="167"/>
      <c r="AI16" s="183"/>
      <c r="AJ16" s="182"/>
      <c r="AK16" s="226" t="s">
        <v>356</v>
      </c>
      <c r="AL16" s="243" t="s">
        <v>245</v>
      </c>
      <c r="AM16" s="168"/>
      <c r="AN16" s="265"/>
      <c r="AO16" s="167" t="s">
        <v>218</v>
      </c>
      <c r="AP16" s="168" t="s">
        <v>357</v>
      </c>
    </row>
    <row r="17" spans="1:42" ht="136.5" hidden="1" customHeight="1">
      <c r="A17" s="247">
        <v>171</v>
      </c>
      <c r="B17" s="245">
        <v>46167.515682870398</v>
      </c>
      <c r="C17" s="245">
        <v>46167.642662036997</v>
      </c>
      <c r="D17" s="247" t="s">
        <v>220</v>
      </c>
      <c r="E17" s="247" t="s">
        <v>221</v>
      </c>
      <c r="F17" s="244" t="s">
        <v>358</v>
      </c>
      <c r="G17" s="244" t="s">
        <v>359</v>
      </c>
      <c r="H17" s="247" t="s">
        <v>76</v>
      </c>
      <c r="I17" s="244" t="s">
        <v>224</v>
      </c>
      <c r="J17" s="244" t="s">
        <v>360</v>
      </c>
      <c r="K17" s="246" t="s">
        <v>361</v>
      </c>
      <c r="L17" s="247" t="s">
        <v>226</v>
      </c>
      <c r="M17" s="245">
        <v>46203</v>
      </c>
      <c r="N17" s="247" t="s">
        <v>57</v>
      </c>
      <c r="O17" s="247">
        <v>0</v>
      </c>
      <c r="P17" s="247">
        <v>0</v>
      </c>
      <c r="Q17" s="248" t="s">
        <v>58</v>
      </c>
      <c r="R17" s="244" t="s">
        <v>362</v>
      </c>
      <c r="S17" s="346" t="s">
        <v>363</v>
      </c>
      <c r="T17" s="244" t="s">
        <v>364</v>
      </c>
      <c r="U17" s="244" t="s">
        <v>62</v>
      </c>
      <c r="V17" s="249" t="s">
        <v>365</v>
      </c>
      <c r="W17" s="247" t="s">
        <v>57</v>
      </c>
      <c r="X17" s="240" t="s">
        <v>86</v>
      </c>
      <c r="Y17" s="240" t="s">
        <v>366</v>
      </c>
      <c r="Z17" s="252" t="s">
        <v>367</v>
      </c>
      <c r="AA17" s="368">
        <v>1.3</v>
      </c>
      <c r="AB17" s="376" t="s">
        <v>214</v>
      </c>
      <c r="AC17" s="379" t="s">
        <v>69</v>
      </c>
      <c r="AD17" s="378">
        <v>46169</v>
      </c>
      <c r="AE17" s="167"/>
      <c r="AF17" s="178"/>
      <c r="AG17" s="372" t="str">
        <f>IF(AD17="","Pendiente fecha de asignación de LD",IF(AF17="","",WORKDAY(AF17,IF(AE17="Alta",20,IF(AE17="Media",10,5)))))</f>
        <v/>
      </c>
      <c r="AH17" s="167"/>
      <c r="AI17" s="183"/>
      <c r="AJ17" s="182"/>
      <c r="AK17" s="226"/>
      <c r="AL17" s="243"/>
      <c r="AM17" s="168"/>
      <c r="AN17" s="265"/>
      <c r="AO17" s="167" t="s">
        <v>192</v>
      </c>
      <c r="AP17" s="168"/>
    </row>
    <row r="18" spans="1:42" ht="142.5" hidden="1" customHeight="1">
      <c r="A18" s="247">
        <v>172</v>
      </c>
      <c r="B18" s="245">
        <v>46167.646388888897</v>
      </c>
      <c r="C18" s="245">
        <v>46167.6551273148</v>
      </c>
      <c r="D18" s="247" t="s">
        <v>220</v>
      </c>
      <c r="E18" s="247" t="s">
        <v>221</v>
      </c>
      <c r="F18" s="244" t="s">
        <v>368</v>
      </c>
      <c r="G18" s="244" t="s">
        <v>369</v>
      </c>
      <c r="H18" s="247" t="s">
        <v>95</v>
      </c>
      <c r="I18" s="244" t="s">
        <v>224</v>
      </c>
      <c r="J18" s="244" t="s">
        <v>370</v>
      </c>
      <c r="K18" s="246" t="s">
        <v>371</v>
      </c>
      <c r="L18" s="247" t="s">
        <v>226</v>
      </c>
      <c r="M18" s="245">
        <v>46203</v>
      </c>
      <c r="N18" s="247" t="s">
        <v>57</v>
      </c>
      <c r="O18" s="247"/>
      <c r="P18" s="247">
        <v>0</v>
      </c>
      <c r="Q18" s="248" t="s">
        <v>58</v>
      </c>
      <c r="R18" s="244" t="s">
        <v>372</v>
      </c>
      <c r="S18" s="346" t="s">
        <v>373</v>
      </c>
      <c r="T18" s="244" t="s">
        <v>364</v>
      </c>
      <c r="U18" s="244" t="s">
        <v>62</v>
      </c>
      <c r="V18" s="249" t="s">
        <v>63</v>
      </c>
      <c r="W18" s="247" t="s">
        <v>57</v>
      </c>
      <c r="X18" s="240" t="s">
        <v>86</v>
      </c>
      <c r="Y18" s="240" t="s">
        <v>374</v>
      </c>
      <c r="Z18" s="252" t="s">
        <v>375</v>
      </c>
      <c r="AA18" s="368">
        <v>1.2</v>
      </c>
      <c r="AB18" s="376" t="s">
        <v>214</v>
      </c>
      <c r="AC18" s="379" t="s">
        <v>69</v>
      </c>
      <c r="AD18" s="378">
        <v>46169</v>
      </c>
      <c r="AE18" s="167"/>
      <c r="AF18" s="178"/>
      <c r="AG18" s="372" t="str">
        <f t="shared" ref="AG18:AG25" si="0">IF(AD18="","Pendiente fecha de asignación de LD",IF(AF18="","",WORKDAY(AF18,IF(AE18="Alta",20,IF(AE18="Media",10,5)))))</f>
        <v/>
      </c>
      <c r="AH18" s="167"/>
      <c r="AI18" s="183"/>
      <c r="AJ18" s="182"/>
      <c r="AK18" s="226"/>
      <c r="AL18" s="243"/>
      <c r="AM18" s="168"/>
      <c r="AN18" s="265"/>
      <c r="AO18" s="167" t="s">
        <v>192</v>
      </c>
      <c r="AP18" s="168"/>
    </row>
    <row r="19" spans="1:42" ht="126.75" hidden="1" customHeight="1">
      <c r="A19" s="247">
        <v>173</v>
      </c>
      <c r="B19" s="245">
        <v>46167.6551736111</v>
      </c>
      <c r="C19" s="245">
        <v>46167.703831018502</v>
      </c>
      <c r="D19" s="247" t="s">
        <v>220</v>
      </c>
      <c r="E19" s="247" t="s">
        <v>221</v>
      </c>
      <c r="F19" s="244" t="s">
        <v>376</v>
      </c>
      <c r="G19" s="244" t="s">
        <v>377</v>
      </c>
      <c r="H19" s="247" t="s">
        <v>52</v>
      </c>
      <c r="I19" s="244" t="s">
        <v>224</v>
      </c>
      <c r="J19" s="244" t="s">
        <v>360</v>
      </c>
      <c r="K19" s="246" t="s">
        <v>378</v>
      </c>
      <c r="L19" s="247" t="s">
        <v>226</v>
      </c>
      <c r="M19" s="245">
        <v>46188</v>
      </c>
      <c r="N19" s="247" t="s">
        <v>57</v>
      </c>
      <c r="O19" s="247">
        <v>0</v>
      </c>
      <c r="P19" s="247">
        <v>0</v>
      </c>
      <c r="Q19" s="248" t="s">
        <v>99</v>
      </c>
      <c r="R19" s="244" t="s">
        <v>379</v>
      </c>
      <c r="S19" s="346" t="s">
        <v>380</v>
      </c>
      <c r="T19" s="244" t="s">
        <v>381</v>
      </c>
      <c r="U19" s="244" t="s">
        <v>62</v>
      </c>
      <c r="V19" s="249" t="s">
        <v>365</v>
      </c>
      <c r="W19" s="247" t="s">
        <v>57</v>
      </c>
      <c r="X19" s="240" t="s">
        <v>86</v>
      </c>
      <c r="Y19" s="240" t="s">
        <v>382</v>
      </c>
      <c r="Z19" s="252" t="s">
        <v>383</v>
      </c>
      <c r="AA19" s="368">
        <v>1.3</v>
      </c>
      <c r="AB19" s="376" t="s">
        <v>214</v>
      </c>
      <c r="AC19" s="379" t="s">
        <v>69</v>
      </c>
      <c r="AD19" s="378">
        <v>46169</v>
      </c>
      <c r="AE19" s="167"/>
      <c r="AF19" s="178"/>
      <c r="AG19" s="372" t="str">
        <f t="shared" si="0"/>
        <v/>
      </c>
      <c r="AH19" s="167"/>
      <c r="AI19" s="183"/>
      <c r="AJ19" s="182"/>
      <c r="AK19" s="226"/>
      <c r="AL19" s="243"/>
      <c r="AM19" s="168"/>
      <c r="AN19" s="265"/>
      <c r="AO19" s="167" t="s">
        <v>192</v>
      </c>
      <c r="AP19" s="168"/>
    </row>
    <row r="20" spans="1:42" ht="129.75" hidden="1" customHeight="1">
      <c r="A20" s="247">
        <v>174</v>
      </c>
      <c r="B20" s="245">
        <v>46167.833217592597</v>
      </c>
      <c r="C20" s="245">
        <v>46167.866180555597</v>
      </c>
      <c r="D20" s="247" t="s">
        <v>220</v>
      </c>
      <c r="E20" s="247" t="s">
        <v>221</v>
      </c>
      <c r="F20" s="244" t="s">
        <v>384</v>
      </c>
      <c r="G20" s="244" t="s">
        <v>385</v>
      </c>
      <c r="H20" s="247" t="s">
        <v>52</v>
      </c>
      <c r="I20" s="244" t="s">
        <v>224</v>
      </c>
      <c r="J20" s="244" t="s">
        <v>360</v>
      </c>
      <c r="K20" s="246" t="s">
        <v>386</v>
      </c>
      <c r="L20" s="247" t="s">
        <v>226</v>
      </c>
      <c r="M20" s="245">
        <v>46203</v>
      </c>
      <c r="N20" s="247" t="s">
        <v>57</v>
      </c>
      <c r="O20" s="247">
        <v>0</v>
      </c>
      <c r="P20" s="247">
        <v>0</v>
      </c>
      <c r="Q20" s="248" t="s">
        <v>58</v>
      </c>
      <c r="R20" s="244" t="s">
        <v>387</v>
      </c>
      <c r="S20" s="346" t="s">
        <v>388</v>
      </c>
      <c r="T20" s="244" t="s">
        <v>389</v>
      </c>
      <c r="U20" s="244" t="s">
        <v>62</v>
      </c>
      <c r="V20" s="249" t="s">
        <v>365</v>
      </c>
      <c r="W20" s="247" t="s">
        <v>57</v>
      </c>
      <c r="X20" s="240" t="s">
        <v>86</v>
      </c>
      <c r="Y20" s="240" t="s">
        <v>390</v>
      </c>
      <c r="Z20" s="252" t="s">
        <v>391</v>
      </c>
      <c r="AA20" s="368">
        <v>1.3</v>
      </c>
      <c r="AB20" s="376" t="s">
        <v>214</v>
      </c>
      <c r="AC20" s="379" t="s">
        <v>69</v>
      </c>
      <c r="AD20" s="378">
        <v>46169</v>
      </c>
      <c r="AE20" s="167"/>
      <c r="AF20" s="178"/>
      <c r="AG20" s="372" t="str">
        <f t="shared" si="0"/>
        <v/>
      </c>
      <c r="AH20" s="167"/>
      <c r="AI20" s="183"/>
      <c r="AJ20" s="182"/>
      <c r="AK20" s="226"/>
      <c r="AL20" s="243"/>
      <c r="AM20" s="168"/>
      <c r="AN20" s="265"/>
      <c r="AO20" s="167" t="s">
        <v>192</v>
      </c>
      <c r="AP20" s="168"/>
    </row>
    <row r="21" spans="1:42" ht="101.25" customHeight="1">
      <c r="A21" s="247">
        <v>181</v>
      </c>
      <c r="B21" s="245">
        <v>46169.490057870396</v>
      </c>
      <c r="C21" s="245">
        <v>46169.525347222203</v>
      </c>
      <c r="D21" s="247" t="s">
        <v>91</v>
      </c>
      <c r="E21" s="247" t="s">
        <v>92</v>
      </c>
      <c r="F21" s="244" t="s">
        <v>93</v>
      </c>
      <c r="G21" s="244" t="s">
        <v>392</v>
      </c>
      <c r="H21" s="247" t="s">
        <v>95</v>
      </c>
      <c r="I21" s="244" t="s">
        <v>96</v>
      </c>
      <c r="J21" s="244" t="s">
        <v>97</v>
      </c>
      <c r="K21" s="246" t="s">
        <v>393</v>
      </c>
      <c r="L21" s="247" t="s">
        <v>79</v>
      </c>
      <c r="M21" s="245">
        <v>46356</v>
      </c>
      <c r="N21" s="247" t="s">
        <v>57</v>
      </c>
      <c r="O21" s="247">
        <v>0</v>
      </c>
      <c r="P21" s="247">
        <v>0</v>
      </c>
      <c r="Q21" s="248" t="s">
        <v>99</v>
      </c>
      <c r="R21" s="244" t="s">
        <v>394</v>
      </c>
      <c r="S21" s="346" t="s">
        <v>101</v>
      </c>
      <c r="T21" s="244" t="s">
        <v>395</v>
      </c>
      <c r="U21" s="244" t="s">
        <v>84</v>
      </c>
      <c r="V21" s="249" t="s">
        <v>63</v>
      </c>
      <c r="W21" s="247" t="s">
        <v>57</v>
      </c>
      <c r="X21" s="240" t="s">
        <v>103</v>
      </c>
      <c r="Y21" s="240" t="s">
        <v>104</v>
      </c>
      <c r="Z21" s="252" t="s">
        <v>396</v>
      </c>
      <c r="AA21" s="368">
        <v>1.8</v>
      </c>
      <c r="AB21" s="376" t="s">
        <v>131</v>
      </c>
      <c r="AC21" s="379" t="s">
        <v>69</v>
      </c>
      <c r="AD21" s="378">
        <v>46169</v>
      </c>
      <c r="AE21" s="167" t="s">
        <v>2</v>
      </c>
      <c r="AF21" s="178">
        <v>46183</v>
      </c>
      <c r="AG21" s="372">
        <f t="shared" si="0"/>
        <v>46211</v>
      </c>
      <c r="AH21" s="167"/>
      <c r="AI21" s="183"/>
      <c r="AJ21" s="182"/>
      <c r="AK21" s="226"/>
      <c r="AL21" s="243"/>
      <c r="AM21" s="168"/>
      <c r="AN21" s="265"/>
      <c r="AO21" s="167" t="s">
        <v>218</v>
      </c>
      <c r="AP21" s="168"/>
    </row>
    <row r="22" spans="1:42" ht="101.25" hidden="1" customHeight="1">
      <c r="A22" s="247">
        <v>182</v>
      </c>
      <c r="B22" s="245">
        <v>46169.525393518503</v>
      </c>
      <c r="C22" s="245">
        <v>46169.526678240698</v>
      </c>
      <c r="D22" s="247" t="s">
        <v>91</v>
      </c>
      <c r="E22" s="247" t="s">
        <v>92</v>
      </c>
      <c r="F22" s="244" t="s">
        <v>93</v>
      </c>
      <c r="G22" s="244" t="s">
        <v>94</v>
      </c>
      <c r="H22" s="247" t="s">
        <v>95</v>
      </c>
      <c r="I22" s="244" t="s">
        <v>96</v>
      </c>
      <c r="J22" s="244" t="s">
        <v>97</v>
      </c>
      <c r="K22" s="246" t="s">
        <v>397</v>
      </c>
      <c r="L22" s="247" t="s">
        <v>79</v>
      </c>
      <c r="M22" s="245">
        <v>46356</v>
      </c>
      <c r="N22" s="247" t="s">
        <v>57</v>
      </c>
      <c r="O22" s="247">
        <v>0</v>
      </c>
      <c r="P22" s="247">
        <v>0</v>
      </c>
      <c r="Q22" s="248" t="s">
        <v>99</v>
      </c>
      <c r="R22" s="244" t="s">
        <v>398</v>
      </c>
      <c r="S22" s="346" t="s">
        <v>101</v>
      </c>
      <c r="T22" s="244" t="s">
        <v>399</v>
      </c>
      <c r="U22" s="244" t="s">
        <v>84</v>
      </c>
      <c r="V22" s="249" t="s">
        <v>63</v>
      </c>
      <c r="W22" s="247" t="s">
        <v>57</v>
      </c>
      <c r="X22" s="240" t="s">
        <v>103</v>
      </c>
      <c r="Y22" s="240" t="s">
        <v>104</v>
      </c>
      <c r="Z22" s="252" t="s">
        <v>400</v>
      </c>
      <c r="AA22" s="368">
        <v>1.8</v>
      </c>
      <c r="AB22" s="376" t="s">
        <v>165</v>
      </c>
      <c r="AC22" s="379" t="s">
        <v>69</v>
      </c>
      <c r="AD22" s="378">
        <v>46169</v>
      </c>
      <c r="AE22" s="167" t="s">
        <v>2</v>
      </c>
      <c r="AF22" s="178">
        <v>46195</v>
      </c>
      <c r="AG22" s="371">
        <v>46192</v>
      </c>
      <c r="AH22" s="167"/>
      <c r="AI22" s="183"/>
      <c r="AJ22" s="182"/>
      <c r="AK22" s="226"/>
      <c r="AL22" s="243"/>
      <c r="AM22" s="168"/>
      <c r="AN22" s="265"/>
      <c r="AO22" s="167" t="s">
        <v>192</v>
      </c>
      <c r="AP22" s="168" t="s">
        <v>401</v>
      </c>
    </row>
    <row r="23" spans="1:42" ht="101.25" hidden="1" customHeight="1">
      <c r="A23" s="247">
        <v>183</v>
      </c>
      <c r="B23" s="245">
        <v>46169.526724536998</v>
      </c>
      <c r="C23" s="245">
        <v>46169.527997685203</v>
      </c>
      <c r="D23" s="247" t="s">
        <v>91</v>
      </c>
      <c r="E23" s="247" t="s">
        <v>92</v>
      </c>
      <c r="F23" s="244" t="s">
        <v>93</v>
      </c>
      <c r="G23" s="244" t="s">
        <v>94</v>
      </c>
      <c r="H23" s="247" t="s">
        <v>95</v>
      </c>
      <c r="I23" s="244" t="s">
        <v>96</v>
      </c>
      <c r="J23" s="244" t="s">
        <v>97</v>
      </c>
      <c r="K23" s="246" t="s">
        <v>402</v>
      </c>
      <c r="L23" s="247" t="s">
        <v>79</v>
      </c>
      <c r="M23" s="245">
        <v>46356</v>
      </c>
      <c r="N23" s="247" t="s">
        <v>57</v>
      </c>
      <c r="O23" s="247">
        <v>0</v>
      </c>
      <c r="P23" s="247">
        <v>0</v>
      </c>
      <c r="Q23" s="248" t="s">
        <v>99</v>
      </c>
      <c r="R23" s="244" t="s">
        <v>100</v>
      </c>
      <c r="S23" s="346" t="s">
        <v>101</v>
      </c>
      <c r="T23" s="244" t="s">
        <v>403</v>
      </c>
      <c r="U23" s="244" t="s">
        <v>84</v>
      </c>
      <c r="V23" s="249" t="s">
        <v>63</v>
      </c>
      <c r="W23" s="247" t="s">
        <v>57</v>
      </c>
      <c r="X23" s="240" t="s">
        <v>103</v>
      </c>
      <c r="Y23" s="240" t="s">
        <v>104</v>
      </c>
      <c r="Z23" s="252" t="s">
        <v>404</v>
      </c>
      <c r="AA23" s="368">
        <v>1.8</v>
      </c>
      <c r="AB23" s="376" t="s">
        <v>214</v>
      </c>
      <c r="AC23" s="379" t="s">
        <v>69</v>
      </c>
      <c r="AD23" s="378">
        <v>46169</v>
      </c>
      <c r="AE23" s="167"/>
      <c r="AF23" s="178"/>
      <c r="AG23" s="372" t="str">
        <f t="shared" si="0"/>
        <v/>
      </c>
      <c r="AH23" s="167"/>
      <c r="AI23" s="183"/>
      <c r="AJ23" s="182"/>
      <c r="AK23" s="226"/>
      <c r="AL23" s="243"/>
      <c r="AM23" s="168"/>
      <c r="AN23" s="265"/>
      <c r="AO23" s="167" t="s">
        <v>192</v>
      </c>
      <c r="AP23" s="168"/>
    </row>
    <row r="24" spans="1:42" ht="101.25" hidden="1" customHeight="1">
      <c r="A24" s="247">
        <v>185</v>
      </c>
      <c r="B24" s="245">
        <v>46169.529664351903</v>
      </c>
      <c r="C24" s="245">
        <v>46169.532025462999</v>
      </c>
      <c r="D24" s="247" t="s">
        <v>91</v>
      </c>
      <c r="E24" s="247" t="s">
        <v>92</v>
      </c>
      <c r="F24" s="244" t="s">
        <v>93</v>
      </c>
      <c r="G24" s="244" t="s">
        <v>94</v>
      </c>
      <c r="H24" s="247" t="s">
        <v>95</v>
      </c>
      <c r="I24" s="244" t="s">
        <v>96</v>
      </c>
      <c r="J24" s="244" t="s">
        <v>97</v>
      </c>
      <c r="K24" s="246" t="s">
        <v>405</v>
      </c>
      <c r="L24" s="247" t="s">
        <v>79</v>
      </c>
      <c r="M24" s="245">
        <v>46356</v>
      </c>
      <c r="N24" s="247" t="s">
        <v>57</v>
      </c>
      <c r="O24" s="247">
        <v>0</v>
      </c>
      <c r="P24" s="247">
        <v>0</v>
      </c>
      <c r="Q24" s="248" t="s">
        <v>99</v>
      </c>
      <c r="R24" s="244" t="s">
        <v>406</v>
      </c>
      <c r="S24" s="346" t="s">
        <v>101</v>
      </c>
      <c r="T24" s="244" t="s">
        <v>407</v>
      </c>
      <c r="U24" s="244" t="s">
        <v>84</v>
      </c>
      <c r="V24" s="249" t="s">
        <v>63</v>
      </c>
      <c r="W24" s="247" t="s">
        <v>57</v>
      </c>
      <c r="X24" s="240" t="s">
        <v>103</v>
      </c>
      <c r="Y24" s="240" t="s">
        <v>104</v>
      </c>
      <c r="Z24" s="252" t="s">
        <v>408</v>
      </c>
      <c r="AA24" s="368">
        <v>1.8</v>
      </c>
      <c r="AB24" s="376" t="s">
        <v>190</v>
      </c>
      <c r="AC24" s="379" t="s">
        <v>69</v>
      </c>
      <c r="AD24" s="378">
        <v>46169</v>
      </c>
      <c r="AE24" s="167"/>
      <c r="AF24" s="178"/>
      <c r="AG24" s="372" t="str">
        <f t="shared" si="0"/>
        <v/>
      </c>
      <c r="AH24" s="167"/>
      <c r="AI24" s="183"/>
      <c r="AJ24" s="182"/>
      <c r="AK24" s="226"/>
      <c r="AL24" s="243"/>
      <c r="AM24" s="168"/>
      <c r="AN24" s="265"/>
      <c r="AO24" s="167" t="s">
        <v>192</v>
      </c>
      <c r="AP24" s="168"/>
    </row>
    <row r="25" spans="1:42" ht="101.25" hidden="1" customHeight="1">
      <c r="A25" s="247">
        <v>186</v>
      </c>
      <c r="B25" s="245">
        <v>46169.532071759299</v>
      </c>
      <c r="C25" s="245">
        <v>46169.533449074101</v>
      </c>
      <c r="D25" s="247" t="s">
        <v>91</v>
      </c>
      <c r="E25" s="247" t="s">
        <v>92</v>
      </c>
      <c r="F25" s="244" t="s">
        <v>93</v>
      </c>
      <c r="G25" s="244" t="s">
        <v>94</v>
      </c>
      <c r="H25" s="247" t="s">
        <v>95</v>
      </c>
      <c r="I25" s="244" t="s">
        <v>96</v>
      </c>
      <c r="J25" s="244" t="s">
        <v>97</v>
      </c>
      <c r="K25" s="246" t="s">
        <v>409</v>
      </c>
      <c r="L25" s="247" t="s">
        <v>79</v>
      </c>
      <c r="M25" s="245">
        <v>46356</v>
      </c>
      <c r="N25" s="247" t="s">
        <v>57</v>
      </c>
      <c r="O25" s="247">
        <v>0</v>
      </c>
      <c r="P25" s="247">
        <v>0</v>
      </c>
      <c r="Q25" s="248" t="s">
        <v>99</v>
      </c>
      <c r="R25" s="244" t="s">
        <v>406</v>
      </c>
      <c r="S25" s="346" t="s">
        <v>101</v>
      </c>
      <c r="T25" s="244" t="s">
        <v>410</v>
      </c>
      <c r="U25" s="244" t="s">
        <v>84</v>
      </c>
      <c r="V25" s="249" t="s">
        <v>63</v>
      </c>
      <c r="W25" s="247" t="s">
        <v>57</v>
      </c>
      <c r="X25" s="240" t="s">
        <v>103</v>
      </c>
      <c r="Y25" s="240" t="s">
        <v>104</v>
      </c>
      <c r="Z25" s="252" t="s">
        <v>411</v>
      </c>
      <c r="AA25" s="368">
        <v>1.8</v>
      </c>
      <c r="AB25" s="376" t="s">
        <v>412</v>
      </c>
      <c r="AC25" s="379" t="s">
        <v>69</v>
      </c>
      <c r="AD25" s="378">
        <v>46169</v>
      </c>
      <c r="AE25" s="167"/>
      <c r="AF25" s="178"/>
      <c r="AG25" s="372" t="str">
        <f t="shared" si="0"/>
        <v/>
      </c>
      <c r="AH25" s="167"/>
      <c r="AI25" s="183"/>
      <c r="AJ25" s="182"/>
      <c r="AK25" s="226"/>
      <c r="AL25" s="243"/>
      <c r="AM25" s="168"/>
      <c r="AN25" s="265"/>
      <c r="AO25" s="167" t="s">
        <v>192</v>
      </c>
      <c r="AP25" s="168"/>
    </row>
    <row r="26" spans="1:42" ht="96" hidden="1" customHeight="1">
      <c r="A26" s="364">
        <v>197</v>
      </c>
      <c r="B26" s="245">
        <v>46169.678715277798</v>
      </c>
      <c r="C26" s="245">
        <v>46169.680648148104</v>
      </c>
      <c r="D26" s="247" t="s">
        <v>122</v>
      </c>
      <c r="E26" s="247" t="s">
        <v>123</v>
      </c>
      <c r="F26" s="244" t="s">
        <v>413</v>
      </c>
      <c r="G26" s="244" t="s">
        <v>134</v>
      </c>
      <c r="H26" s="247" t="s">
        <v>112</v>
      </c>
      <c r="I26" s="244" t="s">
        <v>113</v>
      </c>
      <c r="J26" s="244" t="s">
        <v>414</v>
      </c>
      <c r="K26" s="246" t="s">
        <v>415</v>
      </c>
      <c r="L26" s="247" t="s">
        <v>79</v>
      </c>
      <c r="M26" s="245">
        <v>46160</v>
      </c>
      <c r="N26" s="247" t="s">
        <v>57</v>
      </c>
      <c r="O26" s="247">
        <v>0</v>
      </c>
      <c r="P26" s="247">
        <v>0</v>
      </c>
      <c r="Q26" s="361" t="s">
        <v>58</v>
      </c>
      <c r="R26" s="244" t="s">
        <v>128</v>
      </c>
      <c r="S26" s="346" t="s">
        <v>117</v>
      </c>
      <c r="T26" s="244" t="s">
        <v>416</v>
      </c>
      <c r="U26" s="244" t="s">
        <v>62</v>
      </c>
      <c r="V26" s="362" t="s">
        <v>63</v>
      </c>
      <c r="W26" s="247" t="s">
        <v>118</v>
      </c>
      <c r="X26" s="240" t="s">
        <v>86</v>
      </c>
      <c r="Y26" s="240" t="s">
        <v>137</v>
      </c>
      <c r="Z26" s="252" t="s">
        <v>417</v>
      </c>
      <c r="AA26" s="368">
        <v>1.2</v>
      </c>
      <c r="AB26" s="376" t="s">
        <v>156</v>
      </c>
      <c r="AC26" s="379" t="s">
        <v>69</v>
      </c>
      <c r="AD26" s="378">
        <v>46169</v>
      </c>
      <c r="AE26" s="167" t="s">
        <v>3</v>
      </c>
      <c r="AF26" s="178">
        <v>46174</v>
      </c>
      <c r="AG26" s="371">
        <v>46191</v>
      </c>
      <c r="AH26" s="167"/>
      <c r="AI26" s="183"/>
      <c r="AJ26" s="182"/>
      <c r="AK26" s="168"/>
      <c r="AL26" s="243"/>
      <c r="AM26" s="168"/>
      <c r="AN26" s="265"/>
      <c r="AO26" s="167" t="s">
        <v>218</v>
      </c>
      <c r="AP26" s="168"/>
    </row>
    <row r="27" spans="1:42" ht="96" hidden="1" customHeight="1">
      <c r="A27" s="364">
        <v>198</v>
      </c>
      <c r="B27" s="245">
        <v>46169.681030092601</v>
      </c>
      <c r="C27" s="245">
        <v>46169.684328703697</v>
      </c>
      <c r="D27" s="247" t="s">
        <v>122</v>
      </c>
      <c r="E27" s="247" t="s">
        <v>123</v>
      </c>
      <c r="F27" s="244" t="s">
        <v>418</v>
      </c>
      <c r="G27" s="244" t="s">
        <v>134</v>
      </c>
      <c r="H27" s="247" t="s">
        <v>112</v>
      </c>
      <c r="I27" s="244" t="s">
        <v>113</v>
      </c>
      <c r="J27" s="244" t="s">
        <v>414</v>
      </c>
      <c r="K27" s="246" t="s">
        <v>419</v>
      </c>
      <c r="L27" s="247" t="s">
        <v>79</v>
      </c>
      <c r="M27" s="245">
        <v>46160</v>
      </c>
      <c r="N27" s="247" t="s">
        <v>57</v>
      </c>
      <c r="O27" s="247">
        <v>0</v>
      </c>
      <c r="P27" s="247">
        <v>0</v>
      </c>
      <c r="Q27" s="361" t="s">
        <v>58</v>
      </c>
      <c r="R27" s="244" t="s">
        <v>128</v>
      </c>
      <c r="S27" s="346" t="s">
        <v>117</v>
      </c>
      <c r="T27" s="244" t="s">
        <v>420</v>
      </c>
      <c r="U27" s="244" t="s">
        <v>62</v>
      </c>
      <c r="V27" s="362" t="s">
        <v>63</v>
      </c>
      <c r="W27" s="247" t="s">
        <v>118</v>
      </c>
      <c r="X27" s="240" t="s">
        <v>86</v>
      </c>
      <c r="Y27" s="240" t="s">
        <v>137</v>
      </c>
      <c r="Z27" s="252" t="s">
        <v>421</v>
      </c>
      <c r="AA27" s="368">
        <v>1.2</v>
      </c>
      <c r="AB27" s="376" t="s">
        <v>156</v>
      </c>
      <c r="AC27" s="379" t="s">
        <v>69</v>
      </c>
      <c r="AD27" s="378">
        <v>46169</v>
      </c>
      <c r="AE27" s="167" t="s">
        <v>3</v>
      </c>
      <c r="AF27" s="178">
        <v>46174</v>
      </c>
      <c r="AG27" s="371">
        <v>46191</v>
      </c>
      <c r="AH27" s="167"/>
      <c r="AI27" s="183"/>
      <c r="AJ27" s="182"/>
      <c r="AK27" s="168"/>
      <c r="AL27" s="243"/>
      <c r="AM27" s="168"/>
      <c r="AN27" s="265"/>
      <c r="AO27" s="167" t="s">
        <v>218</v>
      </c>
      <c r="AP27" s="168"/>
    </row>
    <row r="28" spans="1:42" ht="96" hidden="1" customHeight="1">
      <c r="A28" s="364">
        <v>199</v>
      </c>
      <c r="B28" s="245">
        <v>46169.684861111098</v>
      </c>
      <c r="C28" s="245">
        <v>46169.686886574098</v>
      </c>
      <c r="D28" s="247" t="s">
        <v>122</v>
      </c>
      <c r="E28" s="247" t="s">
        <v>123</v>
      </c>
      <c r="F28" s="244" t="s">
        <v>422</v>
      </c>
      <c r="G28" s="244" t="s">
        <v>134</v>
      </c>
      <c r="H28" s="247" t="s">
        <v>112</v>
      </c>
      <c r="I28" s="244" t="s">
        <v>113</v>
      </c>
      <c r="J28" s="244" t="s">
        <v>414</v>
      </c>
      <c r="K28" s="246" t="s">
        <v>423</v>
      </c>
      <c r="L28" s="247" t="s">
        <v>79</v>
      </c>
      <c r="M28" s="245">
        <v>46160</v>
      </c>
      <c r="N28" s="247" t="s">
        <v>57</v>
      </c>
      <c r="O28" s="247">
        <v>0</v>
      </c>
      <c r="P28" s="247">
        <v>0</v>
      </c>
      <c r="Q28" s="361" t="s">
        <v>58</v>
      </c>
      <c r="R28" s="244" t="s">
        <v>128</v>
      </c>
      <c r="S28" s="346" t="s">
        <v>117</v>
      </c>
      <c r="T28" s="244" t="s">
        <v>424</v>
      </c>
      <c r="U28" s="244" t="s">
        <v>62</v>
      </c>
      <c r="V28" s="362" t="s">
        <v>63</v>
      </c>
      <c r="W28" s="247" t="s">
        <v>118</v>
      </c>
      <c r="X28" s="240" t="s">
        <v>86</v>
      </c>
      <c r="Y28" s="240" t="s">
        <v>137</v>
      </c>
      <c r="Z28" s="252" t="s">
        <v>425</v>
      </c>
      <c r="AA28" s="368">
        <v>1.2</v>
      </c>
      <c r="AB28" s="376" t="s">
        <v>156</v>
      </c>
      <c r="AC28" s="379" t="s">
        <v>69</v>
      </c>
      <c r="AD28" s="378">
        <v>46169</v>
      </c>
      <c r="AE28" s="167" t="s">
        <v>3</v>
      </c>
      <c r="AF28" s="178">
        <v>46174</v>
      </c>
      <c r="AG28" s="371">
        <v>46191</v>
      </c>
      <c r="AH28" s="167"/>
      <c r="AI28" s="183"/>
      <c r="AJ28" s="182"/>
      <c r="AK28" s="168"/>
      <c r="AL28" s="243"/>
      <c r="AM28" s="168"/>
      <c r="AN28" s="265"/>
      <c r="AO28" s="167" t="s">
        <v>218</v>
      </c>
      <c r="AP28" s="168"/>
    </row>
    <row r="29" spans="1:42" ht="105.75" customHeight="1">
      <c r="A29" s="364">
        <v>209</v>
      </c>
      <c r="B29" s="245">
        <v>46169.786111111098</v>
      </c>
      <c r="C29" s="245">
        <v>46169.802662037</v>
      </c>
      <c r="D29" s="247" t="s">
        <v>426</v>
      </c>
      <c r="E29" s="247" t="s">
        <v>427</v>
      </c>
      <c r="F29" s="244" t="s">
        <v>428</v>
      </c>
      <c r="G29" s="244" t="s">
        <v>429</v>
      </c>
      <c r="H29" s="247" t="s">
        <v>430</v>
      </c>
      <c r="I29" s="244" t="s">
        <v>77</v>
      </c>
      <c r="J29" s="244" t="s">
        <v>431</v>
      </c>
      <c r="K29" s="246" t="s">
        <v>432</v>
      </c>
      <c r="L29" s="247" t="s">
        <v>56</v>
      </c>
      <c r="M29" s="245">
        <v>46185</v>
      </c>
      <c r="N29" s="247" t="s">
        <v>57</v>
      </c>
      <c r="O29" s="247">
        <v>0</v>
      </c>
      <c r="P29" s="247">
        <v>0</v>
      </c>
      <c r="Q29" s="361" t="s">
        <v>58</v>
      </c>
      <c r="R29" s="244" t="s">
        <v>433</v>
      </c>
      <c r="S29" s="346" t="s">
        <v>434</v>
      </c>
      <c r="T29" s="244" t="s">
        <v>435</v>
      </c>
      <c r="U29" s="244" t="s">
        <v>162</v>
      </c>
      <c r="V29" s="362" t="s">
        <v>63</v>
      </c>
      <c r="W29" s="247" t="s">
        <v>57</v>
      </c>
      <c r="X29" s="240" t="s">
        <v>86</v>
      </c>
      <c r="Y29" s="240" t="s">
        <v>436</v>
      </c>
      <c r="Z29" s="252" t="s">
        <v>437</v>
      </c>
      <c r="AA29" s="368">
        <v>0.6</v>
      </c>
      <c r="AB29" s="376" t="s">
        <v>131</v>
      </c>
      <c r="AC29" s="379" t="s">
        <v>69</v>
      </c>
      <c r="AD29" s="378">
        <v>46175</v>
      </c>
      <c r="AE29" s="167" t="s">
        <v>2</v>
      </c>
      <c r="AF29" s="178">
        <v>46181</v>
      </c>
      <c r="AG29" s="372">
        <f t="shared" ref="AG29:AG49" si="1">IF(AD29="","Pendiente fecha de asignación de LD",IF(AF29="","",WORKDAY(AF29,IF(AE29="Alta",20,IF(AE29="Media",10,5)))))</f>
        <v>46209</v>
      </c>
      <c r="AH29" s="167"/>
      <c r="AI29" s="183"/>
      <c r="AJ29" s="182"/>
      <c r="AK29" s="168"/>
      <c r="AL29" s="243"/>
      <c r="AM29" s="168"/>
      <c r="AN29" s="265"/>
      <c r="AO29" s="167" t="s">
        <v>218</v>
      </c>
      <c r="AP29" s="168" t="s">
        <v>438</v>
      </c>
    </row>
    <row r="30" spans="1:42" ht="96" hidden="1" customHeight="1">
      <c r="A30" s="364">
        <v>210</v>
      </c>
      <c r="B30" s="245">
        <v>46169.8046412037</v>
      </c>
      <c r="C30" s="245">
        <v>46169.817731481497</v>
      </c>
      <c r="D30" s="247" t="s">
        <v>426</v>
      </c>
      <c r="E30" s="247" t="s">
        <v>427</v>
      </c>
      <c r="F30" s="244" t="s">
        <v>439</v>
      </c>
      <c r="G30" s="244" t="s">
        <v>440</v>
      </c>
      <c r="H30" s="247" t="s">
        <v>430</v>
      </c>
      <c r="I30" s="244" t="s">
        <v>77</v>
      </c>
      <c r="J30" s="244" t="s">
        <v>431</v>
      </c>
      <c r="K30" s="246" t="s">
        <v>441</v>
      </c>
      <c r="L30" s="247" t="s">
        <v>56</v>
      </c>
      <c r="M30" s="245">
        <v>46185</v>
      </c>
      <c r="N30" s="247" t="s">
        <v>57</v>
      </c>
      <c r="O30" s="247">
        <v>0</v>
      </c>
      <c r="P30" s="247">
        <v>0</v>
      </c>
      <c r="Q30" s="361" t="s">
        <v>58</v>
      </c>
      <c r="R30" s="244" t="s">
        <v>442</v>
      </c>
      <c r="S30" s="346" t="s">
        <v>443</v>
      </c>
      <c r="T30" s="244" t="s">
        <v>444</v>
      </c>
      <c r="U30" s="244" t="s">
        <v>162</v>
      </c>
      <c r="V30" s="362" t="s">
        <v>63</v>
      </c>
      <c r="W30" s="247" t="s">
        <v>118</v>
      </c>
      <c r="X30" s="240" t="s">
        <v>86</v>
      </c>
      <c r="Y30" s="240" t="s">
        <v>436</v>
      </c>
      <c r="Z30" s="252" t="s">
        <v>445</v>
      </c>
      <c r="AA30" s="368">
        <v>0.6</v>
      </c>
      <c r="AB30" s="376" t="s">
        <v>165</v>
      </c>
      <c r="AC30" s="379" t="s">
        <v>69</v>
      </c>
      <c r="AD30" s="378">
        <v>46174</v>
      </c>
      <c r="AE30" s="167" t="s">
        <v>3</v>
      </c>
      <c r="AF30" s="178">
        <v>46181</v>
      </c>
      <c r="AG30" s="372">
        <f t="shared" si="1"/>
        <v>46195</v>
      </c>
      <c r="AH30" s="167"/>
      <c r="AI30" s="183"/>
      <c r="AJ30" s="182"/>
      <c r="AK30" s="168"/>
      <c r="AL30" s="243"/>
      <c r="AM30" s="168"/>
      <c r="AN30" s="265"/>
      <c r="AO30" s="167" t="s">
        <v>218</v>
      </c>
      <c r="AP30" s="168"/>
    </row>
    <row r="31" spans="1:42" ht="96" hidden="1" customHeight="1">
      <c r="A31" s="364">
        <v>211</v>
      </c>
      <c r="B31" s="245">
        <v>46169.990219907399</v>
      </c>
      <c r="C31" s="245">
        <v>46169.994224536997</v>
      </c>
      <c r="D31" s="247" t="s">
        <v>48</v>
      </c>
      <c r="E31" s="247" t="s">
        <v>49</v>
      </c>
      <c r="F31" s="244" t="s">
        <v>446</v>
      </c>
      <c r="G31" s="244" t="s">
        <v>111</v>
      </c>
      <c r="H31" s="247" t="s">
        <v>112</v>
      </c>
      <c r="I31" s="244" t="s">
        <v>113</v>
      </c>
      <c r="J31" s="244" t="s">
        <v>159</v>
      </c>
      <c r="K31" s="246" t="s">
        <v>447</v>
      </c>
      <c r="L31" s="247" t="s">
        <v>79</v>
      </c>
      <c r="M31" s="245">
        <v>46209</v>
      </c>
      <c r="N31" s="247" t="s">
        <v>57</v>
      </c>
      <c r="O31" s="247">
        <v>0</v>
      </c>
      <c r="P31" s="247">
        <v>0</v>
      </c>
      <c r="Q31" s="361" t="s">
        <v>58</v>
      </c>
      <c r="R31" s="244" t="s">
        <v>116</v>
      </c>
      <c r="S31" s="346" t="s">
        <v>117</v>
      </c>
      <c r="T31" s="244" t="s">
        <v>448</v>
      </c>
      <c r="U31" s="244" t="s">
        <v>62</v>
      </c>
      <c r="V31" s="362" t="s">
        <v>63</v>
      </c>
      <c r="W31" s="247" t="s">
        <v>118</v>
      </c>
      <c r="X31" s="240" t="s">
        <v>86</v>
      </c>
      <c r="Y31" s="240" t="s">
        <v>163</v>
      </c>
      <c r="Z31" s="252" t="s">
        <v>449</v>
      </c>
      <c r="AA31" s="368">
        <v>1.2</v>
      </c>
      <c r="AB31" s="376" t="s">
        <v>165</v>
      </c>
      <c r="AC31" s="379" t="s">
        <v>69</v>
      </c>
      <c r="AD31" s="378">
        <v>46170</v>
      </c>
      <c r="AE31" s="167" t="s">
        <v>3</v>
      </c>
      <c r="AF31" s="178">
        <v>46181</v>
      </c>
      <c r="AG31" s="372">
        <f t="shared" si="1"/>
        <v>46195</v>
      </c>
      <c r="AH31" s="167"/>
      <c r="AI31" s="183"/>
      <c r="AJ31" s="182"/>
      <c r="AK31" s="168"/>
      <c r="AL31" s="243"/>
      <c r="AM31" s="168"/>
      <c r="AN31" s="265"/>
      <c r="AO31" s="167" t="s">
        <v>218</v>
      </c>
      <c r="AP31" s="168" t="s">
        <v>450</v>
      </c>
    </row>
    <row r="32" spans="1:42" ht="96" hidden="1" customHeight="1">
      <c r="A32" s="364">
        <v>212</v>
      </c>
      <c r="B32" s="245">
        <v>46169.993784722203</v>
      </c>
      <c r="C32" s="245">
        <v>46169.995497685202</v>
      </c>
      <c r="D32" s="247" t="s">
        <v>48</v>
      </c>
      <c r="E32" s="247" t="s">
        <v>49</v>
      </c>
      <c r="F32" s="244" t="s">
        <v>451</v>
      </c>
      <c r="G32" s="244" t="s">
        <v>111</v>
      </c>
      <c r="H32" s="247" t="s">
        <v>112</v>
      </c>
      <c r="I32" s="244" t="s">
        <v>113</v>
      </c>
      <c r="J32" s="244" t="s">
        <v>159</v>
      </c>
      <c r="K32" s="246" t="s">
        <v>452</v>
      </c>
      <c r="L32" s="247" t="s">
        <v>79</v>
      </c>
      <c r="M32" s="245">
        <v>46178</v>
      </c>
      <c r="N32" s="247" t="s">
        <v>57</v>
      </c>
      <c r="O32" s="247">
        <v>0</v>
      </c>
      <c r="P32" s="247">
        <v>0</v>
      </c>
      <c r="Q32" s="361" t="s">
        <v>58</v>
      </c>
      <c r="R32" s="244" t="s">
        <v>116</v>
      </c>
      <c r="S32" s="346" t="s">
        <v>117</v>
      </c>
      <c r="T32" s="244" t="s">
        <v>448</v>
      </c>
      <c r="U32" s="244" t="s">
        <v>62</v>
      </c>
      <c r="V32" s="362" t="s">
        <v>63</v>
      </c>
      <c r="W32" s="247" t="s">
        <v>118</v>
      </c>
      <c r="X32" s="240" t="s">
        <v>86</v>
      </c>
      <c r="Y32" s="240" t="s">
        <v>163</v>
      </c>
      <c r="Z32" s="252" t="s">
        <v>453</v>
      </c>
      <c r="AA32" s="368">
        <v>1.2</v>
      </c>
      <c r="AB32" s="376" t="s">
        <v>156</v>
      </c>
      <c r="AC32" s="379" t="s">
        <v>69</v>
      </c>
      <c r="AD32" s="378">
        <v>46170</v>
      </c>
      <c r="AE32" s="167"/>
      <c r="AF32" s="178"/>
      <c r="AG32" s="372" t="str">
        <f t="shared" si="1"/>
        <v/>
      </c>
      <c r="AH32" s="167"/>
      <c r="AI32" s="183"/>
      <c r="AJ32" s="182"/>
      <c r="AK32" s="168"/>
      <c r="AL32" s="243"/>
      <c r="AM32" s="168"/>
      <c r="AN32" s="265"/>
      <c r="AO32" s="167" t="s">
        <v>192</v>
      </c>
      <c r="AP32" s="168"/>
    </row>
    <row r="33" spans="1:42" ht="96" hidden="1" customHeight="1">
      <c r="A33" s="364">
        <v>213</v>
      </c>
      <c r="B33" s="245">
        <v>46169.994814814803</v>
      </c>
      <c r="C33" s="245">
        <v>46169.996388888903</v>
      </c>
      <c r="D33" s="247" t="s">
        <v>48</v>
      </c>
      <c r="E33" s="247" t="s">
        <v>49</v>
      </c>
      <c r="F33" s="244" t="s">
        <v>454</v>
      </c>
      <c r="G33" s="244" t="s">
        <v>111</v>
      </c>
      <c r="H33" s="247" t="s">
        <v>112</v>
      </c>
      <c r="I33" s="244" t="s">
        <v>113</v>
      </c>
      <c r="J33" s="244" t="s">
        <v>159</v>
      </c>
      <c r="K33" s="246" t="s">
        <v>455</v>
      </c>
      <c r="L33" s="247" t="s">
        <v>79</v>
      </c>
      <c r="M33" s="245">
        <v>46239</v>
      </c>
      <c r="N33" s="247" t="s">
        <v>57</v>
      </c>
      <c r="O33" s="247">
        <v>0</v>
      </c>
      <c r="P33" s="247">
        <v>0</v>
      </c>
      <c r="Q33" s="361" t="s">
        <v>58</v>
      </c>
      <c r="R33" s="244" t="s">
        <v>116</v>
      </c>
      <c r="S33" s="346" t="s">
        <v>117</v>
      </c>
      <c r="T33" s="244" t="s">
        <v>448</v>
      </c>
      <c r="U33" s="244" t="s">
        <v>62</v>
      </c>
      <c r="V33" s="362" t="s">
        <v>63</v>
      </c>
      <c r="W33" s="247" t="s">
        <v>118</v>
      </c>
      <c r="X33" s="240" t="s">
        <v>86</v>
      </c>
      <c r="Y33" s="240" t="s">
        <v>163</v>
      </c>
      <c r="Z33" s="252" t="s">
        <v>456</v>
      </c>
      <c r="AA33" s="368">
        <v>1.2</v>
      </c>
      <c r="AB33" s="376" t="s">
        <v>156</v>
      </c>
      <c r="AC33" s="379" t="s">
        <v>69</v>
      </c>
      <c r="AD33" s="378">
        <v>46170</v>
      </c>
      <c r="AE33" s="167"/>
      <c r="AF33" s="178"/>
      <c r="AG33" s="372" t="str">
        <f t="shared" si="1"/>
        <v/>
      </c>
      <c r="AH33" s="167"/>
      <c r="AI33" s="183"/>
      <c r="AJ33" s="182"/>
      <c r="AK33" s="168"/>
      <c r="AL33" s="243"/>
      <c r="AM33" s="168"/>
      <c r="AN33" s="265"/>
      <c r="AO33" s="167" t="s">
        <v>192</v>
      </c>
      <c r="AP33" s="168"/>
    </row>
    <row r="34" spans="1:42" ht="96" hidden="1" customHeight="1">
      <c r="A34" s="364">
        <v>214</v>
      </c>
      <c r="B34" s="245">
        <v>46169.996284722198</v>
      </c>
      <c r="C34" s="245">
        <v>46169.997106481504</v>
      </c>
      <c r="D34" s="247" t="s">
        <v>48</v>
      </c>
      <c r="E34" s="247" t="s">
        <v>49</v>
      </c>
      <c r="F34" s="244" t="s">
        <v>457</v>
      </c>
      <c r="G34" s="244" t="s">
        <v>111</v>
      </c>
      <c r="H34" s="247" t="s">
        <v>112</v>
      </c>
      <c r="I34" s="244" t="s">
        <v>113</v>
      </c>
      <c r="J34" s="244" t="s">
        <v>159</v>
      </c>
      <c r="K34" s="246" t="s">
        <v>458</v>
      </c>
      <c r="L34" s="247" t="s">
        <v>79</v>
      </c>
      <c r="M34" s="245">
        <v>46239</v>
      </c>
      <c r="N34" s="247" t="s">
        <v>57</v>
      </c>
      <c r="O34" s="247">
        <v>0</v>
      </c>
      <c r="P34" s="247">
        <v>0</v>
      </c>
      <c r="Q34" s="361" t="s">
        <v>58</v>
      </c>
      <c r="R34" s="244" t="s">
        <v>116</v>
      </c>
      <c r="S34" s="346" t="s">
        <v>117</v>
      </c>
      <c r="T34" s="244" t="s">
        <v>448</v>
      </c>
      <c r="U34" s="244" t="s">
        <v>62</v>
      </c>
      <c r="V34" s="362" t="s">
        <v>63</v>
      </c>
      <c r="W34" s="247" t="s">
        <v>118</v>
      </c>
      <c r="X34" s="240" t="s">
        <v>86</v>
      </c>
      <c r="Y34" s="240" t="s">
        <v>163</v>
      </c>
      <c r="Z34" s="252" t="s">
        <v>459</v>
      </c>
      <c r="AA34" s="368">
        <v>1.2</v>
      </c>
      <c r="AB34" s="376" t="s">
        <v>156</v>
      </c>
      <c r="AC34" s="379" t="s">
        <v>69</v>
      </c>
      <c r="AD34" s="378">
        <v>46170</v>
      </c>
      <c r="AE34" s="167"/>
      <c r="AF34" s="178"/>
      <c r="AG34" s="372" t="str">
        <f t="shared" si="1"/>
        <v/>
      </c>
      <c r="AH34" s="167"/>
      <c r="AI34" s="183"/>
      <c r="AJ34" s="182"/>
      <c r="AK34" s="168"/>
      <c r="AL34" s="243"/>
      <c r="AM34" s="168"/>
      <c r="AN34" s="265"/>
      <c r="AO34" s="167" t="s">
        <v>192</v>
      </c>
      <c r="AP34" s="168"/>
    </row>
    <row r="35" spans="1:42" ht="96" hidden="1" customHeight="1">
      <c r="A35" s="364">
        <v>215</v>
      </c>
      <c r="B35" s="245">
        <v>46169.997152777803</v>
      </c>
      <c r="C35" s="245">
        <v>46169.999085648102</v>
      </c>
      <c r="D35" s="247" t="s">
        <v>48</v>
      </c>
      <c r="E35" s="247" t="s">
        <v>49</v>
      </c>
      <c r="F35" s="244" t="s">
        <v>460</v>
      </c>
      <c r="G35" s="244" t="s">
        <v>111</v>
      </c>
      <c r="H35" s="247" t="s">
        <v>112</v>
      </c>
      <c r="I35" s="244" t="s">
        <v>113</v>
      </c>
      <c r="J35" s="244" t="s">
        <v>159</v>
      </c>
      <c r="K35" s="246" t="s">
        <v>461</v>
      </c>
      <c r="L35" s="247" t="s">
        <v>79</v>
      </c>
      <c r="M35" s="245">
        <v>46178</v>
      </c>
      <c r="N35" s="247" t="s">
        <v>57</v>
      </c>
      <c r="O35" s="247">
        <v>0</v>
      </c>
      <c r="P35" s="247">
        <v>0</v>
      </c>
      <c r="Q35" s="361" t="s">
        <v>58</v>
      </c>
      <c r="R35" s="244" t="s">
        <v>116</v>
      </c>
      <c r="S35" s="346" t="s">
        <v>117</v>
      </c>
      <c r="T35" s="244" t="s">
        <v>161</v>
      </c>
      <c r="U35" s="244" t="s">
        <v>319</v>
      </c>
      <c r="V35" s="362" t="s">
        <v>63</v>
      </c>
      <c r="W35" s="247" t="s">
        <v>118</v>
      </c>
      <c r="X35" s="240" t="s">
        <v>86</v>
      </c>
      <c r="Y35" s="240" t="s">
        <v>163</v>
      </c>
      <c r="Z35" s="252" t="s">
        <v>462</v>
      </c>
      <c r="AA35" s="368">
        <v>1.05</v>
      </c>
      <c r="AB35" s="376" t="s">
        <v>156</v>
      </c>
      <c r="AC35" s="379" t="s">
        <v>69</v>
      </c>
      <c r="AD35" s="378">
        <v>46170</v>
      </c>
      <c r="AE35" s="167"/>
      <c r="AF35" s="178"/>
      <c r="AG35" s="372" t="str">
        <f t="shared" si="1"/>
        <v/>
      </c>
      <c r="AH35" s="167"/>
      <c r="AI35" s="183"/>
      <c r="AJ35" s="182"/>
      <c r="AK35" s="168"/>
      <c r="AL35" s="243"/>
      <c r="AM35" s="168"/>
      <c r="AN35" s="265"/>
      <c r="AO35" s="167" t="s">
        <v>192</v>
      </c>
      <c r="AP35" s="168"/>
    </row>
    <row r="36" spans="1:42" ht="96" hidden="1" customHeight="1">
      <c r="A36" s="364">
        <v>216</v>
      </c>
      <c r="B36" s="245">
        <v>46169.998946759297</v>
      </c>
      <c r="C36" s="245">
        <v>46170.000914351898</v>
      </c>
      <c r="D36" s="247" t="s">
        <v>48</v>
      </c>
      <c r="E36" s="247" t="s">
        <v>49</v>
      </c>
      <c r="F36" s="244" t="s">
        <v>463</v>
      </c>
      <c r="G36" s="244" t="s">
        <v>111</v>
      </c>
      <c r="H36" s="247" t="s">
        <v>112</v>
      </c>
      <c r="I36" s="244" t="s">
        <v>113</v>
      </c>
      <c r="J36" s="244" t="s">
        <v>159</v>
      </c>
      <c r="K36" s="246" t="s">
        <v>464</v>
      </c>
      <c r="L36" s="247" t="s">
        <v>79</v>
      </c>
      <c r="M36" s="245">
        <v>46209</v>
      </c>
      <c r="N36" s="247" t="s">
        <v>57</v>
      </c>
      <c r="O36" s="247">
        <v>0</v>
      </c>
      <c r="P36" s="247">
        <v>0</v>
      </c>
      <c r="Q36" s="361" t="s">
        <v>58</v>
      </c>
      <c r="R36" s="244" t="s">
        <v>116</v>
      </c>
      <c r="S36" s="346" t="s">
        <v>117</v>
      </c>
      <c r="T36" s="244" t="s">
        <v>161</v>
      </c>
      <c r="U36" s="244" t="s">
        <v>62</v>
      </c>
      <c r="V36" s="362" t="s">
        <v>63</v>
      </c>
      <c r="W36" s="247" t="s">
        <v>118</v>
      </c>
      <c r="X36" s="240" t="s">
        <v>86</v>
      </c>
      <c r="Y36" s="240" t="s">
        <v>163</v>
      </c>
      <c r="Z36" s="252" t="s">
        <v>465</v>
      </c>
      <c r="AA36" s="368">
        <v>1.2</v>
      </c>
      <c r="AB36" s="376" t="s">
        <v>165</v>
      </c>
      <c r="AC36" s="379" t="s">
        <v>69</v>
      </c>
      <c r="AD36" s="378">
        <v>46170</v>
      </c>
      <c r="AE36" s="167" t="s">
        <v>3</v>
      </c>
      <c r="AF36" s="178">
        <v>46177</v>
      </c>
      <c r="AG36" s="372">
        <f t="shared" si="1"/>
        <v>46191</v>
      </c>
      <c r="AH36" s="167"/>
      <c r="AI36" s="183"/>
      <c r="AJ36" s="182"/>
      <c r="AK36" s="168"/>
      <c r="AL36" s="243"/>
      <c r="AM36" s="168"/>
      <c r="AN36" s="265"/>
      <c r="AO36" s="167" t="s">
        <v>192</v>
      </c>
      <c r="AP36" s="168" t="s">
        <v>466</v>
      </c>
    </row>
    <row r="37" spans="1:42" ht="96" hidden="1" customHeight="1">
      <c r="A37" s="364">
        <v>218</v>
      </c>
      <c r="B37" s="245">
        <v>46170.001956018503</v>
      </c>
      <c r="C37" s="245">
        <v>46170.004374999997</v>
      </c>
      <c r="D37" s="247" t="s">
        <v>48</v>
      </c>
      <c r="E37" s="247" t="s">
        <v>49</v>
      </c>
      <c r="F37" s="244" t="s">
        <v>467</v>
      </c>
      <c r="G37" s="244" t="s">
        <v>111</v>
      </c>
      <c r="H37" s="247" t="s">
        <v>112</v>
      </c>
      <c r="I37" s="244" t="s">
        <v>113</v>
      </c>
      <c r="J37" s="244" t="s">
        <v>159</v>
      </c>
      <c r="K37" s="246" t="s">
        <v>468</v>
      </c>
      <c r="L37" s="247" t="s">
        <v>79</v>
      </c>
      <c r="M37" s="245">
        <v>46209</v>
      </c>
      <c r="N37" s="247" t="s">
        <v>57</v>
      </c>
      <c r="O37" s="247">
        <v>0</v>
      </c>
      <c r="P37" s="247">
        <v>0</v>
      </c>
      <c r="Q37" s="361" t="s">
        <v>58</v>
      </c>
      <c r="R37" s="244" t="s">
        <v>116</v>
      </c>
      <c r="S37" s="346" t="s">
        <v>117</v>
      </c>
      <c r="T37" s="244" t="s">
        <v>117</v>
      </c>
      <c r="U37" s="244" t="s">
        <v>62</v>
      </c>
      <c r="V37" s="362" t="s">
        <v>63</v>
      </c>
      <c r="W37" s="247" t="s">
        <v>118</v>
      </c>
      <c r="X37" s="240" t="s">
        <v>86</v>
      </c>
      <c r="Y37" s="240" t="s">
        <v>163</v>
      </c>
      <c r="Z37" s="252" t="s">
        <v>469</v>
      </c>
      <c r="AA37" s="368">
        <v>1.2</v>
      </c>
      <c r="AB37" s="376" t="s">
        <v>156</v>
      </c>
      <c r="AC37" s="379" t="s">
        <v>69</v>
      </c>
      <c r="AD37" s="378">
        <v>46170</v>
      </c>
      <c r="AE37" s="167"/>
      <c r="AF37" s="178"/>
      <c r="AG37" s="372" t="str">
        <f t="shared" si="1"/>
        <v/>
      </c>
      <c r="AH37" s="167"/>
      <c r="AI37" s="183"/>
      <c r="AJ37" s="182"/>
      <c r="AK37" s="168"/>
      <c r="AL37" s="243"/>
      <c r="AM37" s="168"/>
      <c r="AN37" s="265"/>
      <c r="AO37" s="167" t="s">
        <v>192</v>
      </c>
      <c r="AP37" s="168"/>
    </row>
    <row r="38" spans="1:42" ht="15" hidden="1" customHeight="1">
      <c r="A38" s="364">
        <v>194</v>
      </c>
      <c r="B38" s="245">
        <v>46169.667824074102</v>
      </c>
      <c r="C38" s="245">
        <v>46169.671122685198</v>
      </c>
      <c r="D38" s="247" t="s">
        <v>122</v>
      </c>
      <c r="E38" s="247" t="s">
        <v>123</v>
      </c>
      <c r="F38" s="244" t="s">
        <v>470</v>
      </c>
      <c r="G38" s="244" t="s">
        <v>134</v>
      </c>
      <c r="H38" s="247" t="s">
        <v>112</v>
      </c>
      <c r="I38" s="244" t="s">
        <v>113</v>
      </c>
      <c r="J38" s="244" t="s">
        <v>471</v>
      </c>
      <c r="K38" s="246" t="s">
        <v>472</v>
      </c>
      <c r="L38" s="247" t="s">
        <v>79</v>
      </c>
      <c r="M38" s="245">
        <v>46235</v>
      </c>
      <c r="N38" s="247" t="s">
        <v>57</v>
      </c>
      <c r="O38" s="247">
        <v>0</v>
      </c>
      <c r="P38" s="247">
        <v>0</v>
      </c>
      <c r="Q38" s="361" t="s">
        <v>58</v>
      </c>
      <c r="R38" s="244" t="s">
        <v>128</v>
      </c>
      <c r="S38" s="346" t="s">
        <v>117</v>
      </c>
      <c r="T38" s="244" t="s">
        <v>473</v>
      </c>
      <c r="U38" s="244" t="s">
        <v>62</v>
      </c>
      <c r="V38" s="362" t="s">
        <v>63</v>
      </c>
      <c r="W38" s="247" t="s">
        <v>118</v>
      </c>
      <c r="X38" s="240" t="s">
        <v>86</v>
      </c>
      <c r="Y38" s="240" t="s">
        <v>137</v>
      </c>
      <c r="Z38" s="252" t="s">
        <v>474</v>
      </c>
      <c r="AA38" s="368">
        <v>1.2</v>
      </c>
      <c r="AB38" s="376" t="s">
        <v>106</v>
      </c>
      <c r="AC38" s="379" t="s">
        <v>69</v>
      </c>
      <c r="AD38" s="378">
        <v>46170</v>
      </c>
      <c r="AE38" s="167" t="s">
        <v>3</v>
      </c>
      <c r="AF38" s="178">
        <v>46178</v>
      </c>
      <c r="AG38" s="372">
        <f t="shared" si="1"/>
        <v>46192</v>
      </c>
      <c r="AH38" s="167"/>
      <c r="AI38" s="183"/>
      <c r="AJ38" s="182"/>
      <c r="AK38" s="168"/>
      <c r="AL38" s="243"/>
      <c r="AM38" s="168"/>
      <c r="AN38" s="265"/>
      <c r="AO38" s="167" t="s">
        <v>218</v>
      </c>
      <c r="AP38" s="168"/>
    </row>
    <row r="39" spans="1:42" ht="15" hidden="1" customHeight="1">
      <c r="A39" s="364">
        <v>187</v>
      </c>
      <c r="B39" s="245">
        <v>46169.536921296298</v>
      </c>
      <c r="C39" s="245">
        <v>46169.538877314801</v>
      </c>
      <c r="D39" s="247" t="s">
        <v>108</v>
      </c>
      <c r="E39" s="247" t="s">
        <v>109</v>
      </c>
      <c r="F39" s="244" t="s">
        <v>475</v>
      </c>
      <c r="G39" s="244" t="s">
        <v>111</v>
      </c>
      <c r="H39" s="247" t="s">
        <v>112</v>
      </c>
      <c r="I39" s="244" t="s">
        <v>113</v>
      </c>
      <c r="J39" s="244" t="s">
        <v>159</v>
      </c>
      <c r="K39" s="246" t="s">
        <v>476</v>
      </c>
      <c r="L39" s="247" t="s">
        <v>79</v>
      </c>
      <c r="M39" s="245">
        <v>46239</v>
      </c>
      <c r="N39" s="247" t="s">
        <v>57</v>
      </c>
      <c r="O39" s="247">
        <v>0</v>
      </c>
      <c r="P39" s="247">
        <v>0</v>
      </c>
      <c r="Q39" s="361" t="s">
        <v>58</v>
      </c>
      <c r="R39" s="244" t="s">
        <v>116</v>
      </c>
      <c r="S39" s="346" t="s">
        <v>117</v>
      </c>
      <c r="T39" s="244" t="s">
        <v>117</v>
      </c>
      <c r="U39" s="244" t="s">
        <v>62</v>
      </c>
      <c r="V39" s="362" t="s">
        <v>63</v>
      </c>
      <c r="W39" s="247" t="s">
        <v>118</v>
      </c>
      <c r="X39" s="240" t="s">
        <v>86</v>
      </c>
      <c r="Y39" s="240" t="s">
        <v>477</v>
      </c>
      <c r="Z39" s="252" t="s">
        <v>478</v>
      </c>
      <c r="AA39" s="368">
        <v>1.2</v>
      </c>
      <c r="AB39" s="376" t="s">
        <v>165</v>
      </c>
      <c r="AC39" s="379" t="s">
        <v>69</v>
      </c>
      <c r="AD39" s="378">
        <v>46170</v>
      </c>
      <c r="AE39" s="167" t="s">
        <v>3</v>
      </c>
      <c r="AF39" s="178">
        <v>46181</v>
      </c>
      <c r="AG39" s="372">
        <f t="shared" si="1"/>
        <v>46195</v>
      </c>
      <c r="AH39" s="167"/>
      <c r="AI39" s="183"/>
      <c r="AJ39" s="182"/>
      <c r="AK39" s="168"/>
      <c r="AL39" s="243"/>
      <c r="AM39" s="168"/>
      <c r="AN39" s="265"/>
      <c r="AO39" s="167" t="s">
        <v>218</v>
      </c>
      <c r="AP39" s="168" t="s">
        <v>479</v>
      </c>
    </row>
    <row r="40" spans="1:42" ht="248.25" hidden="1" customHeight="1">
      <c r="A40" s="365">
        <v>222</v>
      </c>
      <c r="B40" s="245">
        <v>46170.377951388902</v>
      </c>
      <c r="C40" s="245">
        <v>46170.668530092596</v>
      </c>
      <c r="D40" s="247" t="s">
        <v>220</v>
      </c>
      <c r="E40" s="247" t="s">
        <v>221</v>
      </c>
      <c r="F40" s="244" t="s">
        <v>480</v>
      </c>
      <c r="G40" s="244" t="s">
        <v>481</v>
      </c>
      <c r="H40" s="247" t="s">
        <v>112</v>
      </c>
      <c r="I40" s="244" t="s">
        <v>113</v>
      </c>
      <c r="J40" s="244" t="s">
        <v>482</v>
      </c>
      <c r="K40" s="246" t="s">
        <v>483</v>
      </c>
      <c r="L40" s="247" t="s">
        <v>226</v>
      </c>
      <c r="M40" s="245">
        <v>46356</v>
      </c>
      <c r="N40" s="247" t="s">
        <v>57</v>
      </c>
      <c r="O40" s="247">
        <v>0</v>
      </c>
      <c r="P40" s="247">
        <v>0</v>
      </c>
      <c r="Q40" s="248" t="s">
        <v>58</v>
      </c>
      <c r="R40" s="244" t="s">
        <v>484</v>
      </c>
      <c r="S40" s="244" t="s">
        <v>485</v>
      </c>
      <c r="T40" s="244" t="s">
        <v>486</v>
      </c>
      <c r="U40" s="244" t="s">
        <v>84</v>
      </c>
      <c r="V40" s="249" t="s">
        <v>63</v>
      </c>
      <c r="W40" s="247" t="s">
        <v>57</v>
      </c>
      <c r="X40" s="240" t="s">
        <v>86</v>
      </c>
      <c r="Y40" s="240" t="s">
        <v>487</v>
      </c>
      <c r="Z40" s="252" t="s">
        <v>488</v>
      </c>
      <c r="AA40" s="368">
        <v>2.1</v>
      </c>
      <c r="AB40" s="376" t="s">
        <v>489</v>
      </c>
      <c r="AC40" s="379"/>
      <c r="AD40" s="378"/>
      <c r="AE40" s="167"/>
      <c r="AF40" s="178"/>
      <c r="AG40" s="372" t="str">
        <f t="shared" si="1"/>
        <v>Pendiente fecha de asignación de LD</v>
      </c>
      <c r="AH40" s="167"/>
      <c r="AI40" s="183"/>
      <c r="AJ40" s="182"/>
      <c r="AK40" s="168"/>
      <c r="AL40" s="243"/>
      <c r="AM40" s="168"/>
      <c r="AN40" s="265"/>
      <c r="AO40" s="167"/>
      <c r="AP40" s="168"/>
    </row>
    <row r="41" spans="1:42" ht="15" hidden="1" customHeight="1">
      <c r="A41" s="364">
        <v>138</v>
      </c>
      <c r="B41" s="245">
        <v>46149.350358796299</v>
      </c>
      <c r="C41" s="245">
        <v>46149.484409722201</v>
      </c>
      <c r="D41" s="247" t="s">
        <v>490</v>
      </c>
      <c r="E41" s="247" t="s">
        <v>491</v>
      </c>
      <c r="F41" s="244" t="s">
        <v>492</v>
      </c>
      <c r="G41" s="244" t="s">
        <v>493</v>
      </c>
      <c r="H41" s="247" t="s">
        <v>112</v>
      </c>
      <c r="I41" s="244" t="s">
        <v>224</v>
      </c>
      <c r="J41" s="244" t="s">
        <v>494</v>
      </c>
      <c r="K41" s="246" t="s">
        <v>495</v>
      </c>
      <c r="L41" s="247" t="s">
        <v>56</v>
      </c>
      <c r="M41" s="245">
        <v>46172</v>
      </c>
      <c r="N41" s="247" t="s">
        <v>57</v>
      </c>
      <c r="O41" s="247">
        <v>0</v>
      </c>
      <c r="P41" s="247">
        <v>0</v>
      </c>
      <c r="Q41" s="361" t="s">
        <v>58</v>
      </c>
      <c r="R41" s="244" t="s">
        <v>496</v>
      </c>
      <c r="S41" s="244" t="s">
        <v>497</v>
      </c>
      <c r="T41" s="244" t="s">
        <v>498</v>
      </c>
      <c r="U41" s="244" t="s">
        <v>62</v>
      </c>
      <c r="V41" s="362" t="s">
        <v>365</v>
      </c>
      <c r="W41" s="247" t="s">
        <v>57</v>
      </c>
      <c r="X41" s="240" t="s">
        <v>86</v>
      </c>
      <c r="Y41" s="240" t="s">
        <v>499</v>
      </c>
      <c r="Z41" s="252"/>
      <c r="AA41" s="368">
        <v>1.3</v>
      </c>
      <c r="AB41" s="376" t="s">
        <v>165</v>
      </c>
      <c r="AC41" s="379" t="s">
        <v>69</v>
      </c>
      <c r="AD41" s="378">
        <v>46171</v>
      </c>
      <c r="AE41" s="167" t="s">
        <v>3</v>
      </c>
      <c r="AF41" s="178">
        <v>46177</v>
      </c>
      <c r="AG41" s="372">
        <f t="shared" si="1"/>
        <v>46191</v>
      </c>
      <c r="AH41" s="167"/>
      <c r="AI41" s="183"/>
      <c r="AJ41" s="182"/>
      <c r="AK41" s="168"/>
      <c r="AL41" s="243"/>
      <c r="AM41" s="168"/>
      <c r="AN41" s="265"/>
      <c r="AO41" s="167" t="s">
        <v>218</v>
      </c>
      <c r="AP41" s="168"/>
    </row>
    <row r="42" spans="1:42" ht="15" hidden="1" customHeight="1">
      <c r="A42" s="364">
        <v>223</v>
      </c>
      <c r="B42" s="245">
        <v>46170.759953703702</v>
      </c>
      <c r="C42" s="245">
        <v>46170.7745138889</v>
      </c>
      <c r="D42" s="247" t="s">
        <v>48</v>
      </c>
      <c r="E42" s="247" t="s">
        <v>49</v>
      </c>
      <c r="F42" s="244" t="s">
        <v>500</v>
      </c>
      <c r="G42" s="244" t="s">
        <v>501</v>
      </c>
      <c r="H42" s="247" t="s">
        <v>52</v>
      </c>
      <c r="I42" s="244" t="s">
        <v>53</v>
      </c>
      <c r="J42" s="244" t="s">
        <v>502</v>
      </c>
      <c r="K42" s="246" t="s">
        <v>503</v>
      </c>
      <c r="L42" s="247" t="s">
        <v>56</v>
      </c>
      <c r="M42" s="245">
        <v>46185</v>
      </c>
      <c r="N42" s="247" t="s">
        <v>57</v>
      </c>
      <c r="O42" s="247">
        <v>0</v>
      </c>
      <c r="P42" s="247">
        <v>0</v>
      </c>
      <c r="Q42" s="361" t="s">
        <v>58</v>
      </c>
      <c r="R42" s="244" t="s">
        <v>504</v>
      </c>
      <c r="S42" s="244" t="s">
        <v>505</v>
      </c>
      <c r="T42" s="244" t="s">
        <v>506</v>
      </c>
      <c r="U42" s="244" t="s">
        <v>62</v>
      </c>
      <c r="V42" s="362" t="s">
        <v>211</v>
      </c>
      <c r="W42" s="247" t="s">
        <v>57</v>
      </c>
      <c r="X42" s="240" t="s">
        <v>507</v>
      </c>
      <c r="Y42" s="240" t="s">
        <v>508</v>
      </c>
      <c r="Z42" s="252" t="s">
        <v>509</v>
      </c>
      <c r="AA42" s="368">
        <v>1.7</v>
      </c>
      <c r="AB42" s="376" t="s">
        <v>165</v>
      </c>
      <c r="AC42" s="379" t="s">
        <v>69</v>
      </c>
      <c r="AD42" s="378">
        <v>46174</v>
      </c>
      <c r="AE42" s="167" t="s">
        <v>3</v>
      </c>
      <c r="AF42" s="178">
        <v>46181</v>
      </c>
      <c r="AG42" s="372">
        <f t="shared" si="1"/>
        <v>46195</v>
      </c>
      <c r="AH42" s="167"/>
      <c r="AI42" s="183"/>
      <c r="AJ42" s="182"/>
      <c r="AK42" s="168"/>
      <c r="AL42" s="243"/>
      <c r="AM42" s="168"/>
      <c r="AN42" s="265"/>
      <c r="AO42" s="167" t="s">
        <v>218</v>
      </c>
      <c r="AP42" s="168" t="s">
        <v>510</v>
      </c>
    </row>
    <row r="43" spans="1:42" ht="15" hidden="1" customHeight="1">
      <c r="A43" s="364">
        <v>121</v>
      </c>
      <c r="B43" s="245">
        <v>46140.764629629601</v>
      </c>
      <c r="C43" s="245">
        <v>46140.901574074102</v>
      </c>
      <c r="D43" s="247" t="s">
        <v>490</v>
      </c>
      <c r="E43" s="247" t="s">
        <v>491</v>
      </c>
      <c r="F43" s="244" t="s">
        <v>511</v>
      </c>
      <c r="G43" s="244" t="s">
        <v>512</v>
      </c>
      <c r="H43" s="247" t="s">
        <v>52</v>
      </c>
      <c r="I43" s="244" t="s">
        <v>224</v>
      </c>
      <c r="J43" s="244" t="s">
        <v>494</v>
      </c>
      <c r="K43" s="246"/>
      <c r="L43" s="247" t="s">
        <v>56</v>
      </c>
      <c r="M43" s="245">
        <v>46157</v>
      </c>
      <c r="N43" s="247" t="s">
        <v>57</v>
      </c>
      <c r="O43" s="247"/>
      <c r="P43" s="247"/>
      <c r="Q43" s="361" t="s">
        <v>58</v>
      </c>
      <c r="R43" s="244" t="s">
        <v>513</v>
      </c>
      <c r="S43" s="244" t="s">
        <v>514</v>
      </c>
      <c r="T43" s="244" t="s">
        <v>515</v>
      </c>
      <c r="U43" s="244" t="s">
        <v>62</v>
      </c>
      <c r="V43" s="362" t="s">
        <v>365</v>
      </c>
      <c r="W43" s="247" t="s">
        <v>57</v>
      </c>
      <c r="X43" s="240" t="s">
        <v>65</v>
      </c>
      <c r="Y43" s="240" t="s">
        <v>516</v>
      </c>
      <c r="Z43" s="252"/>
      <c r="AA43" s="368">
        <v>1.1499999999999999</v>
      </c>
      <c r="AB43" s="376" t="s">
        <v>214</v>
      </c>
      <c r="AC43" s="379" t="s">
        <v>69</v>
      </c>
      <c r="AD43" s="378">
        <v>46142</v>
      </c>
      <c r="AE43" s="167" t="s">
        <v>3</v>
      </c>
      <c r="AF43" s="178">
        <v>46149</v>
      </c>
      <c r="AG43" s="372">
        <v>46149</v>
      </c>
      <c r="AH43" s="167">
        <v>1</v>
      </c>
      <c r="AI43" s="183"/>
      <c r="AJ43" s="182"/>
      <c r="AK43" s="168" t="s">
        <v>517</v>
      </c>
      <c r="AL43" s="243" t="s">
        <v>216</v>
      </c>
      <c r="AM43" s="168" t="s">
        <v>518</v>
      </c>
      <c r="AN43" s="265"/>
      <c r="AO43" s="265" t="s">
        <v>192</v>
      </c>
      <c r="AP43" s="168"/>
    </row>
    <row r="44" spans="1:42" ht="15" hidden="1" customHeight="1">
      <c r="A44" s="364">
        <v>224</v>
      </c>
      <c r="B44" s="245">
        <v>46175.551284722198</v>
      </c>
      <c r="C44" s="245">
        <v>46175.568969907399</v>
      </c>
      <c r="D44" s="247" t="s">
        <v>48</v>
      </c>
      <c r="E44" s="247" t="s">
        <v>49</v>
      </c>
      <c r="F44" s="244" t="s">
        <v>519</v>
      </c>
      <c r="G44" s="244" t="s">
        <v>520</v>
      </c>
      <c r="H44" s="247" t="s">
        <v>52</v>
      </c>
      <c r="I44" s="244" t="s">
        <v>53</v>
      </c>
      <c r="J44" s="244" t="s">
        <v>54</v>
      </c>
      <c r="K44" s="246" t="s">
        <v>521</v>
      </c>
      <c r="L44" s="247" t="s">
        <v>56</v>
      </c>
      <c r="M44" s="245">
        <v>46178</v>
      </c>
      <c r="N44" s="247" t="s">
        <v>57</v>
      </c>
      <c r="O44" s="247">
        <v>0</v>
      </c>
      <c r="P44" s="247">
        <v>0</v>
      </c>
      <c r="Q44" s="361" t="s">
        <v>522</v>
      </c>
      <c r="R44" s="244" t="s">
        <v>523</v>
      </c>
      <c r="S44" s="244" t="s">
        <v>524</v>
      </c>
      <c r="T44" s="244" t="s">
        <v>525</v>
      </c>
      <c r="U44" s="244" t="s">
        <v>62</v>
      </c>
      <c r="V44" s="362" t="s">
        <v>526</v>
      </c>
      <c r="W44" s="247" t="s">
        <v>57</v>
      </c>
      <c r="X44" s="240" t="s">
        <v>86</v>
      </c>
      <c r="Y44" s="240" t="s">
        <v>527</v>
      </c>
      <c r="Z44" s="252" t="s">
        <v>528</v>
      </c>
      <c r="AA44" s="368">
        <v>2.9</v>
      </c>
      <c r="AB44" s="376" t="s">
        <v>156</v>
      </c>
      <c r="AC44" s="379" t="s">
        <v>69</v>
      </c>
      <c r="AD44" s="378">
        <v>46177</v>
      </c>
      <c r="AE44" s="167" t="s">
        <v>3</v>
      </c>
      <c r="AF44" s="178">
        <v>46181</v>
      </c>
      <c r="AG44" s="372">
        <f t="shared" si="1"/>
        <v>46195</v>
      </c>
      <c r="AH44" s="167"/>
      <c r="AI44" s="183"/>
      <c r="AJ44" s="182"/>
      <c r="AK44" s="168"/>
      <c r="AL44" s="243"/>
      <c r="AM44" s="168"/>
      <c r="AN44" s="265"/>
      <c r="AO44" s="265" t="s">
        <v>218</v>
      </c>
      <c r="AP44" s="168"/>
    </row>
    <row r="45" spans="1:42" ht="15" hidden="1" customHeight="1">
      <c r="A45" s="364">
        <v>176</v>
      </c>
      <c r="B45" s="245">
        <v>46168</v>
      </c>
      <c r="C45" s="245">
        <v>46168</v>
      </c>
      <c r="D45" s="247" t="s">
        <v>529</v>
      </c>
      <c r="E45" s="247" t="s">
        <v>530</v>
      </c>
      <c r="F45" s="244" t="s">
        <v>531</v>
      </c>
      <c r="G45" s="244" t="s">
        <v>532</v>
      </c>
      <c r="H45" s="247" t="s">
        <v>76</v>
      </c>
      <c r="I45" s="244" t="s">
        <v>533</v>
      </c>
      <c r="J45" s="244" t="s">
        <v>534</v>
      </c>
      <c r="K45" s="246" t="s">
        <v>535</v>
      </c>
      <c r="L45" s="247" t="s">
        <v>56</v>
      </c>
      <c r="M45" s="245">
        <v>46387</v>
      </c>
      <c r="N45" s="247" t="s">
        <v>118</v>
      </c>
      <c r="O45" s="247" t="s">
        <v>536</v>
      </c>
      <c r="P45" s="247">
        <v>77768</v>
      </c>
      <c r="Q45" s="361" t="s">
        <v>58</v>
      </c>
      <c r="R45" s="244" t="s">
        <v>537</v>
      </c>
      <c r="S45" s="244" t="s">
        <v>538</v>
      </c>
      <c r="T45" s="244" t="s">
        <v>539</v>
      </c>
      <c r="U45" s="244" t="s">
        <v>162</v>
      </c>
      <c r="V45" s="362" t="s">
        <v>63</v>
      </c>
      <c r="W45" s="247" t="s">
        <v>57</v>
      </c>
      <c r="X45" s="240" t="s">
        <v>507</v>
      </c>
      <c r="Y45" s="240" t="s">
        <v>540</v>
      </c>
      <c r="Z45" s="252" t="s">
        <v>541</v>
      </c>
      <c r="AA45" s="368" t="s">
        <v>542</v>
      </c>
      <c r="AB45" s="376" t="s">
        <v>68</v>
      </c>
      <c r="AC45" s="379" t="s">
        <v>69</v>
      </c>
      <c r="AD45" s="378">
        <v>46177</v>
      </c>
      <c r="AE45" s="167"/>
      <c r="AF45" s="178"/>
      <c r="AG45" s="372" t="str">
        <f t="shared" si="1"/>
        <v/>
      </c>
      <c r="AH45" s="167"/>
      <c r="AI45" s="183"/>
      <c r="AJ45" s="182"/>
      <c r="AK45" s="168"/>
      <c r="AL45" s="243"/>
      <c r="AM45" s="168"/>
      <c r="AN45" s="265"/>
      <c r="AO45" s="265" t="s">
        <v>192</v>
      </c>
      <c r="AP45" s="168"/>
    </row>
    <row r="46" spans="1:42" ht="15" hidden="1" customHeight="1">
      <c r="A46" s="364">
        <v>177</v>
      </c>
      <c r="B46" s="245">
        <v>46168</v>
      </c>
      <c r="C46" s="245">
        <v>46168</v>
      </c>
      <c r="D46" s="247" t="s">
        <v>529</v>
      </c>
      <c r="E46" s="247" t="s">
        <v>530</v>
      </c>
      <c r="F46" s="244" t="s">
        <v>543</v>
      </c>
      <c r="G46" s="244" t="s">
        <v>544</v>
      </c>
      <c r="H46" s="247" t="s">
        <v>76</v>
      </c>
      <c r="I46" s="244" t="s">
        <v>533</v>
      </c>
      <c r="J46" s="244" t="s">
        <v>534</v>
      </c>
      <c r="K46" s="246" t="s">
        <v>545</v>
      </c>
      <c r="L46" s="247" t="s">
        <v>56</v>
      </c>
      <c r="M46" s="245">
        <v>46387</v>
      </c>
      <c r="N46" s="247" t="s">
        <v>118</v>
      </c>
      <c r="O46" s="247" t="s">
        <v>536</v>
      </c>
      <c r="P46" s="247">
        <v>77768</v>
      </c>
      <c r="Q46" s="361" t="s">
        <v>58</v>
      </c>
      <c r="R46" s="244" t="s">
        <v>546</v>
      </c>
      <c r="S46" s="244" t="s">
        <v>547</v>
      </c>
      <c r="T46" s="244" t="s">
        <v>548</v>
      </c>
      <c r="U46" s="244" t="s">
        <v>162</v>
      </c>
      <c r="V46" s="362" t="s">
        <v>63</v>
      </c>
      <c r="W46" s="247" t="s">
        <v>57</v>
      </c>
      <c r="X46" s="240" t="s">
        <v>507</v>
      </c>
      <c r="Y46" s="240" t="s">
        <v>549</v>
      </c>
      <c r="Z46" s="252" t="s">
        <v>550</v>
      </c>
      <c r="AA46" s="368" t="s">
        <v>542</v>
      </c>
      <c r="AB46" s="376" t="s">
        <v>68</v>
      </c>
      <c r="AC46" s="379" t="s">
        <v>69</v>
      </c>
      <c r="AD46" s="378">
        <v>46177</v>
      </c>
      <c r="AE46" s="167"/>
      <c r="AF46" s="178"/>
      <c r="AG46" s="372" t="str">
        <f t="shared" si="1"/>
        <v/>
      </c>
      <c r="AH46" s="167"/>
      <c r="AI46" s="183"/>
      <c r="AJ46" s="182"/>
      <c r="AK46" s="168"/>
      <c r="AL46" s="243"/>
      <c r="AM46" s="168"/>
      <c r="AN46" s="265"/>
      <c r="AO46" s="265" t="s">
        <v>192</v>
      </c>
      <c r="AP46" s="168"/>
    </row>
    <row r="47" spans="1:42" ht="15" hidden="1" customHeight="1">
      <c r="A47" s="364">
        <v>178</v>
      </c>
      <c r="B47" s="245">
        <v>46168</v>
      </c>
      <c r="C47" s="245">
        <v>46168</v>
      </c>
      <c r="D47" s="247" t="s">
        <v>529</v>
      </c>
      <c r="E47" s="247" t="s">
        <v>530</v>
      </c>
      <c r="F47" s="244" t="s">
        <v>551</v>
      </c>
      <c r="G47" s="244" t="s">
        <v>552</v>
      </c>
      <c r="H47" s="247" t="s">
        <v>112</v>
      </c>
      <c r="I47" s="244" t="s">
        <v>113</v>
      </c>
      <c r="J47" s="244" t="s">
        <v>553</v>
      </c>
      <c r="K47" s="246" t="s">
        <v>554</v>
      </c>
      <c r="L47" s="247" t="s">
        <v>56</v>
      </c>
      <c r="M47" s="245">
        <v>46387</v>
      </c>
      <c r="N47" s="247" t="s">
        <v>118</v>
      </c>
      <c r="O47" s="247" t="s">
        <v>536</v>
      </c>
      <c r="P47" s="247">
        <v>77769</v>
      </c>
      <c r="Q47" s="361" t="s">
        <v>58</v>
      </c>
      <c r="R47" s="244" t="s">
        <v>555</v>
      </c>
      <c r="S47" s="244" t="s">
        <v>556</v>
      </c>
      <c r="T47" s="244" t="s">
        <v>557</v>
      </c>
      <c r="U47" s="244" t="s">
        <v>84</v>
      </c>
      <c r="V47" s="362" t="s">
        <v>63</v>
      </c>
      <c r="W47" s="247" t="s">
        <v>57</v>
      </c>
      <c r="X47" s="240" t="s">
        <v>507</v>
      </c>
      <c r="Y47" s="240" t="s">
        <v>558</v>
      </c>
      <c r="Z47" s="252" t="s">
        <v>559</v>
      </c>
      <c r="AA47" s="368">
        <v>3</v>
      </c>
      <c r="AB47" s="376" t="s">
        <v>68</v>
      </c>
      <c r="AC47" s="379" t="s">
        <v>69</v>
      </c>
      <c r="AD47" s="378">
        <v>46177</v>
      </c>
      <c r="AE47" s="167"/>
      <c r="AF47" s="178"/>
      <c r="AG47" s="372" t="str">
        <f t="shared" si="1"/>
        <v/>
      </c>
      <c r="AH47" s="167"/>
      <c r="AI47" s="183"/>
      <c r="AJ47" s="182"/>
      <c r="AK47" s="168"/>
      <c r="AL47" s="243"/>
      <c r="AM47" s="168"/>
      <c r="AN47" s="265"/>
      <c r="AO47" s="265" t="s">
        <v>192</v>
      </c>
      <c r="AP47" s="168"/>
    </row>
    <row r="48" spans="1:42" ht="15" hidden="1" customHeight="1">
      <c r="A48" s="364">
        <v>179</v>
      </c>
      <c r="B48" s="245">
        <v>46168</v>
      </c>
      <c r="C48" s="245">
        <v>46168</v>
      </c>
      <c r="D48" s="247" t="s">
        <v>529</v>
      </c>
      <c r="E48" s="247" t="s">
        <v>530</v>
      </c>
      <c r="F48" s="244" t="s">
        <v>560</v>
      </c>
      <c r="G48" s="244" t="s">
        <v>561</v>
      </c>
      <c r="H48" s="247" t="s">
        <v>112</v>
      </c>
      <c r="I48" s="244" t="s">
        <v>113</v>
      </c>
      <c r="J48" s="244" t="s">
        <v>553</v>
      </c>
      <c r="K48" s="246" t="s">
        <v>562</v>
      </c>
      <c r="L48" s="247" t="s">
        <v>56</v>
      </c>
      <c r="M48" s="245">
        <v>46387</v>
      </c>
      <c r="N48" s="247" t="s">
        <v>118</v>
      </c>
      <c r="O48" s="247" t="s">
        <v>536</v>
      </c>
      <c r="P48" s="247">
        <v>77769</v>
      </c>
      <c r="Q48" s="361" t="s">
        <v>58</v>
      </c>
      <c r="R48" s="244" t="s">
        <v>563</v>
      </c>
      <c r="S48" s="244" t="s">
        <v>564</v>
      </c>
      <c r="T48" s="244" t="s">
        <v>565</v>
      </c>
      <c r="U48" s="244" t="s">
        <v>62</v>
      </c>
      <c r="V48" s="362" t="s">
        <v>63</v>
      </c>
      <c r="W48" s="247" t="s">
        <v>57</v>
      </c>
      <c r="X48" s="240" t="s">
        <v>230</v>
      </c>
      <c r="Y48" s="240" t="s">
        <v>566</v>
      </c>
      <c r="Z48" s="252" t="s">
        <v>567</v>
      </c>
      <c r="AA48" s="368" t="s">
        <v>568</v>
      </c>
      <c r="AB48" s="376" t="s">
        <v>68</v>
      </c>
      <c r="AC48" s="379" t="s">
        <v>69</v>
      </c>
      <c r="AD48" s="378">
        <v>46177</v>
      </c>
      <c r="AE48" s="167"/>
      <c r="AF48" s="178"/>
      <c r="AG48" s="372" t="str">
        <f t="shared" si="1"/>
        <v/>
      </c>
      <c r="AH48" s="167"/>
      <c r="AI48" s="183"/>
      <c r="AJ48" s="182"/>
      <c r="AK48" s="168"/>
      <c r="AL48" s="243"/>
      <c r="AM48" s="168"/>
      <c r="AN48" s="265"/>
      <c r="AO48" s="265" t="s">
        <v>192</v>
      </c>
      <c r="AP48" s="168"/>
    </row>
    <row r="49" spans="1:42" ht="15" hidden="1" customHeight="1">
      <c r="A49" s="364">
        <v>180</v>
      </c>
      <c r="B49" s="245">
        <v>46168</v>
      </c>
      <c r="C49" s="245">
        <v>46168</v>
      </c>
      <c r="D49" s="247" t="s">
        <v>529</v>
      </c>
      <c r="E49" s="247" t="s">
        <v>530</v>
      </c>
      <c r="F49" s="244" t="s">
        <v>569</v>
      </c>
      <c r="G49" s="244" t="s">
        <v>570</v>
      </c>
      <c r="H49" s="247" t="s">
        <v>112</v>
      </c>
      <c r="I49" s="244" t="s">
        <v>113</v>
      </c>
      <c r="J49" s="244" t="s">
        <v>553</v>
      </c>
      <c r="K49" s="246" t="s">
        <v>571</v>
      </c>
      <c r="L49" s="247" t="s">
        <v>56</v>
      </c>
      <c r="M49" s="245">
        <v>46387</v>
      </c>
      <c r="N49" s="247" t="s">
        <v>118</v>
      </c>
      <c r="O49" s="247" t="s">
        <v>536</v>
      </c>
      <c r="P49" s="247">
        <v>77769</v>
      </c>
      <c r="Q49" s="361" t="s">
        <v>58</v>
      </c>
      <c r="R49" s="244" t="s">
        <v>572</v>
      </c>
      <c r="S49" s="244" t="s">
        <v>573</v>
      </c>
      <c r="T49" s="244" t="s">
        <v>574</v>
      </c>
      <c r="U49" s="244" t="s">
        <v>162</v>
      </c>
      <c r="V49" s="362" t="s">
        <v>63</v>
      </c>
      <c r="W49" s="247" t="s">
        <v>57</v>
      </c>
      <c r="X49" s="240" t="s">
        <v>230</v>
      </c>
      <c r="Y49" s="240" t="s">
        <v>575</v>
      </c>
      <c r="Z49" s="252" t="s">
        <v>576</v>
      </c>
      <c r="AA49" s="368" t="s">
        <v>577</v>
      </c>
      <c r="AB49" s="376" t="s">
        <v>68</v>
      </c>
      <c r="AC49" s="379" t="s">
        <v>69</v>
      </c>
      <c r="AD49" s="378">
        <v>46177</v>
      </c>
      <c r="AE49" s="167"/>
      <c r="AF49" s="178"/>
      <c r="AG49" s="372" t="str">
        <f t="shared" si="1"/>
        <v/>
      </c>
      <c r="AH49" s="167"/>
      <c r="AI49" s="183"/>
      <c r="AJ49" s="182"/>
      <c r="AK49" s="168"/>
      <c r="AL49" s="243"/>
      <c r="AM49" s="168"/>
      <c r="AN49" s="265"/>
      <c r="AO49" s="265" t="s">
        <v>192</v>
      </c>
      <c r="AP49" s="168"/>
    </row>
    <row r="50" spans="1:42" ht="83.25" customHeight="1">
      <c r="A50" s="364">
        <v>188</v>
      </c>
      <c r="B50" s="245">
        <v>46169.524259259299</v>
      </c>
      <c r="C50" s="245">
        <v>46169.550127314797</v>
      </c>
      <c r="D50" s="247" t="s">
        <v>578</v>
      </c>
      <c r="E50" s="247" t="s">
        <v>579</v>
      </c>
      <c r="F50" s="244" t="s">
        <v>580</v>
      </c>
      <c r="G50" s="244" t="s">
        <v>581</v>
      </c>
      <c r="H50" s="247" t="s">
        <v>76</v>
      </c>
      <c r="I50" s="244" t="s">
        <v>251</v>
      </c>
      <c r="J50" s="244" t="s">
        <v>582</v>
      </c>
      <c r="K50" s="246" t="s">
        <v>583</v>
      </c>
      <c r="L50" s="247" t="s">
        <v>237</v>
      </c>
      <c r="M50" s="245">
        <v>46203</v>
      </c>
      <c r="N50" s="247" t="s">
        <v>57</v>
      </c>
      <c r="O50" s="247">
        <v>0</v>
      </c>
      <c r="P50" s="247">
        <v>0</v>
      </c>
      <c r="Q50" s="361" t="s">
        <v>584</v>
      </c>
      <c r="R50" s="244" t="s">
        <v>585</v>
      </c>
      <c r="S50" s="244" t="s">
        <v>586</v>
      </c>
      <c r="T50" s="244" t="s">
        <v>587</v>
      </c>
      <c r="U50" s="244" t="s">
        <v>84</v>
      </c>
      <c r="V50" s="362" t="s">
        <v>63</v>
      </c>
      <c r="W50" s="247" t="s">
        <v>57</v>
      </c>
      <c r="X50" s="240" t="s">
        <v>86</v>
      </c>
      <c r="Y50" s="240" t="s">
        <v>588</v>
      </c>
      <c r="Z50" s="252" t="s">
        <v>589</v>
      </c>
      <c r="AA50" s="368">
        <v>2.1</v>
      </c>
      <c r="AB50" s="376"/>
      <c r="AC50" s="379"/>
      <c r="AD50" s="378"/>
      <c r="AE50" s="167"/>
      <c r="AF50" s="178"/>
      <c r="AG50" s="372"/>
      <c r="AH50" s="167"/>
      <c r="AI50" s="183"/>
      <c r="AJ50" s="182"/>
      <c r="AK50" s="168"/>
      <c r="AL50" s="243"/>
      <c r="AM50" s="168"/>
      <c r="AN50" s="265"/>
      <c r="AO50" s="265"/>
      <c r="AP50" s="168"/>
    </row>
  </sheetData>
  <sheetProtection algorithmName="SHA-512" hashValue="jAGGPdk6TMLnRWcJG9EUZ+Gqv9XMpUcKDy7Npw59gqZLYUk+/QOQTWAhx8gjrusQMyB1wIGDcG/e6wb3ZO6gQQ==" saltValue="kcNOaFZSF/gB9mSWjsNNaw==" spinCount="100000" sheet="1" autoFilter="0"/>
  <protectedRanges>
    <protectedRange algorithmName="SHA-512" hashValue="22rEZDOLaaAzExp0xxQCGNby3L6gXjGHIg9yH60f4Eq8XFziCgY0/JIYc2E2Nq4g+VRVZfuCR88Vp60KM5L1Fw==" saltValue="qJpW/Ecdk5+EDugQ3hU7fw==" spinCount="100000" sqref="A1:J1 L1:AA1" name="Rango1"/>
    <protectedRange algorithmName="SHA-512" hashValue="22rEZDOLaaAzExp0xxQCGNby3L6gXjGHIg9yH60f4Eq8XFziCgY0/JIYc2E2Nq4g+VRVZfuCR88Vp60KM5L1Fw==" saltValue="qJpW/Ecdk5+EDugQ3hU7fw==" spinCount="100000" sqref="K1" name="Rango1_1"/>
  </protectedRanges>
  <autoFilter ref="A1:AP49" xr:uid="{E2995521-A973-4EBC-930E-5DF1CF46E120}">
    <filterColumn colId="27">
      <filters>
        <filter val="Elmer Zapata"/>
      </filters>
    </filterColumn>
  </autoFilter>
  <dataValidations count="1">
    <dataValidation type="list" allowBlank="1" showInputMessage="1" showErrorMessage="1" sqref="AE2:AE49" xr:uid="{03B2C43F-7577-4612-8204-C954FFD6DC72}">
      <formula1>ComplejidadEstimación</formula1>
    </dataValidation>
  </dataValidations>
  <hyperlinks>
    <hyperlink ref="Z7" r:id="rId1" xr:uid="{3ACCBAE5-90BC-41E6-B8B7-9FF7D754FBF3}"/>
    <hyperlink ref="Z5" r:id="rId2" display="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 xr:uid="{405E6DB8-CAD6-4635-9A1D-014E109E04F5}"/>
    <hyperlink ref="Z11" r:id="rId3" display="https://educorpperu-my.sharepoint.com/personal/diana_zapata_laureate_pe1/_layouts/15/Doc.aspx?sourcedoc=%7BA0EE780B-D66F-42EC-83A6-4E699CDA9EE9%7D&amp;file=Solicitud%20de%20requerimientos%20Idea%20nueva%20y%20mejo_Angela%20Lucano%20Carran%203.pptx&amp;action=edit&amp;mobileredirect=true" xr:uid="{595B1D7C-829E-4492-8890-822E69DEF1D5}"/>
    <hyperlink ref="Z12" r:id="rId4"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11" r:id="rId5" display="https://educorpperu-my.sharepoint.com/personal/diana_zapata_laureate_pe1/Documents/Aplicaciones/Microsoft%20Forms/REGISTRO%20DE%20INICIATIVAS%20-%20GESTI%C3%93N%20DE%20LA%20DEMANDA%20(2%201/Pregunta/RE_%20Requerimiento%20-%20Soporte%20para%20despliegue%20d_Angela%20Lucano%20Carran.pdf" xr:uid="{64B5AC7D-C539-489D-9433-ED8920B83A00}"/>
    <hyperlink ref="K12" r:id="rId6"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K13" r:id="rId7" display="https://educorpperu-my.sharepoint.com/personal/diana_zapata_laureate_pe1/Documents/Aplicaciones/Microsoft%20Forms/REGISTRO%20DE%20INICIATIVAS%20-%20GESTI%C3%93N%20DE%20LA%20DEMANDA%20(2%201/Pregunta/RV_RITM0615294-Problemas%20en%20Portal_Angela%20Lucano%20Carran.pdf" xr:uid="{A00627CF-44B4-4B0F-9A75-5378EF56A4A6}"/>
    <hyperlink ref="K14" r:id="rId8" display="https://educorpperu-my.sharepoint.com/personal/diana_zapata_laureate_pe1/Documents/Aplicaciones/Microsoft%20Forms/REGISTRO%20DE%20INICIATIVAS%20-%20GESTI%C3%93N%20DE%20LA%20DEMANDA%20(2%201/Pregunta/RV_RITM0615294-Problemas%20en%20Portal_Angela%20Lucano%20Carran%201.pdf" xr:uid="{79C5FF61-2180-4E9E-8BE8-598C28B27E51}"/>
    <hyperlink ref="Z20" r:id="rId9"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 ref="Z18" r:id="rId10" display="https://educorpperu-my.sharepoint.com/personal/diana_zapata_laureate_pe1/_layouts/15/Doc.aspx?sourcedoc=%7BD89DCF38-9B8C-468D-88D9-0CA782BE04B7%7D&amp;file=Solicitud%20de%20Requerimiento%20-%20Teams%20en%20CRM_Angela%20Lucano%20Carran.pptx&amp;action=edit&amp;mobileredirect=true" xr:uid="{240BCB37-DA74-4171-87D3-4A15FF55F58C}"/>
  </hyperlinks>
  <pageMargins left="0.7" right="0.7" top="0.75" bottom="0.75" header="0.3" footer="0.3"/>
  <pageSetup paperSize="9" orientation="portrait" r:id="rId11"/>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AR13"/>
  <sheetViews>
    <sheetView zoomScale="74" zoomScaleNormal="70" workbookViewId="0">
      <pane xSplit="6" ySplit="1" topLeftCell="AP2" activePane="bottomRight" state="frozen"/>
      <selection pane="bottomRight" activeCell="AM9" sqref="AM9"/>
      <selection pane="bottomLeft"/>
      <selection pane="topRight"/>
    </sheetView>
  </sheetViews>
  <sheetFormatPr defaultColWidth="10.85546875" defaultRowHeight="15" customHeight="1"/>
  <cols>
    <col min="1" max="1" width="8.42578125" style="10" customWidth="1"/>
    <col min="2" max="2" width="15.140625" style="94" customWidth="1"/>
    <col min="3" max="3" width="16" style="94" customWidth="1"/>
    <col min="4" max="5" width="8" style="10" customWidth="1"/>
    <col min="6" max="6" width="28.85546875" style="59" customWidth="1"/>
    <col min="7" max="7" width="70.42578125" style="184" customWidth="1"/>
    <col min="8" max="8" width="13.140625" style="10" customWidth="1"/>
    <col min="9" max="9" width="24.42578125" style="10" customWidth="1"/>
    <col min="10" max="11" width="25.42578125" style="10" customWidth="1"/>
    <col min="12" max="12" width="21.85546875" style="10" customWidth="1"/>
    <col min="13" max="13" width="19" style="185" customWidth="1"/>
    <col min="14" max="14" width="22.140625" style="10" customWidth="1"/>
    <col min="15" max="15" width="21.5703125" style="10" customWidth="1"/>
    <col min="16" max="16" width="14.28515625" style="10" customWidth="1"/>
    <col min="17" max="17" width="19" style="10" customWidth="1"/>
    <col min="18" max="18" width="61.42578125" style="10" customWidth="1"/>
    <col min="19" max="19" width="47.7109375" style="10" customWidth="1"/>
    <col min="20" max="20" width="54.140625" style="10" customWidth="1"/>
    <col min="21" max="21" width="29" style="10" customWidth="1"/>
    <col min="22" max="22" width="25.140625" style="10" customWidth="1"/>
    <col min="23" max="23" width="16.85546875" style="10" customWidth="1"/>
    <col min="24" max="24" width="107.42578125" style="10" customWidth="1"/>
    <col min="25" max="25" width="90" style="10" customWidth="1"/>
    <col min="26" max="26" width="63.140625" style="65" customWidth="1"/>
    <col min="27" max="27" width="13.140625" style="65" customWidth="1"/>
    <col min="28" max="29" width="25.85546875" style="10" customWidth="1"/>
    <col min="30" max="30" width="25.85546875" style="58" customWidth="1"/>
    <col min="31" max="31" width="16.42578125" style="10" customWidth="1"/>
    <col min="32" max="33" width="16.42578125" style="58" customWidth="1"/>
    <col min="34" max="34" width="16.42578125" style="10" customWidth="1"/>
    <col min="35" max="35" width="17.85546875" style="217" customWidth="1"/>
    <col min="36" max="36" width="21.28515625" style="10" customWidth="1"/>
    <col min="37" max="37" width="67.140625" style="59" customWidth="1"/>
    <col min="38" max="38" width="17" style="10" customWidth="1"/>
    <col min="39" max="39" width="21.85546875" style="10" customWidth="1"/>
    <col min="40" max="40" width="17.7109375" style="10" customWidth="1"/>
    <col min="41" max="41" width="13.42578125" style="4" customWidth="1"/>
    <col min="42" max="42" width="53" style="59" customWidth="1"/>
    <col min="43" max="43" width="17.42578125" style="65" customWidth="1"/>
    <col min="44" max="44" width="66.28515625" style="69" customWidth="1"/>
    <col min="45" max="45" width="26.42578125" style="10" customWidth="1"/>
    <col min="46" max="16384" width="10.85546875" style="10"/>
  </cols>
  <sheetData>
    <row r="1" spans="1:44" s="59" customFormat="1" ht="66" customHeight="1">
      <c r="A1" s="159" t="s">
        <v>5</v>
      </c>
      <c r="B1" s="160" t="s">
        <v>6</v>
      </c>
      <c r="C1" s="160" t="s">
        <v>7</v>
      </c>
      <c r="D1" s="159" t="s">
        <v>8</v>
      </c>
      <c r="E1" s="159" t="s">
        <v>9</v>
      </c>
      <c r="F1" s="159" t="s">
        <v>10</v>
      </c>
      <c r="G1" s="159" t="s">
        <v>11</v>
      </c>
      <c r="H1" s="159" t="s">
        <v>12</v>
      </c>
      <c r="I1" s="159" t="s">
        <v>13</v>
      </c>
      <c r="J1" s="159" t="s">
        <v>590</v>
      </c>
      <c r="K1" s="159" t="s">
        <v>171</v>
      </c>
      <c r="L1" s="159" t="s">
        <v>16</v>
      </c>
      <c r="M1" s="160" t="s">
        <v>17</v>
      </c>
      <c r="N1" s="159" t="s">
        <v>18</v>
      </c>
      <c r="O1" s="159" t="s">
        <v>172</v>
      </c>
      <c r="P1" s="159" t="s">
        <v>20</v>
      </c>
      <c r="Q1" s="159" t="s">
        <v>21</v>
      </c>
      <c r="R1" s="159" t="s">
        <v>22</v>
      </c>
      <c r="S1" s="159" t="s">
        <v>23</v>
      </c>
      <c r="T1" s="159" t="s">
        <v>24</v>
      </c>
      <c r="U1" s="159" t="s">
        <v>25</v>
      </c>
      <c r="V1" s="159" t="s">
        <v>26</v>
      </c>
      <c r="W1" s="159" t="s">
        <v>174</v>
      </c>
      <c r="X1" s="159" t="s">
        <v>591</v>
      </c>
      <c r="Y1" s="159" t="s">
        <v>29</v>
      </c>
      <c r="Z1" s="177" t="s">
        <v>175</v>
      </c>
      <c r="AA1" s="177" t="s">
        <v>32</v>
      </c>
      <c r="AB1" s="175" t="s">
        <v>33</v>
      </c>
      <c r="AC1" s="175" t="s">
        <v>34</v>
      </c>
      <c r="AD1" s="225" t="s">
        <v>35</v>
      </c>
      <c r="AE1" s="208" t="s">
        <v>36</v>
      </c>
      <c r="AF1" s="176" t="s">
        <v>37</v>
      </c>
      <c r="AG1" s="176" t="s">
        <v>38</v>
      </c>
      <c r="AH1" s="208" t="s">
        <v>39</v>
      </c>
      <c r="AI1" s="210" t="s">
        <v>40</v>
      </c>
      <c r="AJ1" s="211" t="s">
        <v>41</v>
      </c>
      <c r="AK1" s="208" t="s">
        <v>42</v>
      </c>
      <c r="AL1" s="208" t="s">
        <v>43</v>
      </c>
      <c r="AM1" s="208" t="s">
        <v>592</v>
      </c>
      <c r="AN1" s="166" t="s">
        <v>178</v>
      </c>
      <c r="AO1" s="208" t="s">
        <v>45</v>
      </c>
      <c r="AP1" s="208" t="s">
        <v>46</v>
      </c>
      <c r="AQ1" s="200" t="s">
        <v>593</v>
      </c>
      <c r="AR1" s="200" t="s">
        <v>46</v>
      </c>
    </row>
    <row r="2" spans="1:44" ht="96" customHeight="1">
      <c r="A2" s="244">
        <v>143</v>
      </c>
      <c r="B2" s="250">
        <v>46147.622638888897</v>
      </c>
      <c r="C2" s="250">
        <v>46153.561354166697</v>
      </c>
      <c r="D2" s="244" t="s">
        <v>220</v>
      </c>
      <c r="E2" s="244" t="s">
        <v>221</v>
      </c>
      <c r="F2" s="244" t="s">
        <v>594</v>
      </c>
      <c r="G2" s="244" t="s">
        <v>595</v>
      </c>
      <c r="H2" s="244" t="s">
        <v>112</v>
      </c>
      <c r="I2" s="244" t="s">
        <v>113</v>
      </c>
      <c r="J2" s="289" t="s">
        <v>596</v>
      </c>
      <c r="K2" s="244" t="s">
        <v>597</v>
      </c>
      <c r="L2" s="250" t="s">
        <v>226</v>
      </c>
      <c r="M2" s="250">
        <v>46356</v>
      </c>
      <c r="N2" s="244" t="s">
        <v>57</v>
      </c>
      <c r="O2" s="244">
        <v>0</v>
      </c>
      <c r="P2" s="244"/>
      <c r="Q2" s="284" t="s">
        <v>58</v>
      </c>
      <c r="R2" s="244" t="s">
        <v>598</v>
      </c>
      <c r="S2" s="244"/>
      <c r="T2" s="244" t="s">
        <v>599</v>
      </c>
      <c r="U2" s="285" t="s">
        <v>62</v>
      </c>
      <c r="V2" s="290" t="s">
        <v>600</v>
      </c>
      <c r="W2" s="244" t="s">
        <v>64</v>
      </c>
      <c r="X2" s="285" t="s">
        <v>230</v>
      </c>
      <c r="Y2" s="244" t="s">
        <v>601</v>
      </c>
      <c r="Z2" s="255" t="s">
        <v>602</v>
      </c>
      <c r="AA2" s="255"/>
      <c r="AB2" s="267" t="s">
        <v>106</v>
      </c>
      <c r="AC2" s="267" t="s">
        <v>69</v>
      </c>
      <c r="AD2" s="271">
        <v>46156</v>
      </c>
      <c r="AE2" s="267" t="s">
        <v>2</v>
      </c>
      <c r="AF2" s="271">
        <v>46188</v>
      </c>
      <c r="AG2" s="271">
        <v>46341</v>
      </c>
      <c r="AH2" s="267" t="s">
        <v>603</v>
      </c>
      <c r="AI2" s="268">
        <v>54350</v>
      </c>
      <c r="AJ2" s="269">
        <v>186148.75</v>
      </c>
      <c r="AK2" s="270" t="s">
        <v>604</v>
      </c>
      <c r="AL2" s="269" t="s">
        <v>245</v>
      </c>
      <c r="AM2" s="267" t="s">
        <v>217</v>
      </c>
      <c r="AN2" s="267" t="s">
        <v>260</v>
      </c>
      <c r="AO2" s="267" t="s">
        <v>605</v>
      </c>
      <c r="AP2" s="267"/>
      <c r="AQ2" s="167"/>
      <c r="AR2" s="168"/>
    </row>
    <row r="3" spans="1:44" ht="47.25" customHeight="1">
      <c r="A3" s="244">
        <v>124</v>
      </c>
      <c r="B3" s="250">
        <v>46141.490138888897</v>
      </c>
      <c r="C3" s="250">
        <v>46141.504571759302</v>
      </c>
      <c r="D3" s="244" t="s">
        <v>606</v>
      </c>
      <c r="E3" s="244" t="s">
        <v>607</v>
      </c>
      <c r="F3" s="244" t="s">
        <v>608</v>
      </c>
      <c r="G3" s="244" t="s">
        <v>609</v>
      </c>
      <c r="H3" s="244" t="s">
        <v>112</v>
      </c>
      <c r="I3" s="244" t="s">
        <v>125</v>
      </c>
      <c r="J3" s="283" t="s">
        <v>610</v>
      </c>
      <c r="K3" s="244"/>
      <c r="L3" s="250" t="s">
        <v>296</v>
      </c>
      <c r="M3" s="250">
        <v>46150</v>
      </c>
      <c r="N3" s="244" t="s">
        <v>57</v>
      </c>
      <c r="O3" s="244">
        <v>0</v>
      </c>
      <c r="P3" s="244"/>
      <c r="Q3" s="287" t="s">
        <v>58</v>
      </c>
      <c r="R3" s="244" t="s">
        <v>611</v>
      </c>
      <c r="S3" s="244"/>
      <c r="T3" s="244" t="s">
        <v>612</v>
      </c>
      <c r="U3" s="244" t="s">
        <v>79</v>
      </c>
      <c r="V3" s="254" t="s">
        <v>63</v>
      </c>
      <c r="W3" s="244" t="s">
        <v>64</v>
      </c>
      <c r="X3" s="288" t="s">
        <v>65</v>
      </c>
      <c r="Y3" s="244" t="s">
        <v>613</v>
      </c>
      <c r="Z3" s="255" t="s">
        <v>614</v>
      </c>
      <c r="AA3" s="255"/>
      <c r="AB3" s="267" t="s">
        <v>131</v>
      </c>
      <c r="AC3" s="267" t="s">
        <v>69</v>
      </c>
      <c r="AD3" s="271">
        <v>46142</v>
      </c>
      <c r="AE3" s="267" t="s">
        <v>3</v>
      </c>
      <c r="AF3" s="271">
        <v>46149</v>
      </c>
      <c r="AG3" s="271">
        <v>46155</v>
      </c>
      <c r="AH3" s="267">
        <v>1.5</v>
      </c>
      <c r="AI3" s="268">
        <v>1475</v>
      </c>
      <c r="AJ3" s="269">
        <v>5236.25</v>
      </c>
      <c r="AK3" s="270" t="s">
        <v>615</v>
      </c>
      <c r="AL3" s="269" t="s">
        <v>616</v>
      </c>
      <c r="AM3" s="267" t="s">
        <v>617</v>
      </c>
      <c r="AN3" s="267" t="s">
        <v>57</v>
      </c>
      <c r="AO3" s="267" t="s">
        <v>605</v>
      </c>
      <c r="AP3" s="267"/>
      <c r="AQ3" s="167"/>
      <c r="AR3" s="168"/>
    </row>
    <row r="4" spans="1:44" ht="41.25" customHeight="1">
      <c r="A4" s="244">
        <v>140</v>
      </c>
      <c r="B4" s="250">
        <v>46150.379953703698</v>
      </c>
      <c r="C4" s="250">
        <v>46150.452800925901</v>
      </c>
      <c r="D4" s="244" t="s">
        <v>262</v>
      </c>
      <c r="E4" s="244" t="s">
        <v>263</v>
      </c>
      <c r="F4" s="244" t="s">
        <v>618</v>
      </c>
      <c r="G4" s="244" t="s">
        <v>619</v>
      </c>
      <c r="H4" s="244" t="s">
        <v>52</v>
      </c>
      <c r="I4" s="244" t="s">
        <v>125</v>
      </c>
      <c r="J4" s="286" t="s">
        <v>620</v>
      </c>
      <c r="K4" s="244" t="s">
        <v>621</v>
      </c>
      <c r="L4" s="250" t="s">
        <v>237</v>
      </c>
      <c r="M4" s="250">
        <v>46153</v>
      </c>
      <c r="N4" s="244" t="s">
        <v>57</v>
      </c>
      <c r="O4" s="244">
        <v>0</v>
      </c>
      <c r="P4" s="244"/>
      <c r="Q4" s="287" t="s">
        <v>58</v>
      </c>
      <c r="R4" s="244" t="s">
        <v>622</v>
      </c>
      <c r="S4" s="244"/>
      <c r="T4" s="244" t="s">
        <v>623</v>
      </c>
      <c r="U4" s="244" t="s">
        <v>162</v>
      </c>
      <c r="V4" s="254" t="s">
        <v>63</v>
      </c>
      <c r="W4" s="244" t="s">
        <v>64</v>
      </c>
      <c r="X4" s="288" t="s">
        <v>65</v>
      </c>
      <c r="Y4" s="244" t="s">
        <v>624</v>
      </c>
      <c r="Z4" s="255" t="s">
        <v>625</v>
      </c>
      <c r="AA4" s="255"/>
      <c r="AB4" s="267" t="s">
        <v>626</v>
      </c>
      <c r="AC4" s="267" t="s">
        <v>69</v>
      </c>
      <c r="AD4" s="271">
        <v>46156</v>
      </c>
      <c r="AE4" s="267" t="s">
        <v>3</v>
      </c>
      <c r="AF4" s="271"/>
      <c r="AG4" s="271"/>
      <c r="AH4" s="267">
        <v>1</v>
      </c>
      <c r="AI4" s="268"/>
      <c r="AJ4" s="269">
        <v>14076</v>
      </c>
      <c r="AK4" s="270" t="s">
        <v>627</v>
      </c>
      <c r="AL4" s="269" t="s">
        <v>628</v>
      </c>
      <c r="AM4" s="267"/>
      <c r="AN4" s="267"/>
      <c r="AO4" s="267" t="s">
        <v>605</v>
      </c>
      <c r="AP4" s="267" t="s">
        <v>629</v>
      </c>
      <c r="AQ4" s="167"/>
      <c r="AR4" s="168"/>
    </row>
    <row r="5" spans="1:44" ht="65.25" customHeight="1">
      <c r="A5" s="244">
        <v>71</v>
      </c>
      <c r="B5" s="250">
        <v>46093.733761574098</v>
      </c>
      <c r="C5" s="250">
        <v>46093.827060185198</v>
      </c>
      <c r="D5" s="244" t="s">
        <v>72</v>
      </c>
      <c r="E5" s="244" t="s">
        <v>73</v>
      </c>
      <c r="F5" s="244" t="s">
        <v>630</v>
      </c>
      <c r="G5" s="244" t="s">
        <v>631</v>
      </c>
      <c r="H5" s="244" t="s">
        <v>632</v>
      </c>
      <c r="I5" s="244" t="s">
        <v>77</v>
      </c>
      <c r="J5" s="291" t="s">
        <v>78</v>
      </c>
      <c r="K5" s="244"/>
      <c r="L5" s="250" t="s">
        <v>633</v>
      </c>
      <c r="M5" s="250">
        <v>46142</v>
      </c>
      <c r="N5" s="244" t="s">
        <v>57</v>
      </c>
      <c r="O5" s="244">
        <v>0</v>
      </c>
      <c r="P5" s="244"/>
      <c r="Q5" s="287" t="s">
        <v>58</v>
      </c>
      <c r="R5" s="244" t="s">
        <v>634</v>
      </c>
      <c r="S5" s="244" t="s">
        <v>635</v>
      </c>
      <c r="T5" s="244" t="s">
        <v>636</v>
      </c>
      <c r="U5" s="244" t="s">
        <v>635</v>
      </c>
      <c r="V5" s="292" t="s">
        <v>637</v>
      </c>
      <c r="W5" s="244" t="s">
        <v>64</v>
      </c>
      <c r="X5" s="288" t="s">
        <v>230</v>
      </c>
      <c r="Y5" s="244" t="s">
        <v>638</v>
      </c>
      <c r="Z5" s="255" t="s">
        <v>639</v>
      </c>
      <c r="AA5" s="255"/>
      <c r="AB5" s="267" t="s">
        <v>322</v>
      </c>
      <c r="AC5" s="267" t="s">
        <v>191</v>
      </c>
      <c r="AD5" s="271">
        <v>46112</v>
      </c>
      <c r="AE5" s="267" t="s">
        <v>2</v>
      </c>
      <c r="AF5" s="271">
        <v>46125</v>
      </c>
      <c r="AG5" s="271">
        <v>46157</v>
      </c>
      <c r="AH5" s="267">
        <v>4.3</v>
      </c>
      <c r="AI5" s="268">
        <v>3360</v>
      </c>
      <c r="AJ5" s="269">
        <v>9856</v>
      </c>
      <c r="AK5" s="270" t="s">
        <v>640</v>
      </c>
      <c r="AL5" s="269" t="s">
        <v>641</v>
      </c>
      <c r="AM5" s="267" t="s">
        <v>217</v>
      </c>
      <c r="AN5" s="267" t="s">
        <v>260</v>
      </c>
      <c r="AO5" s="267" t="s">
        <v>605</v>
      </c>
      <c r="AP5" s="267" t="s">
        <v>642</v>
      </c>
      <c r="AQ5" s="167"/>
      <c r="AR5" s="168"/>
    </row>
    <row r="6" spans="1:44" ht="41.25" customHeight="1">
      <c r="A6" s="244">
        <v>117</v>
      </c>
      <c r="B6" s="250">
        <v>46139.615277777775</v>
      </c>
      <c r="C6" s="250">
        <v>46139.628472222219</v>
      </c>
      <c r="D6" s="244" t="s">
        <v>48</v>
      </c>
      <c r="E6" s="244" t="s">
        <v>49</v>
      </c>
      <c r="F6" s="244" t="s">
        <v>643</v>
      </c>
      <c r="G6" s="244" t="s">
        <v>644</v>
      </c>
      <c r="H6" s="244" t="s">
        <v>430</v>
      </c>
      <c r="I6" s="244" t="s">
        <v>645</v>
      </c>
      <c r="J6" s="291" t="s">
        <v>646</v>
      </c>
      <c r="K6" s="244"/>
      <c r="L6" s="250" t="s">
        <v>56</v>
      </c>
      <c r="M6" s="250">
        <v>46172</v>
      </c>
      <c r="N6" s="244" t="s">
        <v>57</v>
      </c>
      <c r="O6" s="244"/>
      <c r="P6" s="244"/>
      <c r="Q6" s="287" t="s">
        <v>58</v>
      </c>
      <c r="R6" s="244" t="s">
        <v>647</v>
      </c>
      <c r="S6" s="244" t="s">
        <v>648</v>
      </c>
      <c r="T6" s="244" t="s">
        <v>649</v>
      </c>
      <c r="U6" s="244" t="s">
        <v>319</v>
      </c>
      <c r="V6" s="292" t="s">
        <v>63</v>
      </c>
      <c r="W6" s="244" t="s">
        <v>64</v>
      </c>
      <c r="X6" s="288" t="s">
        <v>65</v>
      </c>
      <c r="Y6" s="244" t="s">
        <v>650</v>
      </c>
      <c r="Z6" s="255"/>
      <c r="AA6" s="255"/>
      <c r="AB6" s="267" t="s">
        <v>322</v>
      </c>
      <c r="AC6" s="267" t="s">
        <v>69</v>
      </c>
      <c r="AD6" s="271">
        <v>46163</v>
      </c>
      <c r="AE6" s="267" t="s">
        <v>3</v>
      </c>
      <c r="AF6" s="271">
        <v>46163</v>
      </c>
      <c r="AG6" s="271">
        <v>46163</v>
      </c>
      <c r="AH6" s="267">
        <v>4</v>
      </c>
      <c r="AI6" s="268">
        <v>19000</v>
      </c>
      <c r="AJ6" s="269">
        <v>65000</v>
      </c>
      <c r="AK6" s="270" t="s">
        <v>651</v>
      </c>
      <c r="AL6" s="269" t="s">
        <v>245</v>
      </c>
      <c r="AM6" s="267" t="s">
        <v>217</v>
      </c>
      <c r="AN6" s="267" t="s">
        <v>260</v>
      </c>
      <c r="AO6" s="267" t="s">
        <v>605</v>
      </c>
      <c r="AP6" s="267" t="s">
        <v>652</v>
      </c>
      <c r="AQ6" s="167"/>
      <c r="AR6" s="168" t="s">
        <v>653</v>
      </c>
    </row>
    <row r="7" spans="1:44" ht="137.25" customHeight="1">
      <c r="A7" s="244">
        <v>54</v>
      </c>
      <c r="B7" s="250">
        <v>46070.903935185182</v>
      </c>
      <c r="C7" s="250">
        <v>46070.907430555599</v>
      </c>
      <c r="D7" s="244" t="s">
        <v>654</v>
      </c>
      <c r="E7" s="244" t="s">
        <v>655</v>
      </c>
      <c r="F7" s="244" t="s">
        <v>656</v>
      </c>
      <c r="G7" s="244" t="s">
        <v>657</v>
      </c>
      <c r="H7" s="244" t="s">
        <v>430</v>
      </c>
      <c r="I7" s="244" t="s">
        <v>77</v>
      </c>
      <c r="J7" s="291" t="s">
        <v>658</v>
      </c>
      <c r="K7" s="244"/>
      <c r="L7" s="250" t="s">
        <v>206</v>
      </c>
      <c r="M7" s="250">
        <v>46203</v>
      </c>
      <c r="N7" s="244" t="s">
        <v>118</v>
      </c>
      <c r="O7" s="244" t="s">
        <v>207</v>
      </c>
      <c r="P7" s="244"/>
      <c r="Q7" s="287" t="s">
        <v>58</v>
      </c>
      <c r="R7" s="244" t="s">
        <v>659</v>
      </c>
      <c r="S7" s="244" t="s">
        <v>660</v>
      </c>
      <c r="T7" s="244" t="s">
        <v>661</v>
      </c>
      <c r="U7" s="244" t="s">
        <v>162</v>
      </c>
      <c r="V7" s="292" t="s">
        <v>637</v>
      </c>
      <c r="W7" s="244" t="s">
        <v>64</v>
      </c>
      <c r="X7" s="288" t="s">
        <v>86</v>
      </c>
      <c r="Y7" s="244" t="s">
        <v>662</v>
      </c>
      <c r="Z7" s="255" t="s">
        <v>663</v>
      </c>
      <c r="AA7" s="255"/>
      <c r="AB7" s="267" t="s">
        <v>214</v>
      </c>
      <c r="AC7" s="267" t="s">
        <v>243</v>
      </c>
      <c r="AD7" s="271">
        <v>46129</v>
      </c>
      <c r="AE7" s="267" t="s">
        <v>2</v>
      </c>
      <c r="AF7" s="271">
        <v>46188</v>
      </c>
      <c r="AG7" s="271">
        <v>46216</v>
      </c>
      <c r="AH7" s="267">
        <v>3</v>
      </c>
      <c r="AI7" s="268"/>
      <c r="AJ7" s="269">
        <v>44000</v>
      </c>
      <c r="AK7" s="270" t="s">
        <v>664</v>
      </c>
      <c r="AL7" s="269" t="s">
        <v>245</v>
      </c>
      <c r="AM7" s="267" t="s">
        <v>217</v>
      </c>
      <c r="AN7" s="267" t="s">
        <v>260</v>
      </c>
      <c r="AO7" s="267" t="s">
        <v>605</v>
      </c>
      <c r="AP7" s="267" t="s">
        <v>665</v>
      </c>
      <c r="AQ7" s="167"/>
      <c r="AR7" s="168"/>
    </row>
    <row r="8" spans="1:44" ht="63" customHeight="1">
      <c r="A8" s="244">
        <v>196</v>
      </c>
      <c r="B8" s="250">
        <v>46169.674108796302</v>
      </c>
      <c r="C8" s="250">
        <v>46169.677812499998</v>
      </c>
      <c r="D8" s="244" t="s">
        <v>122</v>
      </c>
      <c r="E8" s="244" t="s">
        <v>123</v>
      </c>
      <c r="F8" s="244" t="s">
        <v>666</v>
      </c>
      <c r="G8" s="244" t="s">
        <v>134</v>
      </c>
      <c r="H8" s="244" t="s">
        <v>112</v>
      </c>
      <c r="I8" s="244" t="s">
        <v>113</v>
      </c>
      <c r="J8" s="291" t="s">
        <v>667</v>
      </c>
      <c r="K8" s="244" t="s">
        <v>668</v>
      </c>
      <c r="L8" s="250" t="s">
        <v>79</v>
      </c>
      <c r="M8" s="250">
        <v>46234</v>
      </c>
      <c r="N8" s="244" t="s">
        <v>57</v>
      </c>
      <c r="O8" s="244">
        <v>0</v>
      </c>
      <c r="P8" s="244">
        <v>0</v>
      </c>
      <c r="Q8" s="287" t="s">
        <v>58</v>
      </c>
      <c r="R8" s="244" t="s">
        <v>128</v>
      </c>
      <c r="S8" s="244" t="s">
        <v>117</v>
      </c>
      <c r="T8" s="244" t="s">
        <v>669</v>
      </c>
      <c r="U8" s="244" t="s">
        <v>62</v>
      </c>
      <c r="V8" s="292" t="s">
        <v>63</v>
      </c>
      <c r="W8" s="244" t="s">
        <v>118</v>
      </c>
      <c r="X8" s="288" t="s">
        <v>86</v>
      </c>
      <c r="Y8" s="244" t="s">
        <v>137</v>
      </c>
      <c r="Z8" s="255" t="s">
        <v>670</v>
      </c>
      <c r="AA8" s="255">
        <v>1.2</v>
      </c>
      <c r="AB8" s="267" t="s">
        <v>165</v>
      </c>
      <c r="AC8" s="267" t="s">
        <v>69</v>
      </c>
      <c r="AD8" s="271">
        <v>46170</v>
      </c>
      <c r="AE8" s="267" t="s">
        <v>4</v>
      </c>
      <c r="AF8" s="271">
        <v>46170</v>
      </c>
      <c r="AG8" s="271">
        <v>46170</v>
      </c>
      <c r="AH8" s="267">
        <v>1</v>
      </c>
      <c r="AI8" s="268"/>
      <c r="AJ8" s="269"/>
      <c r="AK8" s="270"/>
      <c r="AL8" s="269" t="s">
        <v>671</v>
      </c>
      <c r="AM8" s="267" t="s">
        <v>617</v>
      </c>
      <c r="AN8" s="267"/>
      <c r="AO8" s="267" t="s">
        <v>605</v>
      </c>
      <c r="AP8" s="267"/>
      <c r="AQ8" s="167"/>
      <c r="AR8" s="168"/>
    </row>
    <row r="9" spans="1:44" ht="79.5" customHeight="1">
      <c r="A9" s="382">
        <v>94</v>
      </c>
      <c r="B9" s="250">
        <v>46119.432314814803</v>
      </c>
      <c r="C9" s="250">
        <v>46119.464699074102</v>
      </c>
      <c r="D9" s="244" t="s">
        <v>606</v>
      </c>
      <c r="E9" s="244" t="s">
        <v>607</v>
      </c>
      <c r="F9" s="244" t="s">
        <v>672</v>
      </c>
      <c r="G9" s="244" t="s">
        <v>673</v>
      </c>
      <c r="H9" s="244" t="s">
        <v>52</v>
      </c>
      <c r="I9" s="244" t="s">
        <v>53</v>
      </c>
      <c r="J9" s="291" t="s">
        <v>674</v>
      </c>
      <c r="K9" s="244"/>
      <c r="L9" s="250" t="s">
        <v>226</v>
      </c>
      <c r="M9" s="250">
        <v>46203</v>
      </c>
      <c r="N9" s="244" t="s">
        <v>57</v>
      </c>
      <c r="O9" s="244">
        <v>0</v>
      </c>
      <c r="P9" s="244"/>
      <c r="Q9" s="287" t="s">
        <v>58</v>
      </c>
      <c r="R9" s="244" t="s">
        <v>675</v>
      </c>
      <c r="S9" s="244" t="s">
        <v>676</v>
      </c>
      <c r="T9" s="244" t="s">
        <v>677</v>
      </c>
      <c r="U9" s="244" t="s">
        <v>162</v>
      </c>
      <c r="V9" s="292" t="s">
        <v>678</v>
      </c>
      <c r="W9" s="244" t="s">
        <v>64</v>
      </c>
      <c r="X9" s="288" t="s">
        <v>230</v>
      </c>
      <c r="Y9" s="244" t="s">
        <v>679</v>
      </c>
      <c r="Z9" s="255" t="s">
        <v>680</v>
      </c>
      <c r="AA9" s="255">
        <v>0.75</v>
      </c>
      <c r="AB9" s="267" t="s">
        <v>322</v>
      </c>
      <c r="AC9" s="267" t="s">
        <v>69</v>
      </c>
      <c r="AD9" s="271">
        <v>46128</v>
      </c>
      <c r="AE9" s="267" t="s">
        <v>2</v>
      </c>
      <c r="AF9" s="271">
        <v>46128</v>
      </c>
      <c r="AG9" s="271">
        <v>46177</v>
      </c>
      <c r="AH9" s="267">
        <v>7</v>
      </c>
      <c r="AI9" s="269"/>
      <c r="AJ9" s="269">
        <v>107175</v>
      </c>
      <c r="AK9" s="270"/>
      <c r="AL9" s="269" t="s">
        <v>681</v>
      </c>
      <c r="AM9" s="267" t="s">
        <v>217</v>
      </c>
      <c r="AN9" s="267" t="s">
        <v>260</v>
      </c>
      <c r="AO9" s="267" t="s">
        <v>605</v>
      </c>
      <c r="AP9" s="267" t="s">
        <v>682</v>
      </c>
      <c r="AQ9" s="167"/>
      <c r="AR9" s="168"/>
    </row>
    <row r="10" spans="1:44" ht="57" customHeight="1">
      <c r="A10" s="244">
        <v>158</v>
      </c>
      <c r="B10" s="250">
        <v>46153.983356481498</v>
      </c>
      <c r="C10" s="250">
        <v>46153.993564814802</v>
      </c>
      <c r="D10" s="244" t="s">
        <v>48</v>
      </c>
      <c r="E10" s="244" t="s">
        <v>49</v>
      </c>
      <c r="F10" s="244" t="s">
        <v>683</v>
      </c>
      <c r="G10" s="244" t="s">
        <v>684</v>
      </c>
      <c r="H10" s="244" t="s">
        <v>52</v>
      </c>
      <c r="I10" s="244" t="s">
        <v>53</v>
      </c>
      <c r="J10" s="291" t="s">
        <v>685</v>
      </c>
      <c r="K10" s="244" t="s">
        <v>686</v>
      </c>
      <c r="L10" s="250" t="s">
        <v>56</v>
      </c>
      <c r="M10" s="250">
        <v>46171</v>
      </c>
      <c r="N10" s="244" t="s">
        <v>57</v>
      </c>
      <c r="O10" s="244">
        <v>0</v>
      </c>
      <c r="P10" s="244"/>
      <c r="Q10" s="287" t="s">
        <v>58</v>
      </c>
      <c r="R10" s="244" t="s">
        <v>687</v>
      </c>
      <c r="S10" s="244" t="s">
        <v>688</v>
      </c>
      <c r="T10" s="244" t="s">
        <v>689</v>
      </c>
      <c r="U10" s="244" t="s">
        <v>162</v>
      </c>
      <c r="V10" s="292" t="s">
        <v>63</v>
      </c>
      <c r="W10" s="244" t="s">
        <v>64</v>
      </c>
      <c r="X10" s="288" t="s">
        <v>65</v>
      </c>
      <c r="Y10" s="244" t="s">
        <v>690</v>
      </c>
      <c r="Z10" s="255" t="s">
        <v>691</v>
      </c>
      <c r="AA10" s="255">
        <v>0.45</v>
      </c>
      <c r="AB10" s="267" t="s">
        <v>322</v>
      </c>
      <c r="AC10" s="267" t="s">
        <v>69</v>
      </c>
      <c r="AD10" s="271">
        <v>46155</v>
      </c>
      <c r="AE10" s="267" t="s">
        <v>3</v>
      </c>
      <c r="AF10" s="271">
        <v>46188</v>
      </c>
      <c r="AG10" s="271">
        <v>46199</v>
      </c>
      <c r="AH10" s="267">
        <v>1.5</v>
      </c>
      <c r="AI10" s="269"/>
      <c r="AJ10" s="269">
        <v>18916.599999999999</v>
      </c>
      <c r="AK10" s="270"/>
      <c r="AL10" s="269" t="s">
        <v>681</v>
      </c>
      <c r="AM10" s="267" t="s">
        <v>617</v>
      </c>
      <c r="AN10" s="267" t="s">
        <v>260</v>
      </c>
      <c r="AO10" s="267" t="s">
        <v>605</v>
      </c>
      <c r="AP10" s="267" t="s">
        <v>692</v>
      </c>
      <c r="AQ10" s="167"/>
      <c r="AR10" s="168"/>
    </row>
    <row r="11" spans="1:44" ht="63.75" customHeight="1">
      <c r="A11" s="244">
        <v>220</v>
      </c>
      <c r="B11" s="250">
        <v>46170.005717592598</v>
      </c>
      <c r="C11" s="250">
        <v>46170.006967592599</v>
      </c>
      <c r="D11" s="244" t="s">
        <v>48</v>
      </c>
      <c r="E11" s="244" t="s">
        <v>49</v>
      </c>
      <c r="F11" s="244" t="s">
        <v>693</v>
      </c>
      <c r="G11" s="244" t="s">
        <v>111</v>
      </c>
      <c r="H11" s="244" t="s">
        <v>112</v>
      </c>
      <c r="I11" s="244" t="s">
        <v>113</v>
      </c>
      <c r="J11" s="291" t="s">
        <v>159</v>
      </c>
      <c r="K11" s="244" t="s">
        <v>694</v>
      </c>
      <c r="L11" s="250" t="s">
        <v>79</v>
      </c>
      <c r="M11" s="250">
        <v>46209</v>
      </c>
      <c r="N11" s="244" t="s">
        <v>57</v>
      </c>
      <c r="O11" s="244">
        <v>0</v>
      </c>
      <c r="P11" s="244">
        <v>0</v>
      </c>
      <c r="Q11" s="287" t="s">
        <v>58</v>
      </c>
      <c r="R11" s="244" t="s">
        <v>116</v>
      </c>
      <c r="S11" s="244" t="s">
        <v>117</v>
      </c>
      <c r="T11" s="244" t="s">
        <v>117</v>
      </c>
      <c r="U11" s="244" t="s">
        <v>62</v>
      </c>
      <c r="V11" s="292" t="s">
        <v>63</v>
      </c>
      <c r="W11" s="244" t="s">
        <v>118</v>
      </c>
      <c r="X11" s="288" t="s">
        <v>86</v>
      </c>
      <c r="Y11" s="244" t="s">
        <v>163</v>
      </c>
      <c r="Z11" s="255" t="s">
        <v>695</v>
      </c>
      <c r="AA11" s="255">
        <v>1.2</v>
      </c>
      <c r="AB11" s="267" t="s">
        <v>165</v>
      </c>
      <c r="AC11" s="267" t="s">
        <v>69</v>
      </c>
      <c r="AD11" s="271">
        <v>46170</v>
      </c>
      <c r="AE11" s="267" t="s">
        <v>4</v>
      </c>
      <c r="AF11" s="271">
        <v>46176</v>
      </c>
      <c r="AG11" s="271">
        <v>46183</v>
      </c>
      <c r="AH11" s="267">
        <v>0.5</v>
      </c>
      <c r="AI11" s="269">
        <v>0</v>
      </c>
      <c r="AJ11" s="269">
        <v>0</v>
      </c>
      <c r="AK11" s="270"/>
      <c r="AL11" s="269" t="s">
        <v>671</v>
      </c>
      <c r="AM11" s="267" t="s">
        <v>617</v>
      </c>
      <c r="AN11" s="267" t="s">
        <v>118</v>
      </c>
      <c r="AO11" s="267" t="s">
        <v>605</v>
      </c>
      <c r="AP11" s="267"/>
      <c r="AQ11" s="167"/>
      <c r="AR11" s="168"/>
    </row>
    <row r="12" spans="1:44" ht="50.25" customHeight="1">
      <c r="A12" s="244">
        <v>221</v>
      </c>
      <c r="B12" s="250">
        <v>46170.006446759297</v>
      </c>
      <c r="C12" s="250">
        <v>46170.007523148102</v>
      </c>
      <c r="D12" s="244" t="s">
        <v>48</v>
      </c>
      <c r="E12" s="244" t="s">
        <v>49</v>
      </c>
      <c r="F12" s="244" t="s">
        <v>696</v>
      </c>
      <c r="G12" s="244" t="s">
        <v>111</v>
      </c>
      <c r="H12" s="244" t="s">
        <v>112</v>
      </c>
      <c r="I12" s="244" t="s">
        <v>113</v>
      </c>
      <c r="J12" s="291" t="s">
        <v>159</v>
      </c>
      <c r="K12" s="244" t="s">
        <v>697</v>
      </c>
      <c r="L12" s="250" t="s">
        <v>79</v>
      </c>
      <c r="M12" s="250">
        <v>46209</v>
      </c>
      <c r="N12" s="244" t="s">
        <v>57</v>
      </c>
      <c r="O12" s="244">
        <v>0</v>
      </c>
      <c r="P12" s="244">
        <v>0</v>
      </c>
      <c r="Q12" s="287" t="s">
        <v>58</v>
      </c>
      <c r="R12" s="244" t="s">
        <v>116</v>
      </c>
      <c r="S12" s="244" t="s">
        <v>117</v>
      </c>
      <c r="T12" s="244" t="s">
        <v>117</v>
      </c>
      <c r="U12" s="244" t="s">
        <v>62</v>
      </c>
      <c r="V12" s="292" t="s">
        <v>63</v>
      </c>
      <c r="W12" s="244" t="s">
        <v>118</v>
      </c>
      <c r="X12" s="288" t="s">
        <v>86</v>
      </c>
      <c r="Y12" s="244" t="s">
        <v>163</v>
      </c>
      <c r="Z12" s="255" t="s">
        <v>698</v>
      </c>
      <c r="AA12" s="255">
        <v>1.2</v>
      </c>
      <c r="AB12" s="267" t="s">
        <v>165</v>
      </c>
      <c r="AC12" s="267" t="s">
        <v>69</v>
      </c>
      <c r="AD12" s="271">
        <v>46170</v>
      </c>
      <c r="AE12" s="267" t="s">
        <v>4</v>
      </c>
      <c r="AF12" s="271">
        <v>46176</v>
      </c>
      <c r="AG12" s="271">
        <v>46183</v>
      </c>
      <c r="AH12" s="267">
        <v>0.75</v>
      </c>
      <c r="AI12" s="269">
        <v>0</v>
      </c>
      <c r="AJ12" s="269">
        <v>0</v>
      </c>
      <c r="AK12" s="270"/>
      <c r="AL12" s="269" t="s">
        <v>671</v>
      </c>
      <c r="AM12" s="267" t="s">
        <v>617</v>
      </c>
      <c r="AN12" s="267" t="s">
        <v>57</v>
      </c>
      <c r="AO12" s="267" t="s">
        <v>605</v>
      </c>
      <c r="AP12" s="267"/>
      <c r="AQ12" s="167"/>
      <c r="AR12" s="168"/>
    </row>
    <row r="13" spans="1:44" ht="117.75" customHeight="1">
      <c r="A13" s="244">
        <v>113</v>
      </c>
      <c r="B13" s="250">
        <v>46135.407118055598</v>
      </c>
      <c r="C13" s="250">
        <v>46135.410821759302</v>
      </c>
      <c r="D13" s="244" t="s">
        <v>200</v>
      </c>
      <c r="E13" s="244" t="s">
        <v>201</v>
      </c>
      <c r="F13" s="244" t="s">
        <v>699</v>
      </c>
      <c r="G13" s="244" t="s">
        <v>700</v>
      </c>
      <c r="H13" s="244" t="s">
        <v>76</v>
      </c>
      <c r="I13" s="244" t="s">
        <v>204</v>
      </c>
      <c r="J13" s="291" t="s">
        <v>701</v>
      </c>
      <c r="K13" s="244"/>
      <c r="L13" s="250" t="s">
        <v>206</v>
      </c>
      <c r="M13" s="250">
        <v>46172</v>
      </c>
      <c r="N13" s="244" t="s">
        <v>118</v>
      </c>
      <c r="O13" s="244" t="s">
        <v>350</v>
      </c>
      <c r="P13" s="244">
        <v>77760</v>
      </c>
      <c r="Q13" s="287" t="s">
        <v>58</v>
      </c>
      <c r="R13" s="244" t="s">
        <v>702</v>
      </c>
      <c r="S13" s="244" t="s">
        <v>703</v>
      </c>
      <c r="T13" s="244" t="s">
        <v>704</v>
      </c>
      <c r="U13" s="244" t="s">
        <v>162</v>
      </c>
      <c r="V13" s="292" t="s">
        <v>211</v>
      </c>
      <c r="W13" s="244" t="s">
        <v>64</v>
      </c>
      <c r="X13" s="288" t="s">
        <v>65</v>
      </c>
      <c r="Y13" s="244" t="s">
        <v>705</v>
      </c>
      <c r="Z13" s="255">
        <v>0</v>
      </c>
      <c r="AA13" s="255">
        <v>0.65</v>
      </c>
      <c r="AB13" s="267" t="s">
        <v>706</v>
      </c>
      <c r="AC13" s="267" t="s">
        <v>69</v>
      </c>
      <c r="AD13" s="271">
        <v>46142</v>
      </c>
      <c r="AE13" s="267" t="s">
        <v>3</v>
      </c>
      <c r="AF13" s="271"/>
      <c r="AG13" s="271" t="s">
        <v>707</v>
      </c>
      <c r="AH13" s="267" t="s">
        <v>708</v>
      </c>
      <c r="AI13" s="269" t="s">
        <v>709</v>
      </c>
      <c r="AJ13" s="269" t="s">
        <v>710</v>
      </c>
      <c r="AK13" s="270" t="s">
        <v>711</v>
      </c>
      <c r="AL13" s="269" t="s">
        <v>259</v>
      </c>
      <c r="AM13" s="267"/>
      <c r="AN13" s="267" t="s">
        <v>260</v>
      </c>
      <c r="AO13" s="267" t="s">
        <v>712</v>
      </c>
      <c r="AP13" s="267"/>
      <c r="AQ13" s="167"/>
      <c r="AR13" s="168"/>
    </row>
  </sheetData>
  <sheetProtection algorithmName="SHA-512" hashValue="bpajF0zTJTlrCV33xVSYrYVI1T63Wt+GNFhqkZ+aPhX5v1cbIVThl21bBAMyJc45Z7QVRFDmdESYsgZpVVzWQA==" saltValue="jG9IxjEkU2FiP/lmE5kvOA=="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AR8" xr:uid="{CC9C5CF8-0000-496B-A2C3-C328268A9AD7}">
    <sortState xmlns:xlrd2="http://schemas.microsoft.com/office/spreadsheetml/2017/richdata2" ref="A2:AR4">
      <sortCondition ref="A1:A2"/>
    </sortState>
  </autoFilter>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6F89D-E396-4983-B2C6-F8B00DD43ECF}">
  <dimension ref="A1:AR30"/>
  <sheetViews>
    <sheetView zoomScale="85" zoomScaleNormal="85" workbookViewId="0">
      <pane xSplit="6" ySplit="1" topLeftCell="AG3" activePane="bottomRight" state="frozen"/>
      <selection pane="bottomRight" activeCell="AO13" sqref="AO13"/>
      <selection pane="bottomLeft" activeCell="A2" sqref="A2"/>
      <selection pane="topRight" activeCell="G1" sqref="G1"/>
    </sheetView>
  </sheetViews>
  <sheetFormatPr defaultColWidth="115.42578125" defaultRowHeight="14.45"/>
  <cols>
    <col min="1" max="1" width="6.140625" style="10" customWidth="1"/>
    <col min="2" max="2" width="16.140625" style="94" customWidth="1"/>
    <col min="3" max="3" width="16.85546875" style="94" customWidth="1"/>
    <col min="4" max="4" width="16.42578125" style="10" customWidth="1"/>
    <col min="5" max="5" width="18.85546875" style="10" customWidth="1"/>
    <col min="6" max="6" width="21.42578125" style="10" customWidth="1"/>
    <col min="7" max="7" width="94.42578125" style="10" customWidth="1"/>
    <col min="8" max="8" width="29.140625" style="10" customWidth="1"/>
    <col min="9" max="9" width="32.85546875" style="10" customWidth="1"/>
    <col min="10" max="11" width="42" style="10" customWidth="1"/>
    <col min="12" max="12" width="21.85546875" style="10" customWidth="1"/>
    <col min="13" max="13" width="18.42578125" style="10" customWidth="1"/>
    <col min="14" max="16" width="19" style="10" customWidth="1"/>
    <col min="17" max="17" width="22.140625" style="10" customWidth="1"/>
    <col min="18" max="18" width="43.140625" style="10" customWidth="1"/>
    <col min="19" max="19" width="19" style="10" customWidth="1"/>
    <col min="20" max="20" width="61.42578125" style="10" customWidth="1"/>
    <col min="21" max="21" width="54.140625" style="10" customWidth="1"/>
    <col min="22" max="22" width="52.140625" style="10" customWidth="1"/>
    <col min="23" max="23" width="48.42578125" style="10" customWidth="1"/>
    <col min="24" max="24" width="25.42578125" style="10" customWidth="1"/>
    <col min="25" max="25" width="29" style="10" customWidth="1"/>
    <col min="26" max="26" width="35.140625" style="10" customWidth="1"/>
    <col min="27" max="27" width="84.140625" style="10" customWidth="1"/>
    <col min="28" max="28" width="25.140625" style="10" customWidth="1"/>
    <col min="29" max="29" width="16.85546875" style="10" customWidth="1"/>
    <col min="30" max="30" width="20" style="10" customWidth="1"/>
    <col min="31" max="31" width="76" style="10" customWidth="1"/>
    <col min="32" max="32" width="90" style="10" customWidth="1"/>
    <col min="33" max="33" width="63.140625" style="10" customWidth="1"/>
    <col min="34" max="34" width="16.42578125" style="10" customWidth="1"/>
    <col min="35" max="36" width="17.140625" style="10" customWidth="1"/>
    <col min="37" max="37" width="15" style="10" customWidth="1"/>
    <col min="38" max="38" width="48.85546875" style="59" customWidth="1"/>
    <col min="39" max="39" width="21.85546875" style="10" bestFit="1" customWidth="1"/>
    <col min="40" max="40" width="13.42578125" style="59" customWidth="1"/>
    <col min="41" max="41" width="17.42578125" style="10" customWidth="1"/>
    <col min="42" max="42" width="23.140625" style="10" customWidth="1"/>
    <col min="43" max="47" width="22.85546875" style="10" customWidth="1"/>
    <col min="48" max="16384" width="115.42578125" style="10"/>
  </cols>
  <sheetData>
    <row r="1" spans="1:44" s="59" customFormat="1" ht="43.5">
      <c r="A1" s="115" t="s">
        <v>5</v>
      </c>
      <c r="B1" s="116" t="s">
        <v>6</v>
      </c>
      <c r="C1" s="116" t="s">
        <v>7</v>
      </c>
      <c r="D1" s="117" t="s">
        <v>8</v>
      </c>
      <c r="E1" s="117" t="s">
        <v>9</v>
      </c>
      <c r="F1" s="117" t="s">
        <v>10</v>
      </c>
      <c r="G1" s="117" t="s">
        <v>11</v>
      </c>
      <c r="H1" s="117" t="s">
        <v>12</v>
      </c>
      <c r="I1" s="117" t="s">
        <v>13</v>
      </c>
      <c r="J1" s="117" t="s">
        <v>590</v>
      </c>
      <c r="K1" s="117" t="s">
        <v>713</v>
      </c>
      <c r="L1" s="117" t="s">
        <v>714</v>
      </c>
      <c r="M1" s="117" t="s">
        <v>715</v>
      </c>
      <c r="N1" s="117" t="s">
        <v>716</v>
      </c>
      <c r="O1" s="118" t="s">
        <v>717</v>
      </c>
      <c r="P1" s="117" t="s">
        <v>718</v>
      </c>
      <c r="Q1" s="117" t="s">
        <v>18</v>
      </c>
      <c r="R1" s="117" t="s">
        <v>719</v>
      </c>
      <c r="S1" s="117" t="s">
        <v>720</v>
      </c>
      <c r="T1" s="117" t="s">
        <v>22</v>
      </c>
      <c r="U1" s="117" t="s">
        <v>721</v>
      </c>
      <c r="V1" s="117" t="s">
        <v>722</v>
      </c>
      <c r="W1" s="117" t="s">
        <v>23</v>
      </c>
      <c r="X1" s="117" t="s">
        <v>723</v>
      </c>
      <c r="Y1" s="117" t="s">
        <v>724</v>
      </c>
      <c r="Z1" s="117" t="s">
        <v>725</v>
      </c>
      <c r="AA1" s="117" t="s">
        <v>726</v>
      </c>
      <c r="AB1" s="117" t="s">
        <v>26</v>
      </c>
      <c r="AC1" s="117" t="s">
        <v>27</v>
      </c>
      <c r="AD1" s="117" t="s">
        <v>727</v>
      </c>
      <c r="AE1" s="117" t="s">
        <v>591</v>
      </c>
      <c r="AF1" s="117" t="s">
        <v>29</v>
      </c>
      <c r="AG1" s="119" t="s">
        <v>728</v>
      </c>
      <c r="AH1" s="95" t="s">
        <v>39</v>
      </c>
      <c r="AI1" s="96" t="s">
        <v>729</v>
      </c>
      <c r="AJ1" s="96" t="s">
        <v>730</v>
      </c>
      <c r="AK1" s="96" t="s">
        <v>731</v>
      </c>
      <c r="AL1" s="96" t="s">
        <v>42</v>
      </c>
      <c r="AM1" s="96" t="s">
        <v>43</v>
      </c>
      <c r="AN1" s="96" t="s">
        <v>33</v>
      </c>
      <c r="AO1" s="143" t="s">
        <v>45</v>
      </c>
      <c r="AP1" s="103" t="s">
        <v>732</v>
      </c>
      <c r="AQ1" s="104" t="s">
        <v>733</v>
      </c>
      <c r="AR1" s="105" t="s">
        <v>734</v>
      </c>
    </row>
    <row r="2" spans="1:44" ht="101.45">
      <c r="A2" s="120">
        <v>26</v>
      </c>
      <c r="B2" s="121">
        <v>46048.615775462997</v>
      </c>
      <c r="C2" s="121">
        <v>46048.6236921296</v>
      </c>
      <c r="D2" s="122" t="s">
        <v>735</v>
      </c>
      <c r="E2" s="122" t="s">
        <v>736</v>
      </c>
      <c r="F2" s="122" t="s">
        <v>737</v>
      </c>
      <c r="G2" s="122" t="s">
        <v>738</v>
      </c>
      <c r="H2" s="122" t="s">
        <v>52</v>
      </c>
      <c r="I2" s="123" t="s">
        <v>739</v>
      </c>
      <c r="J2" s="123" t="s">
        <v>740</v>
      </c>
      <c r="K2" s="122" t="s">
        <v>741</v>
      </c>
      <c r="L2" s="123"/>
      <c r="M2" s="123"/>
      <c r="N2" s="123" t="s">
        <v>56</v>
      </c>
      <c r="O2" s="124">
        <v>46035</v>
      </c>
      <c r="P2" s="122" t="s">
        <v>742</v>
      </c>
      <c r="Q2" s="123" t="s">
        <v>118</v>
      </c>
      <c r="R2" s="123">
        <v>76553</v>
      </c>
      <c r="S2" s="123"/>
      <c r="T2" s="122" t="s">
        <v>743</v>
      </c>
      <c r="U2" s="122" t="s">
        <v>744</v>
      </c>
      <c r="V2" s="122" t="s">
        <v>743</v>
      </c>
      <c r="W2" s="123" t="s">
        <v>745</v>
      </c>
      <c r="X2" s="122" t="s">
        <v>746</v>
      </c>
      <c r="Y2" s="122" t="s">
        <v>747</v>
      </c>
      <c r="Z2" s="123" t="s">
        <v>748</v>
      </c>
      <c r="AA2" s="122" t="s">
        <v>749</v>
      </c>
      <c r="AB2" s="122" t="s">
        <v>750</v>
      </c>
      <c r="AC2" s="122" t="s">
        <v>64</v>
      </c>
      <c r="AD2" s="122" t="s">
        <v>260</v>
      </c>
      <c r="AE2" s="122" t="s">
        <v>751</v>
      </c>
      <c r="AF2" s="122" t="s">
        <v>746</v>
      </c>
      <c r="AG2" s="131" t="s">
        <v>752</v>
      </c>
      <c r="AH2" s="97"/>
      <c r="AI2" s="98"/>
      <c r="AJ2" s="98"/>
      <c r="AK2" s="98"/>
      <c r="AL2" s="156" t="s">
        <v>753</v>
      </c>
      <c r="AM2" s="98"/>
      <c r="AN2" s="102" t="s">
        <v>754</v>
      </c>
      <c r="AO2" s="144" t="s">
        <v>192</v>
      </c>
      <c r="AP2" s="142" t="s">
        <v>755</v>
      </c>
      <c r="AQ2" s="142" t="s">
        <v>756</v>
      </c>
      <c r="AR2" s="108"/>
    </row>
    <row r="3" spans="1:44" ht="144.94999999999999">
      <c r="A3" s="120">
        <v>31</v>
      </c>
      <c r="B3" s="121">
        <v>46048.646111111098</v>
      </c>
      <c r="C3" s="121">
        <v>46048.673055555599</v>
      </c>
      <c r="D3" s="122" t="s">
        <v>757</v>
      </c>
      <c r="E3" s="122" t="s">
        <v>758</v>
      </c>
      <c r="F3" s="122" t="s">
        <v>759</v>
      </c>
      <c r="G3" s="122" t="s">
        <v>760</v>
      </c>
      <c r="H3" s="122" t="s">
        <v>52</v>
      </c>
      <c r="I3" s="123" t="s">
        <v>251</v>
      </c>
      <c r="J3" s="123" t="s">
        <v>761</v>
      </c>
      <c r="K3" s="122" t="s">
        <v>741</v>
      </c>
      <c r="L3" s="123"/>
      <c r="M3" s="123"/>
      <c r="N3" s="123" t="s">
        <v>206</v>
      </c>
      <c r="O3" s="124">
        <v>46081</v>
      </c>
      <c r="P3" s="122" t="s">
        <v>762</v>
      </c>
      <c r="Q3" s="123" t="s">
        <v>57</v>
      </c>
      <c r="R3" s="123"/>
      <c r="S3" s="123"/>
      <c r="T3" s="122" t="s">
        <v>763</v>
      </c>
      <c r="U3" s="122" t="s">
        <v>764</v>
      </c>
      <c r="V3" s="122" t="s">
        <v>765</v>
      </c>
      <c r="W3" s="123" t="s">
        <v>766</v>
      </c>
      <c r="X3" s="122" t="s">
        <v>767</v>
      </c>
      <c r="Y3" s="122" t="s">
        <v>768</v>
      </c>
      <c r="Z3" s="123" t="s">
        <v>769</v>
      </c>
      <c r="AA3" s="122" t="s">
        <v>770</v>
      </c>
      <c r="AB3" s="122" t="s">
        <v>771</v>
      </c>
      <c r="AC3" s="122" t="s">
        <v>64</v>
      </c>
      <c r="AD3" s="122" t="s">
        <v>64</v>
      </c>
      <c r="AE3" s="122" t="s">
        <v>772</v>
      </c>
      <c r="AF3" s="122" t="s">
        <v>773</v>
      </c>
      <c r="AG3" s="131" t="s">
        <v>774</v>
      </c>
      <c r="AH3" s="136">
        <v>2</v>
      </c>
      <c r="AI3" s="158" t="s">
        <v>775</v>
      </c>
      <c r="AJ3" s="138">
        <v>15000</v>
      </c>
      <c r="AK3" s="137" t="s">
        <v>3</v>
      </c>
      <c r="AL3" s="139" t="s">
        <v>776</v>
      </c>
      <c r="AM3" s="137" t="s">
        <v>777</v>
      </c>
      <c r="AN3" s="139" t="s">
        <v>778</v>
      </c>
      <c r="AO3" s="145" t="s">
        <v>605</v>
      </c>
      <c r="AP3" s="142" t="s">
        <v>755</v>
      </c>
      <c r="AQ3" s="142" t="s">
        <v>756</v>
      </c>
      <c r="AR3" s="108"/>
    </row>
    <row r="4" spans="1:44" ht="159.6">
      <c r="A4" s="126">
        <v>33</v>
      </c>
      <c r="B4" s="127">
        <v>46049.461261574099</v>
      </c>
      <c r="C4" s="127">
        <v>46049.472210648099</v>
      </c>
      <c r="D4" s="128" t="s">
        <v>779</v>
      </c>
      <c r="E4" s="128" t="s">
        <v>780</v>
      </c>
      <c r="F4" s="128" t="s">
        <v>781</v>
      </c>
      <c r="G4" s="128" t="s">
        <v>782</v>
      </c>
      <c r="H4" s="128" t="s">
        <v>52</v>
      </c>
      <c r="I4" s="129" t="s">
        <v>77</v>
      </c>
      <c r="J4" s="129" t="s">
        <v>783</v>
      </c>
      <c r="K4" s="128" t="s">
        <v>741</v>
      </c>
      <c r="L4" s="129"/>
      <c r="M4" s="129"/>
      <c r="N4" s="129" t="s">
        <v>206</v>
      </c>
      <c r="O4" s="132">
        <v>46081</v>
      </c>
      <c r="P4" s="128" t="s">
        <v>784</v>
      </c>
      <c r="Q4" s="129" t="s">
        <v>118</v>
      </c>
      <c r="R4" s="129">
        <v>75364</v>
      </c>
      <c r="S4" s="129"/>
      <c r="T4" s="128" t="s">
        <v>785</v>
      </c>
      <c r="U4" s="128" t="s">
        <v>786</v>
      </c>
      <c r="V4" s="128" t="s">
        <v>787</v>
      </c>
      <c r="W4" s="129" t="s">
        <v>788</v>
      </c>
      <c r="X4" s="128" t="s">
        <v>789</v>
      </c>
      <c r="Y4" s="128" t="s">
        <v>790</v>
      </c>
      <c r="Z4" s="129" t="s">
        <v>790</v>
      </c>
      <c r="AA4" s="128" t="s">
        <v>791</v>
      </c>
      <c r="AB4" s="128" t="s">
        <v>187</v>
      </c>
      <c r="AC4" s="128" t="s">
        <v>64</v>
      </c>
      <c r="AD4" s="128" t="s">
        <v>64</v>
      </c>
      <c r="AE4" s="128" t="s">
        <v>792</v>
      </c>
      <c r="AF4" s="128" t="s">
        <v>793</v>
      </c>
      <c r="AG4" s="133" t="s">
        <v>794</v>
      </c>
      <c r="AH4" s="99" t="s">
        <v>795</v>
      </c>
      <c r="AI4" s="100" t="s">
        <v>796</v>
      </c>
      <c r="AJ4" s="100" t="s">
        <v>797</v>
      </c>
      <c r="AK4" s="147" t="s">
        <v>3</v>
      </c>
      <c r="AL4" s="101" t="s">
        <v>798</v>
      </c>
      <c r="AM4" s="100" t="s">
        <v>628</v>
      </c>
      <c r="AN4" s="101" t="s">
        <v>214</v>
      </c>
      <c r="AO4" s="145" t="s">
        <v>605</v>
      </c>
      <c r="AP4" s="142" t="s">
        <v>755</v>
      </c>
      <c r="AQ4" s="142" t="s">
        <v>756</v>
      </c>
      <c r="AR4" s="111"/>
    </row>
    <row r="5" spans="1:44" ht="105.75" customHeight="1">
      <c r="A5" s="120">
        <v>38</v>
      </c>
      <c r="B5" s="121">
        <v>46056.962071759299</v>
      </c>
      <c r="C5" s="121">
        <v>46056.992395833302</v>
      </c>
      <c r="D5" s="122" t="s">
        <v>799</v>
      </c>
      <c r="E5" s="122" t="s">
        <v>800</v>
      </c>
      <c r="F5" s="122" t="s">
        <v>801</v>
      </c>
      <c r="G5" s="122" t="s">
        <v>802</v>
      </c>
      <c r="H5" s="122" t="s">
        <v>430</v>
      </c>
      <c r="I5" s="123" t="s">
        <v>645</v>
      </c>
      <c r="J5" s="123" t="s">
        <v>803</v>
      </c>
      <c r="K5" s="122" t="s">
        <v>804</v>
      </c>
      <c r="L5" s="123"/>
      <c r="M5" s="123" t="s">
        <v>805</v>
      </c>
      <c r="N5" s="123"/>
      <c r="O5" s="124">
        <v>46070</v>
      </c>
      <c r="P5" s="122" t="s">
        <v>806</v>
      </c>
      <c r="Q5" s="123" t="s">
        <v>57</v>
      </c>
      <c r="R5" s="123"/>
      <c r="S5" s="123"/>
      <c r="T5" s="122" t="s">
        <v>807</v>
      </c>
      <c r="U5" s="122" t="s">
        <v>808</v>
      </c>
      <c r="V5" s="122" t="s">
        <v>809</v>
      </c>
      <c r="W5" s="123" t="s">
        <v>810</v>
      </c>
      <c r="X5" s="122" t="s">
        <v>811</v>
      </c>
      <c r="Y5" s="122" t="s">
        <v>812</v>
      </c>
      <c r="Z5" s="123" t="s">
        <v>813</v>
      </c>
      <c r="AA5" s="122" t="s">
        <v>814</v>
      </c>
      <c r="AB5" s="122" t="s">
        <v>750</v>
      </c>
      <c r="AC5" s="122" t="s">
        <v>64</v>
      </c>
      <c r="AD5" s="122" t="s">
        <v>64</v>
      </c>
      <c r="AE5" s="122" t="s">
        <v>815</v>
      </c>
      <c r="AF5" s="122" t="s">
        <v>816</v>
      </c>
      <c r="AG5" s="131"/>
      <c r="AH5" s="97"/>
      <c r="AI5" s="98"/>
      <c r="AJ5" s="98"/>
      <c r="AK5" s="98"/>
      <c r="AL5" s="156" t="s">
        <v>817</v>
      </c>
      <c r="AM5" s="98"/>
      <c r="AN5" s="102" t="s">
        <v>754</v>
      </c>
      <c r="AO5" s="144" t="s">
        <v>192</v>
      </c>
      <c r="AP5" s="142" t="s">
        <v>755</v>
      </c>
      <c r="AQ5" s="142" t="s">
        <v>756</v>
      </c>
      <c r="AR5" s="108"/>
    </row>
    <row r="6" spans="1:44" ht="87" customHeight="1">
      <c r="A6" s="126">
        <v>39</v>
      </c>
      <c r="B6" s="127">
        <v>46057.3828125</v>
      </c>
      <c r="C6" s="127">
        <v>46057.402731481503</v>
      </c>
      <c r="D6" s="128" t="s">
        <v>818</v>
      </c>
      <c r="E6" s="128" t="s">
        <v>819</v>
      </c>
      <c r="F6" s="128" t="s">
        <v>820</v>
      </c>
      <c r="G6" s="128" t="s">
        <v>821</v>
      </c>
      <c r="H6" s="128" t="s">
        <v>112</v>
      </c>
      <c r="I6" s="129" t="s">
        <v>113</v>
      </c>
      <c r="J6" s="129" t="s">
        <v>822</v>
      </c>
      <c r="K6" s="128" t="s">
        <v>823</v>
      </c>
      <c r="L6" s="129" t="s">
        <v>824</v>
      </c>
      <c r="M6" s="129"/>
      <c r="N6" s="129"/>
      <c r="O6" s="132">
        <v>46094</v>
      </c>
      <c r="P6" s="128" t="s">
        <v>825</v>
      </c>
      <c r="Q6" s="129" t="s">
        <v>57</v>
      </c>
      <c r="R6" s="129"/>
      <c r="S6" s="129"/>
      <c r="T6" s="128" t="s">
        <v>826</v>
      </c>
      <c r="U6" s="128" t="s">
        <v>827</v>
      </c>
      <c r="V6" s="128" t="s">
        <v>828</v>
      </c>
      <c r="W6" s="129" t="s">
        <v>829</v>
      </c>
      <c r="X6" s="128" t="s">
        <v>830</v>
      </c>
      <c r="Y6" s="128" t="s">
        <v>831</v>
      </c>
      <c r="Z6" s="129" t="s">
        <v>832</v>
      </c>
      <c r="AA6" s="128" t="s">
        <v>833</v>
      </c>
      <c r="AB6" s="128" t="s">
        <v>85</v>
      </c>
      <c r="AC6" s="128" t="s">
        <v>64</v>
      </c>
      <c r="AD6" s="128" t="s">
        <v>260</v>
      </c>
      <c r="AE6" s="128" t="s">
        <v>834</v>
      </c>
      <c r="AF6" s="128" t="s">
        <v>835</v>
      </c>
      <c r="AG6" s="133" t="s">
        <v>836</v>
      </c>
      <c r="AH6" s="136">
        <v>2</v>
      </c>
      <c r="AI6" s="137" t="s">
        <v>837</v>
      </c>
      <c r="AJ6" s="138">
        <v>13000</v>
      </c>
      <c r="AK6" s="137" t="s">
        <v>3</v>
      </c>
      <c r="AL6" s="139" t="s">
        <v>838</v>
      </c>
      <c r="AM6" s="137" t="s">
        <v>245</v>
      </c>
      <c r="AN6" s="139" t="s">
        <v>839</v>
      </c>
      <c r="AO6" s="145" t="s">
        <v>840</v>
      </c>
      <c r="AP6" s="142" t="s">
        <v>755</v>
      </c>
      <c r="AQ6" s="142" t="s">
        <v>841</v>
      </c>
      <c r="AR6" s="111"/>
    </row>
    <row r="7" spans="1:44" ht="290.10000000000002">
      <c r="A7" s="126">
        <v>42</v>
      </c>
      <c r="B7" s="127">
        <v>46057.826076388897</v>
      </c>
      <c r="C7" s="127">
        <v>46057.8430787037</v>
      </c>
      <c r="D7" s="128" t="s">
        <v>91</v>
      </c>
      <c r="E7" s="128" t="s">
        <v>92</v>
      </c>
      <c r="F7" s="128" t="s">
        <v>842</v>
      </c>
      <c r="G7" s="128" t="s">
        <v>843</v>
      </c>
      <c r="H7" s="128" t="s">
        <v>52</v>
      </c>
      <c r="I7" s="129" t="s">
        <v>77</v>
      </c>
      <c r="J7" s="129" t="s">
        <v>844</v>
      </c>
      <c r="K7" s="128" t="s">
        <v>741</v>
      </c>
      <c r="L7" s="129"/>
      <c r="M7" s="129"/>
      <c r="N7" s="129" t="s">
        <v>56</v>
      </c>
      <c r="O7" s="132">
        <v>46081</v>
      </c>
      <c r="P7" s="128" t="s">
        <v>845</v>
      </c>
      <c r="Q7" s="129" t="s">
        <v>57</v>
      </c>
      <c r="R7" s="129"/>
      <c r="S7" s="129" t="s">
        <v>260</v>
      </c>
      <c r="T7" s="128" t="s">
        <v>843</v>
      </c>
      <c r="U7" s="128" t="s">
        <v>846</v>
      </c>
      <c r="V7" s="128" t="s">
        <v>847</v>
      </c>
      <c r="W7" s="129" t="s">
        <v>848</v>
      </c>
      <c r="X7" s="128" t="s">
        <v>849</v>
      </c>
      <c r="Y7" s="128" t="s">
        <v>850</v>
      </c>
      <c r="Z7" s="129" t="s">
        <v>851</v>
      </c>
      <c r="AA7" s="128" t="s">
        <v>852</v>
      </c>
      <c r="AB7" s="128" t="s">
        <v>853</v>
      </c>
      <c r="AC7" s="128" t="s">
        <v>64</v>
      </c>
      <c r="AD7" s="128" t="s">
        <v>64</v>
      </c>
      <c r="AE7" s="128" t="s">
        <v>854</v>
      </c>
      <c r="AF7" s="128" t="s">
        <v>855</v>
      </c>
      <c r="AG7" s="133" t="s">
        <v>856</v>
      </c>
      <c r="AH7" s="99">
        <v>2.5</v>
      </c>
      <c r="AI7" s="100" t="s">
        <v>775</v>
      </c>
      <c r="AJ7" s="100" t="s">
        <v>857</v>
      </c>
      <c r="AK7" s="100" t="s">
        <v>3</v>
      </c>
      <c r="AL7" s="101" t="s">
        <v>858</v>
      </c>
      <c r="AM7" s="100" t="s">
        <v>859</v>
      </c>
      <c r="AN7" s="101" t="s">
        <v>860</v>
      </c>
      <c r="AO7" s="146" t="s">
        <v>605</v>
      </c>
      <c r="AP7" s="109"/>
      <c r="AQ7" s="110"/>
      <c r="AR7" s="111"/>
    </row>
    <row r="8" spans="1:44" ht="409.5">
      <c r="A8" s="152">
        <v>47</v>
      </c>
      <c r="B8" s="153">
        <v>46059.417569444398</v>
      </c>
      <c r="C8" s="153">
        <v>46065.659872685203</v>
      </c>
      <c r="D8" s="154" t="s">
        <v>818</v>
      </c>
      <c r="E8" s="154" t="s">
        <v>819</v>
      </c>
      <c r="F8" s="154" t="s">
        <v>861</v>
      </c>
      <c r="G8" s="128" t="s">
        <v>862</v>
      </c>
      <c r="H8" s="128" t="s">
        <v>112</v>
      </c>
      <c r="I8" s="129" t="s">
        <v>113</v>
      </c>
      <c r="J8" s="129" t="s">
        <v>863</v>
      </c>
      <c r="K8" s="128" t="s">
        <v>823</v>
      </c>
      <c r="L8" s="129" t="s">
        <v>824</v>
      </c>
      <c r="M8" s="129"/>
      <c r="N8" s="129"/>
      <c r="O8" s="132">
        <v>46447</v>
      </c>
      <c r="P8" s="128" t="s">
        <v>57</v>
      </c>
      <c r="Q8" s="129" t="s">
        <v>57</v>
      </c>
      <c r="R8" s="129"/>
      <c r="S8" s="129"/>
      <c r="T8" s="128" t="s">
        <v>864</v>
      </c>
      <c r="U8" s="128" t="s">
        <v>865</v>
      </c>
      <c r="V8" s="128" t="s">
        <v>866</v>
      </c>
      <c r="W8" s="129" t="s">
        <v>867</v>
      </c>
      <c r="X8" s="128" t="s">
        <v>868</v>
      </c>
      <c r="Y8" s="128" t="s">
        <v>869</v>
      </c>
      <c r="Z8" s="129" t="s">
        <v>870</v>
      </c>
      <c r="AA8" s="128" t="s">
        <v>871</v>
      </c>
      <c r="AB8" s="128" t="s">
        <v>872</v>
      </c>
      <c r="AC8" s="128" t="s">
        <v>64</v>
      </c>
      <c r="AD8" s="128" t="s">
        <v>64</v>
      </c>
      <c r="AE8" s="128" t="s">
        <v>873</v>
      </c>
      <c r="AF8" s="128" t="s">
        <v>874</v>
      </c>
      <c r="AG8" s="130" t="s">
        <v>875</v>
      </c>
      <c r="AH8" s="99">
        <v>1</v>
      </c>
      <c r="AI8" s="100"/>
      <c r="AJ8" s="100"/>
      <c r="AK8" s="100" t="s">
        <v>4</v>
      </c>
      <c r="AL8" s="157" t="s">
        <v>876</v>
      </c>
      <c r="AM8" s="100" t="s">
        <v>671</v>
      </c>
      <c r="AN8" s="101" t="s">
        <v>68</v>
      </c>
      <c r="AO8" s="146" t="s">
        <v>605</v>
      </c>
      <c r="AP8" s="106" t="s">
        <v>755</v>
      </c>
      <c r="AQ8" s="107" t="s">
        <v>877</v>
      </c>
      <c r="AR8" s="111"/>
    </row>
    <row r="9" spans="1:44" ht="174">
      <c r="A9" s="126">
        <v>46</v>
      </c>
      <c r="B9" s="127">
        <v>46065.350011574097</v>
      </c>
      <c r="C9" s="127">
        <v>46065.393067129597</v>
      </c>
      <c r="D9" s="128" t="s">
        <v>878</v>
      </c>
      <c r="E9" s="128" t="s">
        <v>879</v>
      </c>
      <c r="F9" s="128" t="s">
        <v>880</v>
      </c>
      <c r="G9" s="128" t="s">
        <v>881</v>
      </c>
      <c r="H9" s="128" t="s">
        <v>112</v>
      </c>
      <c r="I9" s="129" t="s">
        <v>113</v>
      </c>
      <c r="J9" s="129" t="s">
        <v>882</v>
      </c>
      <c r="K9" s="128" t="s">
        <v>823</v>
      </c>
      <c r="L9" s="129" t="s">
        <v>226</v>
      </c>
      <c r="M9" s="129"/>
      <c r="N9" s="129"/>
      <c r="O9" s="132">
        <v>46110</v>
      </c>
      <c r="P9" s="128" t="s">
        <v>883</v>
      </c>
      <c r="Q9" s="129" t="s">
        <v>57</v>
      </c>
      <c r="R9" s="129"/>
      <c r="S9" s="129"/>
      <c r="T9" s="128" t="s">
        <v>884</v>
      </c>
      <c r="U9" s="128" t="s">
        <v>885</v>
      </c>
      <c r="V9" s="128" t="s">
        <v>886</v>
      </c>
      <c r="W9" s="129" t="s">
        <v>887</v>
      </c>
      <c r="X9" s="128" t="s">
        <v>888</v>
      </c>
      <c r="Y9" s="128" t="s">
        <v>889</v>
      </c>
      <c r="Z9" s="129" t="s">
        <v>890</v>
      </c>
      <c r="AA9" s="128" t="s">
        <v>891</v>
      </c>
      <c r="AB9" s="128" t="s">
        <v>892</v>
      </c>
      <c r="AC9" s="128" t="s">
        <v>260</v>
      </c>
      <c r="AD9" s="128" t="s">
        <v>64</v>
      </c>
      <c r="AE9" s="128" t="s">
        <v>893</v>
      </c>
      <c r="AF9" s="128" t="s">
        <v>894</v>
      </c>
      <c r="AG9" s="130"/>
      <c r="AH9" s="99">
        <v>0.75</v>
      </c>
      <c r="AI9" s="100" t="s">
        <v>837</v>
      </c>
      <c r="AJ9" s="100">
        <f>30*35*1.18</f>
        <v>1239</v>
      </c>
      <c r="AK9" s="100" t="s">
        <v>4</v>
      </c>
      <c r="AL9" s="157" t="s">
        <v>895</v>
      </c>
      <c r="AM9" s="100" t="s">
        <v>245</v>
      </c>
      <c r="AN9" s="101" t="s">
        <v>896</v>
      </c>
      <c r="AO9" s="146" t="s">
        <v>605</v>
      </c>
      <c r="AP9" s="142" t="s">
        <v>755</v>
      </c>
      <c r="AQ9" s="142" t="s">
        <v>756</v>
      </c>
      <c r="AR9" s="111"/>
    </row>
    <row r="10" spans="1:44" ht="409.5">
      <c r="A10" s="120">
        <v>51</v>
      </c>
      <c r="B10" s="121">
        <v>46069.480613425898</v>
      </c>
      <c r="C10" s="121">
        <v>46070.595509259299</v>
      </c>
      <c r="D10" s="122" t="s">
        <v>897</v>
      </c>
      <c r="E10" s="122" t="s">
        <v>898</v>
      </c>
      <c r="F10" s="122" t="s">
        <v>899</v>
      </c>
      <c r="G10" s="122" t="s">
        <v>900</v>
      </c>
      <c r="H10" s="122" t="s">
        <v>112</v>
      </c>
      <c r="I10" s="123" t="s">
        <v>113</v>
      </c>
      <c r="J10" s="123" t="s">
        <v>901</v>
      </c>
      <c r="K10" s="122" t="s">
        <v>823</v>
      </c>
      <c r="L10" s="123" t="s">
        <v>226</v>
      </c>
      <c r="M10" s="123"/>
      <c r="N10" s="123"/>
      <c r="O10" s="124">
        <v>46104</v>
      </c>
      <c r="P10" s="122" t="s">
        <v>902</v>
      </c>
      <c r="Q10" s="123" t="s">
        <v>57</v>
      </c>
      <c r="R10" s="123"/>
      <c r="S10" s="123"/>
      <c r="T10" s="122" t="s">
        <v>903</v>
      </c>
      <c r="U10" s="122" t="s">
        <v>904</v>
      </c>
      <c r="V10" s="122" t="s">
        <v>905</v>
      </c>
      <c r="W10" s="123" t="s">
        <v>906</v>
      </c>
      <c r="X10" s="122" t="s">
        <v>907</v>
      </c>
      <c r="Y10" s="122" t="s">
        <v>908</v>
      </c>
      <c r="Z10" s="123" t="s">
        <v>909</v>
      </c>
      <c r="AA10" s="122" t="s">
        <v>910</v>
      </c>
      <c r="AB10" s="122" t="s">
        <v>911</v>
      </c>
      <c r="AC10" s="122" t="s">
        <v>64</v>
      </c>
      <c r="AD10" s="122" t="s">
        <v>260</v>
      </c>
      <c r="AE10" s="122" t="s">
        <v>912</v>
      </c>
      <c r="AF10" s="122" t="s">
        <v>913</v>
      </c>
      <c r="AG10" s="125" t="s">
        <v>914</v>
      </c>
      <c r="AH10" s="97"/>
      <c r="AI10" s="98"/>
      <c r="AJ10" s="98"/>
      <c r="AK10" s="98"/>
      <c r="AL10" s="102"/>
      <c r="AM10" s="98"/>
      <c r="AN10" s="102" t="s">
        <v>754</v>
      </c>
      <c r="AO10" s="144" t="s">
        <v>192</v>
      </c>
      <c r="AP10" s="142" t="s">
        <v>755</v>
      </c>
      <c r="AQ10" s="142" t="s">
        <v>756</v>
      </c>
      <c r="AR10" s="108"/>
    </row>
    <row r="11" spans="1:44" s="65" customFormat="1" ht="130.5">
      <c r="A11" s="120">
        <v>53</v>
      </c>
      <c r="B11" s="121">
        <v>46070.696863425903</v>
      </c>
      <c r="C11" s="121">
        <v>46070.718368055597</v>
      </c>
      <c r="D11" s="122" t="s">
        <v>799</v>
      </c>
      <c r="E11" s="122" t="s">
        <v>800</v>
      </c>
      <c r="F11" s="122" t="s">
        <v>915</v>
      </c>
      <c r="G11" s="122" t="s">
        <v>916</v>
      </c>
      <c r="H11" s="122" t="s">
        <v>430</v>
      </c>
      <c r="I11" s="123" t="s">
        <v>645</v>
      </c>
      <c r="J11" s="123" t="s">
        <v>917</v>
      </c>
      <c r="K11" s="122" t="s">
        <v>804</v>
      </c>
      <c r="L11" s="123"/>
      <c r="M11" s="123" t="s">
        <v>805</v>
      </c>
      <c r="N11" s="123"/>
      <c r="O11" s="124">
        <v>46112</v>
      </c>
      <c r="P11" s="122" t="s">
        <v>806</v>
      </c>
      <c r="Q11" s="123" t="s">
        <v>57</v>
      </c>
      <c r="R11" s="123"/>
      <c r="S11" s="123"/>
      <c r="T11" s="122" t="s">
        <v>918</v>
      </c>
      <c r="U11" s="122" t="s">
        <v>919</v>
      </c>
      <c r="V11" s="122" t="s">
        <v>920</v>
      </c>
      <c r="W11" s="123" t="s">
        <v>921</v>
      </c>
      <c r="X11" s="122" t="s">
        <v>922</v>
      </c>
      <c r="Y11" s="122" t="s">
        <v>923</v>
      </c>
      <c r="Z11" s="123" t="s">
        <v>924</v>
      </c>
      <c r="AA11" s="122" t="s">
        <v>925</v>
      </c>
      <c r="AB11" s="122" t="s">
        <v>926</v>
      </c>
      <c r="AC11" s="122" t="s">
        <v>64</v>
      </c>
      <c r="AD11" s="122" t="s">
        <v>64</v>
      </c>
      <c r="AE11" s="122" t="s">
        <v>927</v>
      </c>
      <c r="AF11" s="122" t="s">
        <v>928</v>
      </c>
      <c r="AG11" s="131" t="s">
        <v>929</v>
      </c>
      <c r="AH11" s="97"/>
      <c r="AI11" s="98"/>
      <c r="AJ11" s="98"/>
      <c r="AK11" s="98"/>
      <c r="AL11" s="156" t="s">
        <v>817</v>
      </c>
      <c r="AM11" s="98"/>
      <c r="AN11" s="102" t="s">
        <v>754</v>
      </c>
      <c r="AO11" s="144" t="s">
        <v>192</v>
      </c>
      <c r="AP11" s="106"/>
      <c r="AQ11" s="107"/>
      <c r="AR11" s="108"/>
    </row>
    <row r="12" spans="1:44" s="65" customFormat="1" ht="261">
      <c r="A12" s="120">
        <v>55</v>
      </c>
      <c r="B12" s="121">
        <v>46071.365555555603</v>
      </c>
      <c r="C12" s="121">
        <v>46071.394305555601</v>
      </c>
      <c r="D12" s="122" t="s">
        <v>930</v>
      </c>
      <c r="E12" s="122" t="s">
        <v>931</v>
      </c>
      <c r="F12" s="122" t="s">
        <v>932</v>
      </c>
      <c r="G12" s="122" t="s">
        <v>933</v>
      </c>
      <c r="H12" s="122" t="s">
        <v>112</v>
      </c>
      <c r="I12" s="123" t="s">
        <v>113</v>
      </c>
      <c r="J12" s="123" t="s">
        <v>934</v>
      </c>
      <c r="K12" s="122" t="s">
        <v>823</v>
      </c>
      <c r="L12" s="123" t="s">
        <v>226</v>
      </c>
      <c r="M12" s="123"/>
      <c r="N12" s="123"/>
      <c r="O12" s="124">
        <v>46102</v>
      </c>
      <c r="P12" s="122" t="s">
        <v>935</v>
      </c>
      <c r="Q12" s="123" t="s">
        <v>57</v>
      </c>
      <c r="R12" s="123"/>
      <c r="S12" s="123"/>
      <c r="T12" s="122" t="s">
        <v>936</v>
      </c>
      <c r="U12" s="122" t="s">
        <v>937</v>
      </c>
      <c r="V12" s="122" t="s">
        <v>938</v>
      </c>
      <c r="W12" s="123" t="s">
        <v>939</v>
      </c>
      <c r="X12" s="122" t="s">
        <v>940</v>
      </c>
      <c r="Y12" s="122" t="s">
        <v>941</v>
      </c>
      <c r="Z12" s="123" t="s">
        <v>942</v>
      </c>
      <c r="AA12" s="122" t="s">
        <v>943</v>
      </c>
      <c r="AB12" s="122" t="s">
        <v>944</v>
      </c>
      <c r="AC12" s="122" t="s">
        <v>64</v>
      </c>
      <c r="AD12" s="122" t="s">
        <v>64</v>
      </c>
      <c r="AE12" s="122" t="s">
        <v>945</v>
      </c>
      <c r="AF12" s="122" t="s">
        <v>946</v>
      </c>
      <c r="AG12" s="125" t="s">
        <v>947</v>
      </c>
      <c r="AH12" s="65" t="s">
        <v>948</v>
      </c>
      <c r="AI12" s="65" t="s">
        <v>775</v>
      </c>
      <c r="AJ12" s="70" t="s">
        <v>949</v>
      </c>
      <c r="AK12" s="65" t="s">
        <v>3</v>
      </c>
      <c r="AL12" s="140" t="s">
        <v>950</v>
      </c>
      <c r="AM12" s="65" t="s">
        <v>628</v>
      </c>
      <c r="AN12" s="69" t="s">
        <v>106</v>
      </c>
      <c r="AO12" s="65" t="s">
        <v>605</v>
      </c>
      <c r="AP12" s="106"/>
      <c r="AQ12" s="107"/>
      <c r="AR12" s="108"/>
    </row>
    <row r="13" spans="1:44" s="65" customFormat="1" ht="101.45">
      <c r="A13" s="126">
        <v>57</v>
      </c>
      <c r="B13" s="127">
        <v>46071.778449074103</v>
      </c>
      <c r="C13" s="127">
        <v>46072.386608796303</v>
      </c>
      <c r="D13" s="128" t="s">
        <v>951</v>
      </c>
      <c r="E13" s="128" t="s">
        <v>952</v>
      </c>
      <c r="F13" s="128" t="s">
        <v>953</v>
      </c>
      <c r="G13" s="128" t="s">
        <v>954</v>
      </c>
      <c r="H13" s="128" t="s">
        <v>52</v>
      </c>
      <c r="I13" s="129" t="s">
        <v>224</v>
      </c>
      <c r="J13" s="134" t="s">
        <v>955</v>
      </c>
      <c r="K13" s="128" t="s">
        <v>741</v>
      </c>
      <c r="L13" s="129"/>
      <c r="M13" s="129"/>
      <c r="N13" s="129" t="s">
        <v>296</v>
      </c>
      <c r="O13" s="132">
        <v>46081</v>
      </c>
      <c r="P13" s="128" t="s">
        <v>956</v>
      </c>
      <c r="Q13" s="129" t="s">
        <v>57</v>
      </c>
      <c r="R13" s="129"/>
      <c r="S13" s="129"/>
      <c r="T13" s="128" t="s">
        <v>957</v>
      </c>
      <c r="U13" s="128" t="s">
        <v>958</v>
      </c>
      <c r="V13" s="128" t="s">
        <v>959</v>
      </c>
      <c r="W13" s="129" t="s">
        <v>960</v>
      </c>
      <c r="X13" s="128" t="s">
        <v>961</v>
      </c>
      <c r="Y13" s="128" t="s">
        <v>962</v>
      </c>
      <c r="Z13" s="129" t="s">
        <v>963</v>
      </c>
      <c r="AA13" s="128" t="s">
        <v>964</v>
      </c>
      <c r="AB13" s="128" t="s">
        <v>187</v>
      </c>
      <c r="AC13" s="128" t="s">
        <v>64</v>
      </c>
      <c r="AD13" s="128" t="s">
        <v>64</v>
      </c>
      <c r="AE13" s="128" t="s">
        <v>965</v>
      </c>
      <c r="AF13" s="128" t="s">
        <v>966</v>
      </c>
      <c r="AG13" s="133" t="s">
        <v>967</v>
      </c>
      <c r="AH13" s="65" t="s">
        <v>795</v>
      </c>
      <c r="AI13" s="65" t="s">
        <v>775</v>
      </c>
      <c r="AJ13" s="65" t="s">
        <v>968</v>
      </c>
      <c r="AK13" s="65" t="s">
        <v>3</v>
      </c>
      <c r="AL13" s="140" t="s">
        <v>969</v>
      </c>
      <c r="AM13" s="100" t="s">
        <v>245</v>
      </c>
      <c r="AN13" s="69" t="s">
        <v>970</v>
      </c>
      <c r="AO13" s="145" t="s">
        <v>605</v>
      </c>
      <c r="AP13" s="109" t="s">
        <v>755</v>
      </c>
      <c r="AQ13" s="110" t="s">
        <v>756</v>
      </c>
      <c r="AR13" s="111"/>
    </row>
    <row r="14" spans="1:44" s="65" customFormat="1" ht="405.95">
      <c r="A14" s="120">
        <v>56</v>
      </c>
      <c r="B14" s="121">
        <v>46071.782685185201</v>
      </c>
      <c r="C14" s="121">
        <v>46071.784108796302</v>
      </c>
      <c r="D14" s="122" t="s">
        <v>930</v>
      </c>
      <c r="E14" s="122" t="s">
        <v>931</v>
      </c>
      <c r="F14" s="122" t="s">
        <v>971</v>
      </c>
      <c r="G14" s="155" t="s">
        <v>972</v>
      </c>
      <c r="H14" s="122" t="s">
        <v>112</v>
      </c>
      <c r="I14" s="123" t="s">
        <v>113</v>
      </c>
      <c r="J14" s="135" t="s">
        <v>973</v>
      </c>
      <c r="K14" s="122" t="s">
        <v>823</v>
      </c>
      <c r="L14" s="123" t="s">
        <v>226</v>
      </c>
      <c r="M14" s="123" t="s">
        <v>805</v>
      </c>
      <c r="N14" s="123" t="s">
        <v>56</v>
      </c>
      <c r="O14" s="124">
        <v>46101</v>
      </c>
      <c r="P14" s="122" t="s">
        <v>974</v>
      </c>
      <c r="Q14" s="123" t="s">
        <v>57</v>
      </c>
      <c r="R14" s="123"/>
      <c r="S14" s="123"/>
      <c r="T14" s="122" t="s">
        <v>975</v>
      </c>
      <c r="U14" s="122" t="s">
        <v>976</v>
      </c>
      <c r="V14" s="122" t="s">
        <v>977</v>
      </c>
      <c r="W14" s="123" t="s">
        <v>978</v>
      </c>
      <c r="X14" s="122" t="s">
        <v>979</v>
      </c>
      <c r="Y14" s="122" t="s">
        <v>980</v>
      </c>
      <c r="Z14" s="123" t="s">
        <v>981</v>
      </c>
      <c r="AA14" s="122" t="s">
        <v>982</v>
      </c>
      <c r="AB14" s="122" t="s">
        <v>983</v>
      </c>
      <c r="AC14" s="122" t="s">
        <v>64</v>
      </c>
      <c r="AD14" s="122" t="s">
        <v>64</v>
      </c>
      <c r="AE14" s="122" t="s">
        <v>984</v>
      </c>
      <c r="AF14" s="122" t="s">
        <v>985</v>
      </c>
      <c r="AG14" s="125" t="s">
        <v>986</v>
      </c>
      <c r="AH14" s="65">
        <v>3</v>
      </c>
      <c r="AI14" s="65" t="s">
        <v>987</v>
      </c>
      <c r="AJ14" s="65">
        <f>3*13500*1.18</f>
        <v>47790</v>
      </c>
      <c r="AK14" s="65" t="s">
        <v>3</v>
      </c>
      <c r="AL14" s="141" t="s">
        <v>988</v>
      </c>
      <c r="AM14" s="65" t="s">
        <v>628</v>
      </c>
      <c r="AN14" s="69" t="s">
        <v>106</v>
      </c>
      <c r="AO14" s="65" t="s">
        <v>605</v>
      </c>
      <c r="AP14" s="112"/>
      <c r="AQ14" s="113" t="s">
        <v>756</v>
      </c>
      <c r="AR14" s="114"/>
    </row>
    <row r="15" spans="1:44" ht="116.1">
      <c r="A15" s="148">
        <v>58</v>
      </c>
      <c r="B15" s="149">
        <v>46077.447870370401</v>
      </c>
      <c r="C15" s="149">
        <v>46077.465486111098</v>
      </c>
      <c r="D15" s="150" t="s">
        <v>989</v>
      </c>
      <c r="E15" s="150" t="s">
        <v>49</v>
      </c>
      <c r="F15" s="150" t="s">
        <v>990</v>
      </c>
      <c r="G15" s="150" t="s">
        <v>991</v>
      </c>
      <c r="H15" s="150" t="s">
        <v>52</v>
      </c>
      <c r="I15" s="150" t="s">
        <v>125</v>
      </c>
      <c r="J15" s="150" t="s">
        <v>992</v>
      </c>
      <c r="K15" s="150" t="s">
        <v>741</v>
      </c>
      <c r="L15" s="150"/>
      <c r="M15" s="150"/>
      <c r="N15" s="150" t="s">
        <v>206</v>
      </c>
      <c r="O15" s="151">
        <v>46078</v>
      </c>
      <c r="P15" s="150" t="s">
        <v>993</v>
      </c>
      <c r="Q15" s="150" t="s">
        <v>57</v>
      </c>
      <c r="R15" s="150"/>
      <c r="S15" s="150" t="s">
        <v>57</v>
      </c>
      <c r="T15" s="150" t="s">
        <v>994</v>
      </c>
      <c r="U15" s="150" t="s">
        <v>995</v>
      </c>
      <c r="V15" s="150" t="s">
        <v>996</v>
      </c>
      <c r="W15" s="150" t="s">
        <v>997</v>
      </c>
      <c r="X15" s="150" t="s">
        <v>998</v>
      </c>
      <c r="Y15" s="150" t="s">
        <v>999</v>
      </c>
      <c r="Z15" s="150" t="s">
        <v>993</v>
      </c>
      <c r="AA15" s="150" t="s">
        <v>1000</v>
      </c>
      <c r="AB15" s="150" t="s">
        <v>187</v>
      </c>
      <c r="AC15" s="150" t="s">
        <v>64</v>
      </c>
      <c r="AD15" s="150" t="s">
        <v>64</v>
      </c>
      <c r="AE15" s="150" t="s">
        <v>1001</v>
      </c>
      <c r="AF15" s="150" t="s">
        <v>1002</v>
      </c>
      <c r="AG15" s="150" t="s">
        <v>1003</v>
      </c>
      <c r="AH15" s="10">
        <v>0.75</v>
      </c>
      <c r="AK15" s="10" t="s">
        <v>4</v>
      </c>
      <c r="AM15" s="10" t="s">
        <v>671</v>
      </c>
      <c r="AN15" s="59" t="s">
        <v>322</v>
      </c>
      <c r="AO15" s="10" t="s">
        <v>605</v>
      </c>
    </row>
    <row r="16" spans="1:44">
      <c r="A16" s="10" t="e">
        <f>[1]Sheet1!#REF!</f>
        <v>#REF!</v>
      </c>
      <c r="B16" s="10" t="e">
        <f>[1]Sheet1!#REF!</f>
        <v>#REF!</v>
      </c>
      <c r="C16" s="10" t="e">
        <f>[1]Sheet1!#REF!</f>
        <v>#REF!</v>
      </c>
      <c r="D16" s="10" t="e">
        <f>[1]Sheet1!#REF!</f>
        <v>#REF!</v>
      </c>
      <c r="E16" s="10" t="e">
        <f>[1]Sheet1!#REF!</f>
        <v>#REF!</v>
      </c>
      <c r="F16" s="10" t="e">
        <f>[1]Sheet1!#REF!</f>
        <v>#REF!</v>
      </c>
      <c r="G16" s="10" t="e">
        <f>[1]Sheet1!#REF!</f>
        <v>#REF!</v>
      </c>
      <c r="H16" s="10" t="e">
        <f>[1]Sheet1!#REF!</f>
        <v>#REF!</v>
      </c>
      <c r="I16" s="10" t="e">
        <f>[1]Sheet1!#REF!</f>
        <v>#REF!</v>
      </c>
      <c r="J16" s="10" t="e">
        <f>[1]Sheet1!#REF!</f>
        <v>#REF!</v>
      </c>
      <c r="K16" s="10" t="e">
        <f>[1]Sheet1!#REF!</f>
        <v>#REF!</v>
      </c>
      <c r="L16" s="10" t="e">
        <f>[1]Sheet1!#REF!</f>
        <v>#REF!</v>
      </c>
      <c r="M16" s="10" t="e">
        <f>[1]Sheet1!#REF!</f>
        <v>#REF!</v>
      </c>
      <c r="N16" s="10" t="e">
        <f>[1]Sheet1!#REF!</f>
        <v>#REF!</v>
      </c>
      <c r="O16" s="10" t="e">
        <f>[1]Sheet1!#REF!</f>
        <v>#REF!</v>
      </c>
      <c r="P16" s="10" t="e">
        <f>[1]Sheet1!#REF!</f>
        <v>#REF!</v>
      </c>
      <c r="Q16" s="10" t="e">
        <f>[1]Sheet1!#REF!</f>
        <v>#REF!</v>
      </c>
      <c r="R16" s="10" t="e">
        <f>[1]Sheet1!#REF!</f>
        <v>#REF!</v>
      </c>
      <c r="S16" s="10" t="e">
        <f>[1]Sheet1!#REF!</f>
        <v>#REF!</v>
      </c>
      <c r="T16" s="10" t="e">
        <f>[1]Sheet1!#REF!</f>
        <v>#REF!</v>
      </c>
      <c r="U16" s="10" t="e">
        <f>[1]Sheet1!#REF!</f>
        <v>#REF!</v>
      </c>
      <c r="V16" s="10" t="e">
        <f>[1]Sheet1!#REF!</f>
        <v>#REF!</v>
      </c>
      <c r="W16" s="10" t="e">
        <f>[1]Sheet1!#REF!</f>
        <v>#REF!</v>
      </c>
      <c r="X16" s="10" t="e">
        <f>[1]Sheet1!#REF!</f>
        <v>#REF!</v>
      </c>
      <c r="Y16" s="10" t="e">
        <f>[1]Sheet1!#REF!</f>
        <v>#REF!</v>
      </c>
      <c r="Z16" s="10" t="e">
        <f>[1]Sheet1!#REF!</f>
        <v>#REF!</v>
      </c>
      <c r="AA16" s="10" t="e">
        <f>[1]Sheet1!#REF!</f>
        <v>#REF!</v>
      </c>
      <c r="AB16" s="10" t="e">
        <f>[1]Sheet1!#REF!</f>
        <v>#REF!</v>
      </c>
      <c r="AC16" s="10" t="e">
        <f>[1]Sheet1!#REF!</f>
        <v>#REF!</v>
      </c>
      <c r="AD16" s="10" t="e">
        <f>[1]Sheet1!#REF!</f>
        <v>#REF!</v>
      </c>
      <c r="AE16" s="10" t="e">
        <f>[1]Sheet1!#REF!</f>
        <v>#REF!</v>
      </c>
      <c r="AF16" s="10" t="e">
        <f>[1]Sheet1!#REF!</f>
        <v>#REF!</v>
      </c>
      <c r="AG16" s="10" t="e">
        <f>[1]Sheet1!#REF!</f>
        <v>#REF!</v>
      </c>
    </row>
    <row r="17" spans="1:33">
      <c r="A17" s="10" t="e">
        <f>[1]Sheet1!#REF!</f>
        <v>#REF!</v>
      </c>
      <c r="B17" s="10" t="e">
        <f>[1]Sheet1!#REF!</f>
        <v>#REF!</v>
      </c>
      <c r="C17" s="10" t="e">
        <f>[1]Sheet1!#REF!</f>
        <v>#REF!</v>
      </c>
      <c r="D17" s="10" t="e">
        <f>[1]Sheet1!#REF!</f>
        <v>#REF!</v>
      </c>
      <c r="E17" s="10" t="e">
        <f>[1]Sheet1!#REF!</f>
        <v>#REF!</v>
      </c>
      <c r="F17" s="10" t="e">
        <f>[1]Sheet1!#REF!</f>
        <v>#REF!</v>
      </c>
      <c r="G17" s="10" t="e">
        <f>[1]Sheet1!#REF!</f>
        <v>#REF!</v>
      </c>
      <c r="H17" s="10" t="e">
        <f>[1]Sheet1!#REF!</f>
        <v>#REF!</v>
      </c>
      <c r="I17" s="10" t="e">
        <f>[1]Sheet1!#REF!</f>
        <v>#REF!</v>
      </c>
      <c r="J17" s="10" t="e">
        <f>[1]Sheet1!#REF!</f>
        <v>#REF!</v>
      </c>
      <c r="K17" s="10" t="e">
        <f>[1]Sheet1!#REF!</f>
        <v>#REF!</v>
      </c>
      <c r="L17" s="10" t="e">
        <f>[1]Sheet1!#REF!</f>
        <v>#REF!</v>
      </c>
      <c r="M17" s="10" t="e">
        <f>[1]Sheet1!#REF!</f>
        <v>#REF!</v>
      </c>
      <c r="N17" s="10" t="e">
        <f>[1]Sheet1!#REF!</f>
        <v>#REF!</v>
      </c>
      <c r="O17" s="10" t="e">
        <f>[1]Sheet1!#REF!</f>
        <v>#REF!</v>
      </c>
      <c r="P17" s="10" t="e">
        <f>[1]Sheet1!#REF!</f>
        <v>#REF!</v>
      </c>
      <c r="Q17" s="10" t="e">
        <f>[1]Sheet1!#REF!</f>
        <v>#REF!</v>
      </c>
      <c r="R17" s="10" t="e">
        <f>[1]Sheet1!#REF!</f>
        <v>#REF!</v>
      </c>
      <c r="S17" s="10" t="e">
        <f>[1]Sheet1!#REF!</f>
        <v>#REF!</v>
      </c>
      <c r="T17" s="10" t="e">
        <f>[1]Sheet1!#REF!</f>
        <v>#REF!</v>
      </c>
      <c r="U17" s="10" t="e">
        <f>[1]Sheet1!#REF!</f>
        <v>#REF!</v>
      </c>
      <c r="V17" s="10" t="e">
        <f>[1]Sheet1!#REF!</f>
        <v>#REF!</v>
      </c>
      <c r="W17" s="10" t="e">
        <f>[1]Sheet1!#REF!</f>
        <v>#REF!</v>
      </c>
      <c r="X17" s="10" t="e">
        <f>[1]Sheet1!#REF!</f>
        <v>#REF!</v>
      </c>
      <c r="Y17" s="10" t="e">
        <f>[1]Sheet1!#REF!</f>
        <v>#REF!</v>
      </c>
      <c r="Z17" s="10" t="e">
        <f>[1]Sheet1!#REF!</f>
        <v>#REF!</v>
      </c>
      <c r="AA17" s="10" t="e">
        <f>[1]Sheet1!#REF!</f>
        <v>#REF!</v>
      </c>
      <c r="AB17" s="10" t="e">
        <f>[1]Sheet1!#REF!</f>
        <v>#REF!</v>
      </c>
      <c r="AC17" s="10" t="e">
        <f>[1]Sheet1!#REF!</f>
        <v>#REF!</v>
      </c>
      <c r="AD17" s="10" t="e">
        <f>[1]Sheet1!#REF!</f>
        <v>#REF!</v>
      </c>
      <c r="AE17" s="10" t="e">
        <f>[1]Sheet1!#REF!</f>
        <v>#REF!</v>
      </c>
      <c r="AF17" s="10" t="e">
        <f>[1]Sheet1!#REF!</f>
        <v>#REF!</v>
      </c>
      <c r="AG17" s="10" t="e">
        <f>[1]Sheet1!#REF!</f>
        <v>#REF!</v>
      </c>
    </row>
    <row r="18" spans="1:33">
      <c r="A18" s="10">
        <f>[1]Sheet1!A38</f>
        <v>60</v>
      </c>
      <c r="B18" s="10">
        <f>[1]Sheet1!B38</f>
        <v>46083.704305555599</v>
      </c>
      <c r="C18" s="10">
        <f>[1]Sheet1!C38</f>
        <v>46083.706134259301</v>
      </c>
      <c r="D18" s="10" t="str">
        <f>[1]Sheet1!D38</f>
        <v>carlos.sanchez@laureate.pe</v>
      </c>
      <c r="E18" s="10" t="str">
        <f>[1]Sheet1!E38</f>
        <v>Carlos Sanchez Rubio</v>
      </c>
      <c r="F18" s="10" t="str">
        <f>[1]Sheet1!F38</f>
        <v>MFA para equipos de cómputo administrativos</v>
      </c>
      <c r="G18" s="10"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18" s="10" t="str">
        <f>[1]Sheet1!H38</f>
        <v>CORPORATIVO</v>
      </c>
      <c r="I18" s="10" t="str">
        <f>[1]Sheet1!I38</f>
        <v>Donoban Meza - Director Corp IT Security</v>
      </c>
      <c r="J18" s="10" t="str">
        <f>[1]Sheet1!J38</f>
        <v xml:space="preserve">Carlos Sánchez Rubio </v>
      </c>
      <c r="K18" s="10">
        <f>[1]Sheet1!K38</f>
        <v>0</v>
      </c>
      <c r="L18" s="10" t="str">
        <f>[1]Sheet1!L38</f>
        <v>Ninguno</v>
      </c>
      <c r="M18" s="10">
        <f>[1]Sheet1!M38</f>
        <v>46203</v>
      </c>
      <c r="N18" s="10" t="str">
        <f>[1]Sheet1!N38</f>
        <v>No</v>
      </c>
      <c r="O18" s="10">
        <f>[1]Sheet1!O38</f>
        <v>0</v>
      </c>
      <c r="P18" s="10">
        <f>[1]Sheet1!P38</f>
        <v>0</v>
      </c>
      <c r="Q18" s="10" t="str">
        <f>[1]Sheet1!Q38</f>
        <v>Seguridad de la información</v>
      </c>
      <c r="R18" s="10"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18" s="10">
        <f>[1]Sheet1!S38</f>
        <v>0</v>
      </c>
      <c r="T18" s="10" t="str">
        <f>[1]Sheet1!T38</f>
        <v>No Aplica</v>
      </c>
      <c r="U18" s="10">
        <f>[1]Sheet1!U38</f>
        <v>0</v>
      </c>
      <c r="V18" s="10" t="str">
        <f>[1]Sheet1!V38</f>
        <v>Excelencia Operativa</v>
      </c>
      <c r="W18" s="10" t="str">
        <f>[1]Sheet1!W38</f>
        <v>No</v>
      </c>
      <c r="X18" s="10">
        <f>[1]Sheet1!X38</f>
        <v>0</v>
      </c>
      <c r="Y18" s="10"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18" s="10"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18" s="10">
        <f>[1]Sheet1!AA38</f>
        <v>1.2</v>
      </c>
      <c r="AB18" s="10">
        <f>[1]Sheet1!AB38</f>
        <v>0</v>
      </c>
      <c r="AC18" s="10">
        <f>[1]Sheet1!AC38</f>
        <v>0</v>
      </c>
      <c r="AD18" s="10">
        <f>[1]Sheet1!AD38</f>
        <v>0</v>
      </c>
      <c r="AE18" s="10">
        <f>[1]Sheet1!AE38</f>
        <v>0</v>
      </c>
      <c r="AF18" s="10">
        <f>[1]Sheet1!AF38</f>
        <v>0</v>
      </c>
      <c r="AG18" s="10">
        <f>[1]Sheet1!AG38</f>
        <v>0</v>
      </c>
    </row>
    <row r="19" spans="1:33">
      <c r="A19" s="10">
        <f>[1]Sheet1!A39</f>
        <v>61</v>
      </c>
      <c r="B19" s="10">
        <f>[1]Sheet1!B39</f>
        <v>46083.706215277802</v>
      </c>
      <c r="C19" s="10">
        <f>[1]Sheet1!C39</f>
        <v>46083.709166666697</v>
      </c>
      <c r="D19" s="10" t="str">
        <f>[1]Sheet1!D39</f>
        <v>carlos.sanchez@laureate.pe</v>
      </c>
      <c r="E19" s="10" t="str">
        <f>[1]Sheet1!E39</f>
        <v>Carlos Sanchez Rubio</v>
      </c>
      <c r="F19" s="10" t="str">
        <f>[1]Sheet1!F39</f>
        <v>API Pentesting</v>
      </c>
      <c r="G19" s="10"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19" s="10" t="str">
        <f>[1]Sheet1!H39</f>
        <v>CORPORATIVO</v>
      </c>
      <c r="I19" s="10" t="str">
        <f>[1]Sheet1!I39</f>
        <v>Donoban Meza - Director Corp IT Security</v>
      </c>
      <c r="J19" s="10" t="str">
        <f>[1]Sheet1!J39</f>
        <v xml:space="preserve">Carlos Sánchez Rubio </v>
      </c>
      <c r="K19" s="10">
        <f>[1]Sheet1!K39</f>
        <v>0</v>
      </c>
      <c r="L19" s="10" t="str">
        <f>[1]Sheet1!L39</f>
        <v>Ninguno</v>
      </c>
      <c r="M19" s="10">
        <f>[1]Sheet1!M39</f>
        <v>46295</v>
      </c>
      <c r="N19" s="10" t="str">
        <f>[1]Sheet1!N39</f>
        <v>No</v>
      </c>
      <c r="O19" s="10">
        <f>[1]Sheet1!O39</f>
        <v>0</v>
      </c>
      <c r="P19" s="10">
        <f>[1]Sheet1!P39</f>
        <v>0</v>
      </c>
      <c r="Q19" s="10" t="str">
        <f>[1]Sheet1!Q39</f>
        <v>Seguridad de la información</v>
      </c>
      <c r="R19" s="10" t="str">
        <f>[1]Sheet1!R39</f>
        <v>Las APIs exponen servicios y datos sensibles, pero no todas cuentan con validaciones de seguridad verificadas de forma periódica. Esto puede permitir explotación de vulnerabilidades como exposición de datos, fallas de autenticación o acceso indebido.</v>
      </c>
      <c r="S19" s="10">
        <f>[1]Sheet1!S39</f>
        <v>0</v>
      </c>
      <c r="T19" s="10" t="str">
        <f>[1]Sheet1!T39</f>
        <v>No Aplica</v>
      </c>
      <c r="U19" s="10">
        <f>[1]Sheet1!U39</f>
        <v>0</v>
      </c>
      <c r="V19" s="10" t="str">
        <f>[1]Sheet1!V39</f>
        <v>Excelencia Operativa</v>
      </c>
      <c r="W19" s="10" t="str">
        <f>[1]Sheet1!W39</f>
        <v>No</v>
      </c>
      <c r="X19" s="10">
        <f>[1]Sheet1!X39</f>
        <v>0</v>
      </c>
      <c r="Y19" s="10"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19" s="10"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19" s="10">
        <f>[1]Sheet1!AA39</f>
        <v>1.2</v>
      </c>
      <c r="AB19" s="10">
        <f>[1]Sheet1!AB39</f>
        <v>0</v>
      </c>
      <c r="AC19" s="10">
        <f>[1]Sheet1!AC39</f>
        <v>0</v>
      </c>
      <c r="AD19" s="10">
        <f>[1]Sheet1!AD39</f>
        <v>0</v>
      </c>
      <c r="AE19" s="10">
        <f>[1]Sheet1!AE39</f>
        <v>0</v>
      </c>
      <c r="AF19" s="10">
        <f>[1]Sheet1!AF39</f>
        <v>0</v>
      </c>
      <c r="AG19" s="10">
        <f>[1]Sheet1!AG39</f>
        <v>0</v>
      </c>
    </row>
    <row r="20" spans="1:33">
      <c r="A20" s="10">
        <f>[1]Sheet1!A40</f>
        <v>62</v>
      </c>
      <c r="B20" s="10">
        <f>[1]Sheet1!B40</f>
        <v>46083.709212962996</v>
      </c>
      <c r="C20" s="10">
        <f>[1]Sheet1!C40</f>
        <v>46083.711898148104</v>
      </c>
      <c r="D20" s="10" t="str">
        <f>[1]Sheet1!D40</f>
        <v>carlos.sanchez@laureate.pe</v>
      </c>
      <c r="E20" s="10" t="str">
        <f>[1]Sheet1!E40</f>
        <v>Carlos Sanchez Rubio</v>
      </c>
      <c r="F20" s="10" t="str">
        <f>[1]Sheet1!F40</f>
        <v>Integración de sistemas críticos con el SIEM</v>
      </c>
      <c r="G20" s="10" t="str">
        <f>[1]Sheet1!G40</f>
        <v>Necesitamos integrar los sistemas críticos al SIEM, para centralizar eventos de seguridad y detectar oportunamente actividades sospechosas o incidentes, logrando mejorar la visibilidad, la capacidad de monitoreo y la respuesta ante amenazas.</v>
      </c>
      <c r="H20" s="10" t="str">
        <f>[1]Sheet1!H40</f>
        <v>CORPORATIVO</v>
      </c>
      <c r="I20" s="10" t="str">
        <f>[1]Sheet1!I40</f>
        <v>Donoban Meza - Director Corp IT Security</v>
      </c>
      <c r="J20" s="10" t="str">
        <f>[1]Sheet1!J40</f>
        <v xml:space="preserve">Carlos Sánchez Rubio </v>
      </c>
      <c r="K20" s="10">
        <f>[1]Sheet1!K40</f>
        <v>0</v>
      </c>
      <c r="L20" s="10" t="str">
        <f>[1]Sheet1!L40</f>
        <v>Ninguno</v>
      </c>
      <c r="M20" s="10">
        <f>[1]Sheet1!M40</f>
        <v>46326</v>
      </c>
      <c r="N20" s="10" t="str">
        <f>[1]Sheet1!N40</f>
        <v>No</v>
      </c>
      <c r="O20" s="10">
        <f>[1]Sheet1!O40</f>
        <v>0</v>
      </c>
      <c r="P20" s="10">
        <f>[1]Sheet1!P40</f>
        <v>0</v>
      </c>
      <c r="Q20" s="10" t="str">
        <f>[1]Sheet1!Q40</f>
        <v>Seguridad de la información</v>
      </c>
      <c r="R20" s="10" t="str">
        <f>[1]Sheet1!R40</f>
        <v>Actualmente, no todos los sistemas críticos reportan sus eventos al SIEM, lo que limita la detección temprana de incidentes y reduce la visibilidad sobre actividades anómalas o compromisos de seguridad.</v>
      </c>
      <c r="S20" s="10">
        <f>[1]Sheet1!S40</f>
        <v>0</v>
      </c>
      <c r="T20" s="10" t="str">
        <f>[1]Sheet1!T40</f>
        <v>No Aplica</v>
      </c>
      <c r="U20" s="10" t="str">
        <f>[1]Sheet1!U40</f>
        <v>Ninguno</v>
      </c>
      <c r="V20" s="10" t="str">
        <f>[1]Sheet1!V40</f>
        <v>Excelencia Operativa</v>
      </c>
      <c r="W20" s="10" t="str">
        <f>[1]Sheet1!W40</f>
        <v>No</v>
      </c>
      <c r="X20" s="10" t="str">
        <f>[1]Sheet1!X40</f>
        <v>No cuantificado o S/0</v>
      </c>
      <c r="Y20" s="10" t="str">
        <f>[1]Sheet1!Y40</f>
        <v>Mejora la visibilidad sobre eventos de seguridad, fortalece la capacidad de respuesta ante incidentes y permite una gestión más oportuna de amenazas. Incrementa el control y la trazabilidad sobre sistemas críticos para el negocio.</v>
      </c>
      <c r="Z20" s="10"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20" s="10">
        <f>[1]Sheet1!AA40</f>
        <v>1.3499999999999999</v>
      </c>
      <c r="AB20" s="10">
        <f>[1]Sheet1!AB40</f>
        <v>0</v>
      </c>
      <c r="AC20" s="10">
        <f>[1]Sheet1!AC40</f>
        <v>0</v>
      </c>
      <c r="AD20" s="10">
        <f>[1]Sheet1!AD40</f>
        <v>0</v>
      </c>
      <c r="AE20" s="10">
        <f>[1]Sheet1!AE40</f>
        <v>0</v>
      </c>
      <c r="AF20" s="10">
        <f>[1]Sheet1!AF40</f>
        <v>0</v>
      </c>
      <c r="AG20" s="10">
        <f>[1]Sheet1!AG40</f>
        <v>0</v>
      </c>
    </row>
    <row r="21" spans="1:33">
      <c r="A21" s="10">
        <f>[1]Sheet1!A41</f>
        <v>63</v>
      </c>
      <c r="B21" s="10">
        <f>[1]Sheet1!B41</f>
        <v>46083.712094907401</v>
      </c>
      <c r="C21" s="10">
        <f>[1]Sheet1!C41</f>
        <v>46083.714675925898</v>
      </c>
      <c r="D21" s="10" t="str">
        <f>[1]Sheet1!D41</f>
        <v>carlos.sanchez@laureate.pe</v>
      </c>
      <c r="E21" s="10" t="str">
        <f>[1]Sheet1!E41</f>
        <v>Carlos Sanchez Rubio</v>
      </c>
      <c r="F21" s="10" t="str">
        <f>[1]Sheet1!F41</f>
        <v>Ejecución de BIA para sistemas críticos del negocio</v>
      </c>
      <c r="G21" s="10"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21" s="10" t="str">
        <f>[1]Sheet1!H41</f>
        <v>CORPORATIVO</v>
      </c>
      <c r="I21" s="10" t="str">
        <f>[1]Sheet1!I41</f>
        <v>Donoban Meza - Director Corp IT Security</v>
      </c>
      <c r="J21" s="10" t="str">
        <f>[1]Sheet1!J41</f>
        <v xml:space="preserve">Carlos Sánchez Rubio </v>
      </c>
      <c r="K21" s="10">
        <f>[1]Sheet1!K41</f>
        <v>0</v>
      </c>
      <c r="L21" s="10" t="str">
        <f>[1]Sheet1!L41</f>
        <v>Ninguno</v>
      </c>
      <c r="M21" s="10">
        <f>[1]Sheet1!M41</f>
        <v>46356</v>
      </c>
      <c r="N21" s="10" t="str">
        <f>[1]Sheet1!N41</f>
        <v>No</v>
      </c>
      <c r="O21" s="10">
        <f>[1]Sheet1!O41</f>
        <v>0</v>
      </c>
      <c r="P21" s="10">
        <f>[1]Sheet1!P41</f>
        <v>0</v>
      </c>
      <c r="Q21" s="10" t="str">
        <f>[1]Sheet1!Q41</f>
        <v>Seguridad de la información</v>
      </c>
      <c r="R21" s="10" t="str">
        <f>[1]Sheet1!R41</f>
        <v>Actualmente, no se cuenta con una evaluación formal y actualizada del impacto de indisponibilidad de sistemas críticos. Esto dificulta priorizar recuperación, asignar recursos y definir tiempos objetivos de continuidad.</v>
      </c>
      <c r="S21" s="10">
        <f>[1]Sheet1!S41</f>
        <v>0</v>
      </c>
      <c r="T21" s="10" t="str">
        <f>[1]Sheet1!T41</f>
        <v>Proceso de Continuidad del Negocio</v>
      </c>
      <c r="U21" s="10" t="str">
        <f>[1]Sheet1!U41</f>
        <v>Ninguno</v>
      </c>
      <c r="V21" s="10" t="str">
        <f>[1]Sheet1!V41</f>
        <v>Excelencia Operativa</v>
      </c>
      <c r="W21" s="10" t="str">
        <f>[1]Sheet1!W41</f>
        <v>No</v>
      </c>
      <c r="X21" s="10" t="str">
        <f>[1]Sheet1!X41</f>
        <v>No cuantificado o S/0</v>
      </c>
      <c r="Y21" s="10" t="str">
        <f>[1]Sheet1!Y41</f>
        <v>Fortalece la toma de decisiones ante contingencias, mejora la planificación de continuidad y alinea a TI con las prioridades reales del negocio. Permite una gestión más ordenada, objetiva y consensuada sobre sistemas críticos.</v>
      </c>
      <c r="Z21" s="10"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21" s="10">
        <f>[1]Sheet1!AA41</f>
        <v>1.3499999999999999</v>
      </c>
      <c r="AB21" s="10">
        <f>[1]Sheet1!AB41</f>
        <v>0</v>
      </c>
      <c r="AC21" s="10">
        <f>[1]Sheet1!AC41</f>
        <v>0</v>
      </c>
      <c r="AD21" s="10">
        <f>[1]Sheet1!AD41</f>
        <v>0</v>
      </c>
      <c r="AE21" s="10">
        <f>[1]Sheet1!AE41</f>
        <v>0</v>
      </c>
      <c r="AF21" s="10">
        <f>[1]Sheet1!AF41</f>
        <v>0</v>
      </c>
      <c r="AG21" s="10">
        <f>[1]Sheet1!AG41</f>
        <v>0</v>
      </c>
    </row>
    <row r="22" spans="1:33">
      <c r="A22" s="10">
        <f>[1]Sheet1!A42</f>
        <v>64</v>
      </c>
      <c r="B22" s="10">
        <f>[1]Sheet1!B42</f>
        <v>46083.714710648099</v>
      </c>
      <c r="C22" s="10">
        <f>[1]Sheet1!C42</f>
        <v>46083.720902777801</v>
      </c>
      <c r="D22" s="10" t="str">
        <f>[1]Sheet1!D42</f>
        <v>carlos.sanchez@laureate.pe</v>
      </c>
      <c r="E22" s="10" t="str">
        <f>[1]Sheet1!E42</f>
        <v>Carlos Sanchez Rubio</v>
      </c>
      <c r="F22" s="10" t="str">
        <f>[1]Sheet1!F42</f>
        <v>Verificación de Integridad de Backups</v>
      </c>
      <c r="G22" s="10" t="str">
        <f>[1]Sheet1!G42</f>
        <v>Necesitamos implementar un proceso de verificación de integridad de backups, para asegurar que los respaldos sean recuperables y confiables ante incidentes, logrando reducir el riesgo de fallas de restauración y fortalecer la continuidad operativa.</v>
      </c>
      <c r="H22" s="10" t="str">
        <f>[1]Sheet1!H42</f>
        <v>CORPORATIVO</v>
      </c>
      <c r="I22" s="10" t="str">
        <f>[1]Sheet1!I42</f>
        <v>Donoban Meza - Director Corp IT Security</v>
      </c>
      <c r="J22" s="10" t="str">
        <f>[1]Sheet1!J42</f>
        <v xml:space="preserve">Carlos Sánchez Rubio </v>
      </c>
      <c r="K22" s="10">
        <f>[1]Sheet1!K42</f>
        <v>0</v>
      </c>
      <c r="L22" s="10" t="str">
        <f>[1]Sheet1!L42</f>
        <v>Ninguno</v>
      </c>
      <c r="M22" s="10">
        <f>[1]Sheet1!M42</f>
        <v>46295</v>
      </c>
      <c r="N22" s="10" t="str">
        <f>[1]Sheet1!N42</f>
        <v>No</v>
      </c>
      <c r="O22" s="10">
        <f>[1]Sheet1!O42</f>
        <v>0</v>
      </c>
      <c r="P22" s="10">
        <f>[1]Sheet1!P42</f>
        <v>0</v>
      </c>
      <c r="Q22" s="10" t="str">
        <f>[1]Sheet1!Q42</f>
        <v>Seguridad de la información</v>
      </c>
      <c r="R22" s="10" t="str">
        <f>[1]Sheet1!R42</f>
        <v>Contar con respaldos no garantiza su recuperación si no se valida periódicamente su integridad. Esto expone a la organización a fallas durante incidentes, ransomware o eventos de pérdida de información.</v>
      </c>
      <c r="S22" s="10">
        <f>[1]Sheet1!S42</f>
        <v>0</v>
      </c>
      <c r="T22" s="10" t="str">
        <f>[1]Sheet1!T42</f>
        <v>Proceso de Respaldo de Sistemas de Información</v>
      </c>
      <c r="U22" s="10">
        <f>[1]Sheet1!U42</f>
        <v>0</v>
      </c>
      <c r="V22" s="10" t="str">
        <f>[1]Sheet1!V42</f>
        <v>Excelencia Operativa</v>
      </c>
      <c r="W22" s="10" t="str">
        <f>[1]Sheet1!W42</f>
        <v>No</v>
      </c>
      <c r="X22" s="10">
        <f>[1]Sheet1!X42</f>
        <v>0</v>
      </c>
      <c r="Y22" s="10" t="str">
        <f>[1]Sheet1!Y42</f>
        <v>Aumenta la confianza en la estrategia de respaldo, fortalece la continuidad operativa y mejora la preparación ante incidentes como ransomware o fallas tecnológicas. Reduce la incertidumbre sobre la capacidad real de recuperación.</v>
      </c>
      <c r="Z22" s="10"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22" s="10">
        <f>[1]Sheet1!AA42</f>
        <v>1.2</v>
      </c>
      <c r="AB22" s="10">
        <f>[1]Sheet1!AB42</f>
        <v>0</v>
      </c>
      <c r="AC22" s="10">
        <f>[1]Sheet1!AC42</f>
        <v>0</v>
      </c>
      <c r="AD22" s="10">
        <f>[1]Sheet1!AD42</f>
        <v>0</v>
      </c>
      <c r="AE22" s="10">
        <f>[1]Sheet1!AE42</f>
        <v>0</v>
      </c>
      <c r="AF22" s="10">
        <f>[1]Sheet1!AF42</f>
        <v>0</v>
      </c>
      <c r="AG22" s="10">
        <f>[1]Sheet1!AG42</f>
        <v>0</v>
      </c>
    </row>
    <row r="23" spans="1:33">
      <c r="A23" s="10">
        <f>[1]Sheet1!A43</f>
        <v>65</v>
      </c>
      <c r="B23" s="10">
        <f>[1]Sheet1!B43</f>
        <v>46083.708483796298</v>
      </c>
      <c r="C23" s="10">
        <f>[1]Sheet1!C43</f>
        <v>46083.737210648098</v>
      </c>
      <c r="D23" s="10" t="str">
        <f>[1]Sheet1!D43</f>
        <v>frank.palomino@cibertec.pe</v>
      </c>
      <c r="E23" s="10" t="str">
        <f>[1]Sheet1!E43</f>
        <v>Frank Palomino Lizano</v>
      </c>
      <c r="F23" s="10" t="str">
        <f>[1]Sheet1!F43</f>
        <v>Reporte de asistencia y tardanza</v>
      </c>
      <c r="G23" s="10" t="str">
        <f>[1]Sheet1!G43</f>
        <v>Análisis de  asistencia y tardanza en base a falla de marcación por error de sistema y/o error humano</v>
      </c>
      <c r="H23" s="10" t="str">
        <f>[1]Sheet1!H43</f>
        <v>CIB</v>
      </c>
      <c r="I23" s="10" t="str">
        <f>[1]Sheet1!I43</f>
        <v>Humberto Marota - Tecnologías y transformación digital</v>
      </c>
      <c r="J23" s="10" t="str">
        <f>[1]Sheet1!J43</f>
        <v>Juan Huapata</v>
      </c>
      <c r="K23" s="10">
        <f>[1]Sheet1!K43</f>
        <v>0</v>
      </c>
      <c r="L23" s="10" t="str">
        <f>[1]Sheet1!L43</f>
        <v>Ángela Lucano</v>
      </c>
      <c r="M23" s="10">
        <f>[1]Sheet1!M43</f>
        <v>46112</v>
      </c>
      <c r="N23" s="10" t="str">
        <f>[1]Sheet1!N43</f>
        <v>No</v>
      </c>
      <c r="O23" s="10">
        <f>[1]Sheet1!O43</f>
        <v>0</v>
      </c>
      <c r="P23" s="10">
        <f>[1]Sheet1!P43</f>
        <v>0</v>
      </c>
      <c r="Q23" s="10" t="str">
        <f>[1]Sheet1!Q43</f>
        <v>Otro</v>
      </c>
      <c r="R23" s="10" t="str">
        <f>[1]Sheet1!R43</f>
        <v xml:space="preserve">Reporte actual en gestión docente para la función no cumple con la necesidad realizando un trabajo manual muy arduo.
</v>
      </c>
      <c r="S23" s="10">
        <f>[1]Sheet1!S43</f>
        <v>0</v>
      </c>
      <c r="T23" s="10" t="str">
        <f>[1]Sheet1!T43</f>
        <v>Proceso planilla, programación de recuperación de clases, proceso de asistencias entre otros.</v>
      </c>
      <c r="U23" s="10">
        <f>[1]Sheet1!U43</f>
        <v>0</v>
      </c>
      <c r="V23" s="10" t="str">
        <f>[1]Sheet1!V43</f>
        <v>Excelencia operativa</v>
      </c>
      <c r="W23" s="10" t="str">
        <f>[1]Sheet1!W43</f>
        <v>No</v>
      </c>
      <c r="X23" s="10">
        <f>[1]Sheet1!X43</f>
        <v>0</v>
      </c>
      <c r="Y23" s="10" t="str">
        <f>[1]Sheet1!Y43</f>
        <v>Las mejoras  como seguimiento de asistencia docente, recuperación de clases y  contratación de docente que cumplan el horario establecido y a la una organización correcta para su pago de planilla</v>
      </c>
      <c r="Z23" s="10">
        <f>[1]Sheet1!Z43</f>
        <v>0</v>
      </c>
      <c r="AA23" s="10">
        <f>[1]Sheet1!AA43</f>
        <v>0.30000000000000004</v>
      </c>
      <c r="AB23" s="10">
        <f>[1]Sheet1!AB43</f>
        <v>0</v>
      </c>
      <c r="AC23" s="10">
        <f>[1]Sheet1!AC43</f>
        <v>0</v>
      </c>
      <c r="AD23" s="10">
        <f>[1]Sheet1!AD43</f>
        <v>0</v>
      </c>
      <c r="AE23" s="10">
        <f>[1]Sheet1!AE43</f>
        <v>0</v>
      </c>
      <c r="AF23" s="10">
        <f>[1]Sheet1!AF43</f>
        <v>0</v>
      </c>
      <c r="AG23" s="10">
        <f>[1]Sheet1!AG43</f>
        <v>0</v>
      </c>
    </row>
    <row r="24" spans="1:33">
      <c r="A24" s="10">
        <f>[1]Sheet1!A44</f>
        <v>66</v>
      </c>
      <c r="B24" s="10">
        <f>[1]Sheet1!B44</f>
        <v>46083.734027777798</v>
      </c>
      <c r="C24" s="10">
        <f>[1]Sheet1!C44</f>
        <v>46083.756967592599</v>
      </c>
      <c r="D24" s="10" t="str">
        <f>[1]Sheet1!D44</f>
        <v>eduardo.paul@cibertec.pe</v>
      </c>
      <c r="E24" s="10" t="str">
        <f>[1]Sheet1!E44</f>
        <v>Eduardo Paul Aguilar</v>
      </c>
      <c r="F24" s="10" t="str">
        <f>[1]Sheet1!F44</f>
        <v>Genesys – Implementación de Timestamps</v>
      </c>
      <c r="G24" s="10"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24" s="10" t="str">
        <f>[1]Sheet1!H44</f>
        <v>LAUREATE</v>
      </c>
      <c r="I24" s="10" t="str">
        <f>[1]Sheet1!I44</f>
        <v>Ivan Olivares - VP Marketing y Comercial</v>
      </c>
      <c r="J24" s="10" t="str">
        <f>[1]Sheet1!J44</f>
        <v>Pedro Guibar</v>
      </c>
      <c r="K24" s="10">
        <f>[1]Sheet1!K44</f>
        <v>0</v>
      </c>
      <c r="L24" s="10" t="str">
        <f>[1]Sheet1!L44</f>
        <v>Jose Paredes</v>
      </c>
      <c r="M24" s="10">
        <f>[1]Sheet1!M44</f>
        <v>46098</v>
      </c>
      <c r="N24" s="10" t="str">
        <f>[1]Sheet1!N44</f>
        <v>No</v>
      </c>
      <c r="O24" s="10">
        <f>[1]Sheet1!O44</f>
        <v>0</v>
      </c>
      <c r="P24" s="10">
        <f>[1]Sheet1!P44</f>
        <v>0</v>
      </c>
      <c r="Q24" s="10" t="str">
        <f>[1]Sheet1!Q44</f>
        <v>Otro</v>
      </c>
      <c r="R24" s="10"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24" s="10">
        <f>[1]Sheet1!S44</f>
        <v>0</v>
      </c>
      <c r="T24" s="10" t="str">
        <f>[1]Sheet1!T44</f>
        <v>.Gestión de campañas outbound.
Seguimiento y trazabilidad de leads.
Medición de SLA comercial.
Reportería operativa y gerencial.</v>
      </c>
      <c r="U24" s="10" t="str">
        <f>[1]Sheet1!U44</f>
        <v>Administrativos</v>
      </c>
      <c r="V24" s="10" t="str">
        <f>[1]Sheet1!V44</f>
        <v>Excelencia Operativa</v>
      </c>
      <c r="W24" s="10" t="str">
        <f>[1]Sheet1!W44</f>
        <v>No</v>
      </c>
      <c r="X24" s="10" t="str">
        <f>[1]Sheet1!X44</f>
        <v>No cuantificado o S/0</v>
      </c>
      <c r="Y24" s="10"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24" s="10" t="str">
        <f>[1]Sheet1!Z44</f>
        <v>https://educorpperu-my.sharepoint.com/personal/diana_zapata_laureate_pe1/_layouts/15/Doc.aspx?sourcedoc=%7B8F59C472-75F3-48E0-9F18-E94B531DC819%7D&amp;file=Solicitud%20de%20requerimientos_Timestamps%201_Eduardo%20Paul%20Aguilar.pptx&amp;action=edit&amp;mobileredirect=true</v>
      </c>
      <c r="AA24" s="10">
        <f>[1]Sheet1!AA44</f>
        <v>0.60000000000000009</v>
      </c>
      <c r="AB24" s="10">
        <f>[1]Sheet1!AB44</f>
        <v>0</v>
      </c>
      <c r="AC24" s="10">
        <f>[1]Sheet1!AC44</f>
        <v>0</v>
      </c>
      <c r="AD24" s="10">
        <f>[1]Sheet1!AD44</f>
        <v>0</v>
      </c>
      <c r="AE24" s="10">
        <f>[1]Sheet1!AE44</f>
        <v>0</v>
      </c>
      <c r="AF24" s="10">
        <f>[1]Sheet1!AF44</f>
        <v>0</v>
      </c>
      <c r="AG24" s="10">
        <f>[1]Sheet1!AG44</f>
        <v>0</v>
      </c>
    </row>
    <row r="25" spans="1:33">
      <c r="A25" s="10">
        <f>[1]Sheet1!A45</f>
        <v>67</v>
      </c>
      <c r="B25" s="10">
        <f>[1]Sheet1!B45</f>
        <v>46086.675891203697</v>
      </c>
      <c r="C25" s="10">
        <f>[1]Sheet1!C45</f>
        <v>46086.694652777798</v>
      </c>
      <c r="D25" s="10" t="str">
        <f>[1]Sheet1!D45</f>
        <v>eduardo.paul@cibertec.pe</v>
      </c>
      <c r="E25" s="10" t="str">
        <f>[1]Sheet1!E45</f>
        <v>Eduardo Paul Aguilar</v>
      </c>
      <c r="F25" s="10" t="str">
        <f>[1]Sheet1!F45</f>
        <v>Visualización Adelantada de Clases - Sistema Gestión Docente</v>
      </c>
      <c r="G25" s="10"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25" s="10" t="str">
        <f>[1]Sheet1!H45</f>
        <v>CIB</v>
      </c>
      <c r="I25" s="10" t="str">
        <f>[1]Sheet1!I45</f>
        <v>Danilo Tauil - GM TecVoc</v>
      </c>
      <c r="J25" s="10" t="str">
        <f>[1]Sheet1!J45</f>
        <v>Davi Paulalima</v>
      </c>
      <c r="K25" s="10">
        <f>[1]Sheet1!K45</f>
        <v>0</v>
      </c>
      <c r="L25" s="10" t="str">
        <f>[1]Sheet1!L45</f>
        <v>Frank Palomino</v>
      </c>
      <c r="M25" s="10">
        <f>[1]Sheet1!M45</f>
        <v>46143</v>
      </c>
      <c r="N25" s="10" t="str">
        <f>[1]Sheet1!N45</f>
        <v>No</v>
      </c>
      <c r="O25" s="10">
        <f>[1]Sheet1!O45</f>
        <v>0</v>
      </c>
      <c r="P25" s="10">
        <f>[1]Sheet1!P45</f>
        <v>0</v>
      </c>
      <c r="Q25" s="10" t="str">
        <f>[1]Sheet1!Q45</f>
        <v>Otro</v>
      </c>
      <c r="R25" s="10" t="str">
        <f>[1]Sheet1!R45</f>
        <v>Hoy el equipo de TI ejecuta 10 dias con antes del inicio de clases un conjuntos de pases produccion para que los alumnos y docnetes puedan ver esta información. Luego un par de dias antes retornan a la normalidad los el programa.</v>
      </c>
      <c r="S25" s="10">
        <f>[1]Sheet1!S45</f>
        <v>0</v>
      </c>
      <c r="T25" s="10" t="str">
        <f>[1]Sheet1!T45</f>
        <v>Asignación de Recursos de TI. Proceso de Pase a Producción. Experiencia al estudiante.</v>
      </c>
      <c r="U25" s="10">
        <f>[1]Sheet1!U45</f>
        <v>0</v>
      </c>
      <c r="V25" s="10" t="str">
        <f>[1]Sheet1!V45</f>
        <v>Excelencia Operativa</v>
      </c>
      <c r="W25" s="10" t="str">
        <f>[1]Sheet1!W45</f>
        <v>No</v>
      </c>
      <c r="X25" s="10">
        <f>[1]Sheet1!X45</f>
        <v>0</v>
      </c>
      <c r="Y25" s="10" t="str">
        <f>[1]Sheet1!Y45</f>
        <v>Asegurar la mejora en la experiencia del estudiante.
Reducción de actividades administrativas de TI.</v>
      </c>
      <c r="Z25" s="10" t="str">
        <f>[1]Sheet1!Z45</f>
        <v>https://educorpperu-my.sharepoint.com/personal/diana_zapata_laureate_pe1/_layouts/15/Doc.aspx?sourcedoc=%7BF15528DB-4205-4182-80A5-0A8B8E36B1BE%7D&amp;file=Solicitud%20adelanto%20y%20retorno%20de%20visualizacion_Eduardo%20Paul%20Aguilar.pptx&amp;action=edit&amp;mobileredirect=true</v>
      </c>
      <c r="AA25" s="10">
        <f>[1]Sheet1!AA45</f>
        <v>0.30000000000000004</v>
      </c>
      <c r="AB25" s="10">
        <f>[1]Sheet1!AB45</f>
        <v>0</v>
      </c>
      <c r="AC25" s="10">
        <f>[1]Sheet1!AC45</f>
        <v>0</v>
      </c>
      <c r="AD25" s="10">
        <f>[1]Sheet1!AD45</f>
        <v>0</v>
      </c>
      <c r="AE25" s="10">
        <f>[1]Sheet1!AE45</f>
        <v>0</v>
      </c>
      <c r="AF25" s="10">
        <f>[1]Sheet1!AF45</f>
        <v>0</v>
      </c>
      <c r="AG25" s="10">
        <f>[1]Sheet1!AG45</f>
        <v>0</v>
      </c>
    </row>
    <row r="26" spans="1:33">
      <c r="A26" s="10">
        <f>[1]Sheet1!A46</f>
        <v>68</v>
      </c>
      <c r="B26" s="10">
        <f>[1]Sheet1!B46</f>
        <v>46091.775648148097</v>
      </c>
      <c r="C26" s="10">
        <f>[1]Sheet1!C46</f>
        <v>46091.799606481502</v>
      </c>
      <c r="D26" s="10" t="str">
        <f>[1]Sheet1!D46</f>
        <v>giancarlo.villacorta@upc.pe</v>
      </c>
      <c r="E26" s="10" t="str">
        <f>[1]Sheet1!E46</f>
        <v>Giancarlo Villacorta Quiñones</v>
      </c>
      <c r="F26" s="10" t="str">
        <f>[1]Sheet1!F46</f>
        <v>SUMA: weTALK - Automatización Placement Test WeTALK UPN</v>
      </c>
      <c r="G26" s="10"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26" s="10" t="str">
        <f>[1]Sheet1!H46</f>
        <v>UPN</v>
      </c>
      <c r="I26" s="10" t="str">
        <f>[1]Sheet1!I46</f>
        <v>Milagros Morgan - Rectorado UPC</v>
      </c>
      <c r="J26" s="10" t="str">
        <f>[1]Sheet1!J46</f>
        <v xml:space="preserve">Gali García </v>
      </c>
      <c r="K26" s="10">
        <f>[1]Sheet1!K46</f>
        <v>0</v>
      </c>
      <c r="L26" s="10" t="str">
        <f>[1]Sheet1!L46</f>
        <v>Ángela Lucano</v>
      </c>
      <c r="M26" s="10">
        <f>[1]Sheet1!M46</f>
        <v>46237</v>
      </c>
      <c r="N26" s="10" t="str">
        <f>[1]Sheet1!N46</f>
        <v>Si</v>
      </c>
      <c r="O26" s="10" t="str">
        <f>[1]Sheet1!O46</f>
        <v>Revenue Growth</v>
      </c>
      <c r="P26" s="10">
        <f>[1]Sheet1!P46</f>
        <v>76592</v>
      </c>
      <c r="Q26" s="10" t="str">
        <f>[1]Sheet1!Q46</f>
        <v>Otro</v>
      </c>
      <c r="R26" s="10" t="str">
        <f>[1]Sheet1!R46</f>
        <v>Actualmente todo el proceso de Placement test We talk UPN es soportado de forma manual</v>
      </c>
      <c r="S26" s="10">
        <f>[1]Sheet1!S46</f>
        <v>0</v>
      </c>
      <c r="T26" s="10" t="str">
        <f>[1]Sheet1!T46</f>
        <v>Placement test we talk UPN</v>
      </c>
      <c r="U26" s="10">
        <f>[1]Sheet1!U46</f>
        <v>0</v>
      </c>
      <c r="V26" s="10" t="str">
        <f>[1]Sheet1!V46</f>
        <v>Excelencia operativa</v>
      </c>
      <c r="W26" s="10" t="str">
        <f>[1]Sheet1!W46</f>
        <v>No</v>
      </c>
      <c r="X26" s="10">
        <f>[1]Sheet1!X46</f>
        <v>0</v>
      </c>
      <c r="Y26" s="10"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26" s="10" t="str">
        <f>[1]Sheet1!Z46</f>
        <v>https://educorpperu-my.sharepoint.com/personal/diana_zapata_laureate_pe1/_layouts/15/Doc.aspx?sourcedoc=%7BE82EB908-B186-4F00-836F-E5E173642CCB%7D&amp;file=Solicitud%20de%20requerimientos%20Automatizaci%C3%B3n%20Pl_Giancarlo%20Villacorta.pptx&amp;action=edit&amp;mobileredirect=true</v>
      </c>
      <c r="AA26" s="10">
        <f>[1]Sheet1!AA46</f>
        <v>1.8</v>
      </c>
      <c r="AB26" s="10">
        <f>[1]Sheet1!AB46</f>
        <v>0</v>
      </c>
      <c r="AC26" s="10">
        <f>[1]Sheet1!AC46</f>
        <v>0</v>
      </c>
      <c r="AD26" s="10">
        <f>[1]Sheet1!AD46</f>
        <v>0</v>
      </c>
      <c r="AE26" s="10">
        <f>[1]Sheet1!AE46</f>
        <v>0</v>
      </c>
      <c r="AF26" s="10">
        <f>[1]Sheet1!AF46</f>
        <v>0</v>
      </c>
      <c r="AG26" s="10">
        <f>[1]Sheet1!AG46</f>
        <v>0</v>
      </c>
    </row>
    <row r="27" spans="1:33">
      <c r="A27" s="10">
        <f>[1]Sheet1!A47</f>
        <v>69</v>
      </c>
      <c r="B27" s="10">
        <f>[1]Sheet1!B47</f>
        <v>46093.419641203698</v>
      </c>
      <c r="C27" s="10">
        <f>[1]Sheet1!C47</f>
        <v>46093.4243055556</v>
      </c>
      <c r="D27" s="10" t="str">
        <f>[1]Sheet1!D47</f>
        <v>jose.herbozo@upn.edu.pe</v>
      </c>
      <c r="E27" s="10" t="str">
        <f>[1]Sheet1!E47</f>
        <v>Jose Paredes Herbozo</v>
      </c>
      <c r="F27" s="10" t="str">
        <f>[1]Sheet1!F47</f>
        <v>Admisión online - Habilitación de funcionalidades en CRM UPN - Admisión On Line RITM0603995</v>
      </c>
      <c r="G27" s="10"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27" s="10" t="str">
        <f>[1]Sheet1!H47</f>
        <v>UPN</v>
      </c>
      <c r="I27" s="10" t="str">
        <f>[1]Sheet1!I47</f>
        <v>Humberto Marota - Tecnologías y transformación digital</v>
      </c>
      <c r="J27" s="10" t="str">
        <f>[1]Sheet1!J47</f>
        <v xml:space="preserve">Alejandro Tello Llosa </v>
      </c>
      <c r="K27" s="10">
        <f>[1]Sheet1!K47</f>
        <v>0</v>
      </c>
      <c r="L27" s="10" t="str">
        <f>[1]Sheet1!L47</f>
        <v>Jose Paredes</v>
      </c>
      <c r="M27" s="10">
        <f>[1]Sheet1!M47</f>
        <v>46142</v>
      </c>
      <c r="N27" s="10" t="str">
        <f>[1]Sheet1!N47</f>
        <v>Si</v>
      </c>
      <c r="O27" s="10" t="str">
        <f>[1]Sheet1!O47</f>
        <v>Digital &amp; IA</v>
      </c>
      <c r="P27" s="10">
        <f>[1]Sheet1!P47</f>
        <v>75411</v>
      </c>
      <c r="Q27" s="10" t="str">
        <f>[1]Sheet1!Q47</f>
        <v>Otro</v>
      </c>
      <c r="R27" s="10"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27" s="10">
        <f>[1]Sheet1!S47</f>
        <v>0</v>
      </c>
      <c r="T27" s="10" t="str">
        <f>[1]Sheet1!T47</f>
        <v>Proceso de Admisión</v>
      </c>
      <c r="U27" s="10">
        <f>[1]Sheet1!U47</f>
        <v>0</v>
      </c>
      <c r="V27" s="10" t="str">
        <f>[1]Sheet1!V47</f>
        <v>Crecimiento escalable</v>
      </c>
      <c r="W27" s="10" t="str">
        <f>[1]Sheet1!W47</f>
        <v>No</v>
      </c>
      <c r="X27" s="10">
        <f>[1]Sheet1!X47</f>
        <v>0</v>
      </c>
      <c r="Y27" s="10" t="str">
        <f>[1]Sheet1!Y47</f>
        <v>Mejorar la experiencia del prospecto, reducir la operatividad del equipo de admisión, reducción los tiempos de matrícula en al menos 48 hrs</v>
      </c>
      <c r="Z27" s="10" t="str">
        <f>[1]Sheet1!Z47</f>
        <v>https://educorpperu-my.sharepoint.com/personal/diana_zapata_laureate_pe1/_layouts/15/Doc.aspx?sourcedoc=%7B61466882-7AAC-4A5D-9EE1-5CB4289AD248%7D&amp;file=Solicitud%20de%20requerimientos%20Idea%20nueva%20y%20mejo_Jose%20Paredes%20Herbozo.pptx&amp;action=edit&amp;mobileredirect=true</v>
      </c>
      <c r="AA27" s="10">
        <f>[1]Sheet1!AA47</f>
        <v>2</v>
      </c>
      <c r="AB27" s="10">
        <f>[1]Sheet1!AB47</f>
        <v>0</v>
      </c>
      <c r="AC27" s="10">
        <f>[1]Sheet1!AC47</f>
        <v>0</v>
      </c>
      <c r="AD27" s="10">
        <f>[1]Sheet1!AD47</f>
        <v>0</v>
      </c>
      <c r="AE27" s="10">
        <f>[1]Sheet1!AE47</f>
        <v>0</v>
      </c>
      <c r="AF27" s="10">
        <f>[1]Sheet1!AF47</f>
        <v>0</v>
      </c>
      <c r="AG27" s="10">
        <f>[1]Sheet1!AG47</f>
        <v>0</v>
      </c>
    </row>
    <row r="28" spans="1:33">
      <c r="A28" s="10">
        <f>[1]Sheet1!A48</f>
        <v>70</v>
      </c>
      <c r="B28" s="10">
        <f>[1]Sheet1!B48</f>
        <v>46092.6265277778</v>
      </c>
      <c r="C28" s="10">
        <f>[1]Sheet1!C48</f>
        <v>46093.507175925901</v>
      </c>
      <c r="D28" s="10" t="str">
        <f>[1]Sheet1!D48</f>
        <v>giancarlo.villacorta@upc.pe</v>
      </c>
      <c r="E28" s="10" t="str">
        <f>[1]Sheet1!E48</f>
        <v>Giancarlo Villacorta Quiñones</v>
      </c>
      <c r="F28" s="10" t="str">
        <f>[1]Sheet1!F48</f>
        <v>Automatización de reportería Funnel</v>
      </c>
      <c r="G28" s="10"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28" s="10" t="str">
        <f>[1]Sheet1!H48</f>
        <v>UPC</v>
      </c>
      <c r="I28" s="10" t="str">
        <f>[1]Sheet1!I48</f>
        <v>Ivan Olivares - VP Marketing y Comercial</v>
      </c>
      <c r="J28" s="10" t="str">
        <f>[1]Sheet1!J48</f>
        <v xml:space="preserve">Gianfranco Espinoza </v>
      </c>
      <c r="K28" s="10">
        <f>[1]Sheet1!K48</f>
        <v>0</v>
      </c>
      <c r="L28" s="10" t="str">
        <f>[1]Sheet1!L48</f>
        <v>Giancarlo Villacorta</v>
      </c>
      <c r="M28" s="10">
        <f>[1]Sheet1!M48</f>
        <v>46174</v>
      </c>
      <c r="N28" s="10" t="str">
        <f>[1]Sheet1!N48</f>
        <v>Si</v>
      </c>
      <c r="O28" s="10" t="str">
        <f>[1]Sheet1!O48</f>
        <v>Revenue Growth</v>
      </c>
      <c r="P28" s="10">
        <f>[1]Sheet1!P48</f>
        <v>0</v>
      </c>
      <c r="Q28" s="10" t="str">
        <f>[1]Sheet1!Q48</f>
        <v>Otro</v>
      </c>
      <c r="R28" s="10" t="str">
        <f>[1]Sheet1!R48</f>
        <v>Se requiere desarrollar nuevas funcionalidades para automatización de reportes funnel.</v>
      </c>
      <c r="S28" s="10">
        <f>[1]Sheet1!S48</f>
        <v>0</v>
      </c>
      <c r="T28" s="10" t="str">
        <f>[1]Sheet1!T48</f>
        <v>Inscripciones</v>
      </c>
      <c r="U28" s="10">
        <f>[1]Sheet1!U48</f>
        <v>0</v>
      </c>
      <c r="V28" s="10" t="str">
        <f>[1]Sheet1!V48</f>
        <v>Excelencia Operativa;Innovación y Crecimiento;Transformación Digital</v>
      </c>
      <c r="W28" s="10" t="str">
        <f>[1]Sheet1!W48</f>
        <v>No</v>
      </c>
      <c r="X28" s="10">
        <f>[1]Sheet1!X48</f>
        <v>0</v>
      </c>
      <c r="Y28" s="10" t="str">
        <f>[1]Sheet1!Y48</f>
        <v>Esta iniciativa tiene como objetivo incrementar los ingresos proyectados mediante el aumento del número de estudiantes matriculados en los próximos años, así como mejorar la eficiencia en el servicio brindado a los estudiantes.</v>
      </c>
      <c r="Z28" s="10"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28" s="10">
        <f>[1]Sheet1!AA48</f>
        <v>1.5</v>
      </c>
      <c r="AB28" s="10">
        <f>[1]Sheet1!AB48</f>
        <v>0</v>
      </c>
      <c r="AC28" s="10">
        <f>[1]Sheet1!AC48</f>
        <v>0</v>
      </c>
      <c r="AD28" s="10">
        <f>[1]Sheet1!AD48</f>
        <v>0</v>
      </c>
      <c r="AE28" s="10">
        <f>[1]Sheet1!AE48</f>
        <v>0</v>
      </c>
      <c r="AF28" s="10">
        <f>[1]Sheet1!AF48</f>
        <v>0</v>
      </c>
      <c r="AG28" s="10">
        <f>[1]Sheet1!AG48</f>
        <v>0</v>
      </c>
    </row>
    <row r="29" spans="1:33">
      <c r="A29" s="10">
        <f>[1]Sheet1!A49</f>
        <v>71</v>
      </c>
      <c r="B29" s="10">
        <f>[1]Sheet1!B49</f>
        <v>46093.733761574098</v>
      </c>
      <c r="C29" s="10">
        <f>[1]Sheet1!C49</f>
        <v>46093.827060185198</v>
      </c>
      <c r="D29" s="10" t="str">
        <f>[1]Sheet1!D49</f>
        <v>ronald.benites@laureate.pe</v>
      </c>
      <c r="E29" s="10" t="str">
        <f>[1]Sheet1!E49</f>
        <v>Ronald Benites Vilchez</v>
      </c>
      <c r="F29" s="10" t="str">
        <f>[1]Sheet1!F49</f>
        <v>Automatización end-to-end de la creación de cuentas del AD y cálculo de la denominación del correo institucional mediante HORACIUS en UPN, UPC y CIB. incluyendo la construcción de APIs en HCM.</v>
      </c>
      <c r="G29" s="10"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29" s="10" t="str">
        <f>[1]Sheet1!H49</f>
        <v>LAUREATE</v>
      </c>
      <c r="I29" s="10" t="str">
        <f>[1]Sheet1!I49</f>
        <v>Humberto Marota - Tecnologías y transformación digital</v>
      </c>
      <c r="J29" s="10" t="str">
        <f>[1]Sheet1!J49</f>
        <v xml:space="preserve">Henry Longa </v>
      </c>
      <c r="K29" s="10">
        <f>[1]Sheet1!K49</f>
        <v>0</v>
      </c>
      <c r="L29" s="10" t="str">
        <f>[1]Sheet1!L49</f>
        <v>Ninguno</v>
      </c>
      <c r="M29" s="10">
        <f>[1]Sheet1!M49</f>
        <v>46142</v>
      </c>
      <c r="N29" s="10" t="str">
        <f>[1]Sheet1!N49</f>
        <v>No</v>
      </c>
      <c r="O29" s="10">
        <f>[1]Sheet1!O49</f>
        <v>0</v>
      </c>
      <c r="P29" s="10">
        <f>[1]Sheet1!P49</f>
        <v>0</v>
      </c>
      <c r="Q29" s="10" t="str">
        <f>[1]Sheet1!Q49</f>
        <v>Otro</v>
      </c>
      <c r="R29" s="10"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29" s="10">
        <f>[1]Sheet1!S49</f>
        <v>0</v>
      </c>
      <c r="T29" s="10" t="str">
        <f>[1]Sheet1!T49</f>
        <v>Proceso de incorporación y gestión de colaboradores 
Procesos operativos del negocio que utilizan aplicaciones institucionales, 
Proceso de gestión de identidades y accesos 
Procesos de control y cumplimiento regulatorio</v>
      </c>
      <c r="U29" s="10" t="str">
        <f>[1]Sheet1!U49</f>
        <v>Todos</v>
      </c>
      <c r="V29" s="10" t="str">
        <f>[1]Sheet1!V49</f>
        <v>Excelencia operativa</v>
      </c>
      <c r="W29" s="10" t="str">
        <f>[1]Sheet1!W49</f>
        <v>No</v>
      </c>
      <c r="X29" s="10" t="str">
        <f>[1]Sheet1!X49</f>
        <v>Menor a S/100,000.00</v>
      </c>
      <c r="Y29" s="10"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29" s="10"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29" s="10">
        <f>[1]Sheet1!AA49</f>
        <v>1.35</v>
      </c>
      <c r="AB29" s="10">
        <f>[1]Sheet1!AB49</f>
        <v>0</v>
      </c>
      <c r="AC29" s="10">
        <f>[1]Sheet1!AC49</f>
        <v>0</v>
      </c>
      <c r="AD29" s="10">
        <f>[1]Sheet1!AD49</f>
        <v>0</v>
      </c>
      <c r="AE29" s="10">
        <f>[1]Sheet1!AE49</f>
        <v>0</v>
      </c>
      <c r="AF29" s="10">
        <f>[1]Sheet1!AF49</f>
        <v>0</v>
      </c>
      <c r="AG29" s="10">
        <f>[1]Sheet1!AG49</f>
        <v>0</v>
      </c>
    </row>
    <row r="30" spans="1:33">
      <c r="A30" s="10">
        <f>[1]Sheet1!A50</f>
        <v>72</v>
      </c>
      <c r="B30" s="10">
        <f>[1]Sheet1!B50</f>
        <v>46097.4821296296</v>
      </c>
      <c r="C30" s="10">
        <f>[1]Sheet1!C50</f>
        <v>46097.537592592598</v>
      </c>
      <c r="D30" s="10" t="str">
        <f>[1]Sheet1!D50</f>
        <v>kenjhy.torres@upc.pe</v>
      </c>
      <c r="E30" s="10" t="str">
        <f>[1]Sheet1!E50</f>
        <v>Kenjhy Torres Vidalon</v>
      </c>
      <c r="F30" s="10" t="str">
        <f>[1]Sheet1!F50</f>
        <v>Correcta visualización de requisitos de cursos con equivalencia</v>
      </c>
      <c r="G30" s="10"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30" s="10" t="str">
        <f>[1]Sheet1!H50</f>
        <v>UPC</v>
      </c>
      <c r="I30" s="10" t="str">
        <f>[1]Sheet1!I50</f>
        <v>Milagros Morgan - Rectorado UPC</v>
      </c>
      <c r="J30" s="10" t="str">
        <f>[1]Sheet1!J50</f>
        <v xml:space="preserve">Alice Rodrigues Hoyer </v>
      </c>
      <c r="K30" s="10">
        <f>[1]Sheet1!K50</f>
        <v>0</v>
      </c>
      <c r="L30" s="10" t="str">
        <f>[1]Sheet1!L50</f>
        <v>Ángela Lucano</v>
      </c>
      <c r="M30" s="10">
        <f>[1]Sheet1!M50</f>
        <v>46142</v>
      </c>
      <c r="N30" s="10" t="str">
        <f>[1]Sheet1!N50</f>
        <v>No</v>
      </c>
      <c r="O30" s="10">
        <f>[1]Sheet1!O50</f>
        <v>0</v>
      </c>
      <c r="P30" s="10">
        <f>[1]Sheet1!P50</f>
        <v>0</v>
      </c>
      <c r="Q30" s="10" t="str">
        <f>[1]Sheet1!Q50</f>
        <v>Otro</v>
      </c>
      <c r="R30" s="10"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30" s="10">
        <f>[1]Sheet1!S50</f>
        <v>0</v>
      </c>
      <c r="T30" s="10" t="str">
        <f>[1]Sheet1!T50</f>
        <v>Soporte al alumno (mesa de ayuda, atención académica, otros canales) y Auditorías externas (por ejemplo: WASC, SUNEDU u otros procesos de acreditación).</v>
      </c>
      <c r="U30" s="10" t="str">
        <f>[1]Sheet1!U50</f>
        <v>Alumnos</v>
      </c>
      <c r="V30" s="10" t="str">
        <f>[1]Sheet1!V50</f>
        <v>Excelencia académica</v>
      </c>
      <c r="W30" s="10" t="str">
        <f>[1]Sheet1!W50</f>
        <v>Si</v>
      </c>
      <c r="X30" s="10" t="str">
        <f>[1]Sheet1!X50</f>
        <v>No cuantificado o S/0</v>
      </c>
      <c r="Y30" s="10"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30" s="10" t="str">
        <f>[1]Sheet1!Z50</f>
        <v>https://educorpperu-my.sharepoint.com/personal/diana_zapata_laureate_pe1/_layouts/15/Doc.aspx?sourcedoc=%7BC9CB0B93-1AE9-4CFC-A069-B7549900B901%7D&amp;file=Correcta%20visualizaci%C3%B3n%20de%20requisitos%20de%20curso_Kenjhy%20Torres%20Vidalo.pptx&amp;action=edit&amp;mobileredirect=true</v>
      </c>
      <c r="AA30" s="10">
        <f>[1]Sheet1!AA50</f>
        <v>1.4</v>
      </c>
      <c r="AB30" s="10">
        <f>[1]Sheet1!AB50</f>
        <v>0</v>
      </c>
      <c r="AC30" s="10">
        <f>[1]Sheet1!AC50</f>
        <v>0</v>
      </c>
      <c r="AD30" s="10">
        <f>[1]Sheet1!AD50</f>
        <v>0</v>
      </c>
      <c r="AE30" s="10">
        <f>[1]Sheet1!AE50</f>
        <v>0</v>
      </c>
      <c r="AF30" s="10">
        <f>[1]Sheet1!AF50</f>
        <v>0</v>
      </c>
      <c r="AG30" s="10">
        <f>[1]Sheet1!AG50</f>
        <v>0</v>
      </c>
    </row>
  </sheetData>
  <sheetProtection autoFilter="0"/>
  <protectedRanges>
    <protectedRange algorithmName="SHA-512" hashValue="22rEZDOLaaAzExp0xxQCGNby3L6gXjGHIg9yH60f4Eq8XFziCgY0/JIYc2E2Nq4g+VRVZfuCR88Vp60KM5L1Fw==" saltValue="qJpW/Ecdk5+EDugQ3hU7fw==" spinCount="100000" sqref="A1:AG14" name="Rango1"/>
    <protectedRange algorithmName="SHA-512" hashValue="22rEZDOLaaAzExp0xxQCGNby3L6gXjGHIg9yH60f4Eq8XFziCgY0/JIYc2E2Nq4g+VRVZfuCR88Vp60KM5L1Fw==" saltValue="qJpW/Ecdk5+EDugQ3hU7fw==" spinCount="100000" sqref="AJ12" name="Rango1_7"/>
  </protectedRanges>
  <autoFilter ref="A1:AR30" xr:uid="{E2995521-A973-4EBC-930E-5DF1CF46E120}"/>
  <dataValidations count="1">
    <dataValidation type="list" allowBlank="1" showInputMessage="1" showErrorMessage="1" sqref="AO2:AO30" xr:uid="{2767D45C-13F9-433B-A877-83CBBD3627D9}">
      <formula1>#REF!</formula1>
    </dataValidation>
  </dataValidations>
  <hyperlinks>
    <hyperlink ref="D9" r:id="rId1" xr:uid="{DB1E6939-35F8-4C6C-B790-9114DA15BF76}"/>
    <hyperlink ref="AG3" r:id="rId2" display="https://educorpperu-my.sharepoint.com/personal/diana_zapata_laureate_pe1/_layouts/15/Doc.aspx?sourcedoc=%7B7C571A66-11AC-480F-B19C-571BDF070428%7D&amp;file=Implementaci%C3%B3n%20de%20informacion%20en%20CRM_Variable_Jose%20Paredes%20Herbozo.pptx&amp;action=edit&amp;mobileredirect=true" xr:uid="{C07EDC12-22AB-487E-892C-3E7752C54A0C}"/>
    <hyperlink ref="AG11" r:id="rId3" display="https://educorpperu-my.sharepoint.com/personal/diana_zapata_laureate_pe1/_layouts/15/Doc.aspx?sourcedoc=%7B7C53894D-03AA-42F5-A4BD-49E3C8456DE1%7D&amp;file=Formato%20Solicitud%20de%20Requerimientos%201_Eduardo%20Paul%20Aguilar.pptx&amp;action=edit&amp;mobileredirect=true" xr:uid="{7758F028-6A9C-48E9-B424-AC3BA0FCE04B}"/>
    <hyperlink ref="AG13" r:id="rId4" display="https://educorpperu-my.sharepoint.com/personal/diana_zapata_laureate_pe1/_layouts/15/Doc.aspx?sourcedoc=%7B59F35CDD-C20F-46ED-B2D2-4E433C29DE75%7D&amp;file=RQ%202026.02.18%20-%20Registro%20de%20matricula%20en%20CRM_Carlos%20Rau%20Olivera%20F.pptx&amp;action=edit&amp;mobileredirect=true" xr:uid="{19A3706C-8D0E-488E-A499-CFD322961E2B}"/>
    <hyperlink ref="AG6" r:id="rId5" display="https://educorpperu-my.sharepoint.com/personal/diana_zapata_laureate_pe1/_layouts/15/Doc.aspx?sourcedoc=%7BDFC21620-6800-4A8A-BA6E-F348AECF7EBE%7D&amp;file=Solicitud%20de%20requerimientos_Mejora%20para%20la%20Pl_Giancarlo%20Villacorta.pptx&amp;action=edit&amp;mobileredirect=true" xr:uid="{D8853C2C-1029-4E2C-B691-40FB1EF8741D}"/>
  </hyperlinks>
  <pageMargins left="0.7" right="0.7" top="0.75" bottom="0.75" header="0.3" footer="0.3"/>
  <pageSetup paperSize="9" orientation="portrait"/>
  <headerFooter>
    <oddFooter>&amp;C_x000D_&amp;1#&amp;"Aptos"&amp;7&amp;K000000 Uso Público de Laureate Perú — Se compartir externamente, información no sensible.</oddFooter>
  </headerFooter>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65" customWidth="1"/>
    <col min="2" max="2" width="20.85546875" style="82" customWidth="1"/>
    <col min="3" max="3" width="23.42578125" style="82" customWidth="1"/>
    <col min="4" max="5" width="29.85546875" style="65" customWidth="1"/>
    <col min="6" max="6" width="31.140625" style="65" customWidth="1"/>
    <col min="7" max="7" width="29.140625" style="65" customWidth="1"/>
    <col min="8" max="8" width="32.85546875" style="65" customWidth="1"/>
    <col min="9" max="9" width="42" style="65" customWidth="1"/>
    <col min="10" max="10" width="22.42578125" style="85" customWidth="1"/>
    <col min="11" max="11" width="15" style="85" customWidth="1"/>
    <col min="12" max="12" width="21.85546875" style="65" customWidth="1"/>
    <col min="13" max="13" width="18.42578125" style="65" customWidth="1"/>
    <col min="14" max="14" width="19" style="65" customWidth="1"/>
    <col min="15" max="15" width="19.140625" style="65" customWidth="1"/>
    <col min="16" max="16" width="42.140625" style="85" customWidth="1"/>
    <col min="17" max="17" width="38.85546875" style="85" customWidth="1"/>
    <col min="18" max="18" width="22.140625" style="65" customWidth="1"/>
    <col min="19" max="19" width="43.140625" style="65" customWidth="1"/>
    <col min="20" max="20" width="19" style="65" customWidth="1"/>
    <col min="21" max="21" width="26.140625" style="85" customWidth="1"/>
    <col min="22" max="22" width="21.140625" style="65" customWidth="1"/>
    <col min="23" max="23" width="51.85546875" style="65" customWidth="1"/>
    <col min="24" max="24" width="37.42578125" style="85" customWidth="1"/>
    <col min="25" max="25" width="61.42578125" style="65" customWidth="1"/>
    <col min="26" max="26" width="95.140625" style="65" customWidth="1"/>
    <col min="27" max="27" width="115.42578125" style="65" customWidth="1"/>
    <col min="28" max="28" width="88.42578125" style="65" customWidth="1"/>
    <col min="29" max="29" width="41.140625" style="65" customWidth="1"/>
    <col min="30" max="30" width="52.42578125" style="65" customWidth="1"/>
    <col min="31" max="31" width="99.42578125" style="65" customWidth="1"/>
    <col min="32" max="32" width="115.42578125" style="65" customWidth="1"/>
    <col min="33" max="33" width="43.85546875" style="65" customWidth="1"/>
    <col min="34" max="34" width="25.140625" style="65" customWidth="1"/>
    <col min="35" max="35" width="16.85546875" style="65" customWidth="1"/>
    <col min="36" max="36" width="20" style="65" customWidth="1"/>
    <col min="37" max="37" width="76" style="65" customWidth="1"/>
    <col min="38" max="38" width="115.42578125" style="65" customWidth="1"/>
    <col min="39" max="39" width="63.140625" style="65" customWidth="1"/>
    <col min="40" max="40" width="16.42578125" style="65" customWidth="1"/>
    <col min="41" max="41" width="17.140625" style="65" bestFit="1" customWidth="1"/>
    <col min="42" max="42" width="17.140625" style="65" customWidth="1"/>
    <col min="43" max="43" width="67.85546875" style="65" customWidth="1"/>
    <col min="44" max="44" width="44.85546875" style="69" customWidth="1"/>
    <col min="45" max="45" width="18.42578125" style="65" customWidth="1"/>
    <col min="46" max="46" width="29.42578125" style="65" customWidth="1"/>
    <col min="47" max="47" width="17.42578125" style="65" customWidth="1"/>
    <col min="48" max="48" width="23.140625" style="65" customWidth="1"/>
    <col min="49" max="55" width="22.85546875" style="65" customWidth="1"/>
    <col min="56" max="16384" width="115.42578125" style="65"/>
  </cols>
  <sheetData>
    <row r="1" spans="1:170" s="69" customFormat="1" ht="43.5">
      <c r="A1" s="59" t="s">
        <v>5</v>
      </c>
      <c r="B1" s="67" t="s">
        <v>6</v>
      </c>
      <c r="C1" s="67" t="s">
        <v>7</v>
      </c>
      <c r="D1" s="59" t="s">
        <v>8</v>
      </c>
      <c r="E1" s="59" t="s">
        <v>9</v>
      </c>
      <c r="F1" s="59" t="s">
        <v>10</v>
      </c>
      <c r="G1" s="59" t="s">
        <v>12</v>
      </c>
      <c r="H1" s="59" t="s">
        <v>13</v>
      </c>
      <c r="I1" s="59" t="s">
        <v>590</v>
      </c>
      <c r="J1" s="83" t="s">
        <v>1004</v>
      </c>
      <c r="K1" s="83" t="s">
        <v>1005</v>
      </c>
      <c r="L1" s="59" t="s">
        <v>714</v>
      </c>
      <c r="M1" s="59" t="s">
        <v>715</v>
      </c>
      <c r="N1" s="59" t="s">
        <v>716</v>
      </c>
      <c r="O1" s="59" t="s">
        <v>713</v>
      </c>
      <c r="P1" s="83" t="s">
        <v>1006</v>
      </c>
      <c r="Q1" s="83" t="s">
        <v>1007</v>
      </c>
      <c r="R1" s="59" t="s">
        <v>18</v>
      </c>
      <c r="S1" s="59" t="s">
        <v>719</v>
      </c>
      <c r="T1" s="59" t="s">
        <v>720</v>
      </c>
      <c r="U1" s="83" t="s">
        <v>1008</v>
      </c>
      <c r="V1" s="68" t="s">
        <v>717</v>
      </c>
      <c r="W1" s="59" t="s">
        <v>718</v>
      </c>
      <c r="X1" s="83" t="s">
        <v>1009</v>
      </c>
      <c r="Y1" s="59" t="s">
        <v>22</v>
      </c>
      <c r="Z1" s="59" t="s">
        <v>721</v>
      </c>
      <c r="AA1" s="59" t="s">
        <v>23</v>
      </c>
      <c r="AB1" s="59" t="s">
        <v>722</v>
      </c>
      <c r="AC1" s="59" t="s">
        <v>723</v>
      </c>
      <c r="AD1" s="59" t="s">
        <v>725</v>
      </c>
      <c r="AE1" s="59" t="s">
        <v>724</v>
      </c>
      <c r="AF1" s="59" t="s">
        <v>726</v>
      </c>
      <c r="AG1" s="59" t="s">
        <v>11</v>
      </c>
      <c r="AH1" s="59" t="s">
        <v>26</v>
      </c>
      <c r="AI1" s="59" t="s">
        <v>27</v>
      </c>
      <c r="AJ1" s="59" t="s">
        <v>727</v>
      </c>
      <c r="AK1" s="59" t="s">
        <v>591</v>
      </c>
      <c r="AL1" s="59" t="s">
        <v>29</v>
      </c>
      <c r="AM1" s="59" t="s">
        <v>728</v>
      </c>
      <c r="AN1" s="66" t="s">
        <v>39</v>
      </c>
      <c r="AO1" s="66" t="s">
        <v>729</v>
      </c>
      <c r="AP1" s="66" t="s">
        <v>730</v>
      </c>
      <c r="AQ1" s="66" t="s">
        <v>731</v>
      </c>
      <c r="AR1" s="66" t="s">
        <v>42</v>
      </c>
      <c r="AS1" s="66" t="s">
        <v>43</v>
      </c>
      <c r="AT1" s="66" t="s">
        <v>33</v>
      </c>
      <c r="AU1" s="66" t="s">
        <v>45</v>
      </c>
      <c r="AV1" s="69" t="s">
        <v>732</v>
      </c>
      <c r="AW1" s="69" t="s">
        <v>733</v>
      </c>
      <c r="AX1" s="69" t="s">
        <v>734</v>
      </c>
    </row>
    <row r="2" spans="1:170" s="73" customFormat="1" ht="43.5">
      <c r="A2" s="59"/>
      <c r="B2" s="67">
        <v>45974</v>
      </c>
      <c r="C2" s="67"/>
      <c r="D2" s="62"/>
      <c r="E2" s="62"/>
      <c r="F2" s="62" t="s">
        <v>1010</v>
      </c>
      <c r="G2" s="62" t="s">
        <v>52</v>
      </c>
      <c r="H2" s="59"/>
      <c r="I2" s="59" t="s">
        <v>1011</v>
      </c>
      <c r="J2" s="84" t="s">
        <v>1012</v>
      </c>
      <c r="K2" s="83"/>
      <c r="L2" s="59"/>
      <c r="M2" s="59"/>
      <c r="N2" s="59"/>
      <c r="O2" s="62" t="s">
        <v>741</v>
      </c>
      <c r="P2" s="86" t="s">
        <v>1013</v>
      </c>
      <c r="Q2" s="84"/>
      <c r="R2" s="59" t="s">
        <v>57</v>
      </c>
      <c r="S2" s="59"/>
      <c r="T2" s="59"/>
      <c r="U2" s="83"/>
      <c r="V2" s="68"/>
      <c r="W2" s="62"/>
      <c r="X2" s="84"/>
      <c r="Y2" s="59" t="s">
        <v>1014</v>
      </c>
      <c r="Z2" s="10" t="s">
        <v>1015</v>
      </c>
      <c r="AA2" s="59"/>
      <c r="AB2" s="62"/>
      <c r="AC2" s="62"/>
      <c r="AD2" s="59"/>
      <c r="AE2" s="62"/>
      <c r="AF2" s="62"/>
      <c r="AG2" s="62"/>
      <c r="AH2" s="62"/>
      <c r="AI2" s="62"/>
      <c r="AJ2" s="62"/>
      <c r="AK2" s="62"/>
      <c r="AL2" s="62"/>
      <c r="AM2" s="62"/>
      <c r="AN2" s="65"/>
      <c r="AO2" s="65"/>
      <c r="AP2" s="72"/>
      <c r="AQ2" s="65"/>
      <c r="AR2" s="91" t="s">
        <v>1016</v>
      </c>
      <c r="AS2" s="65"/>
      <c r="AT2" s="65" t="s">
        <v>131</v>
      </c>
      <c r="AU2" s="65" t="s">
        <v>192</v>
      </c>
      <c r="AV2" s="65"/>
      <c r="AW2" s="65"/>
      <c r="AX2" s="65"/>
      <c r="AY2" s="65"/>
      <c r="AZ2" s="65"/>
      <c r="BA2" s="65"/>
      <c r="BB2" s="65"/>
      <c r="BC2" s="65"/>
      <c r="BD2" s="65"/>
      <c r="BE2" s="65"/>
      <c r="BF2" s="65"/>
      <c r="BG2" s="65"/>
      <c r="BH2" s="65"/>
      <c r="BI2" s="65"/>
      <c r="BJ2" s="65"/>
      <c r="BK2" s="65"/>
      <c r="BL2" s="65"/>
      <c r="BM2" s="65"/>
      <c r="BN2" s="65"/>
      <c r="BO2" s="65"/>
      <c r="BP2" s="65"/>
      <c r="BQ2" s="65"/>
      <c r="BR2" s="65"/>
      <c r="BS2" s="65"/>
      <c r="BT2" s="65"/>
      <c r="BU2" s="65"/>
      <c r="BV2" s="65"/>
      <c r="BW2" s="65"/>
      <c r="BX2" s="65"/>
      <c r="BY2" s="65"/>
      <c r="BZ2" s="65"/>
      <c r="CA2" s="65"/>
      <c r="CB2" s="65"/>
      <c r="CC2" s="65"/>
      <c r="CD2" s="65"/>
      <c r="CE2" s="65"/>
      <c r="CF2" s="65"/>
      <c r="CG2" s="65"/>
      <c r="CH2" s="65"/>
      <c r="CI2" s="65"/>
      <c r="CJ2" s="65"/>
      <c r="CK2" s="65"/>
      <c r="CL2" s="65"/>
      <c r="CM2" s="65"/>
      <c r="CN2" s="65"/>
      <c r="CO2" s="65"/>
      <c r="CP2" s="65"/>
      <c r="CQ2" s="65"/>
      <c r="CR2" s="65"/>
      <c r="CS2" s="65"/>
      <c r="CT2" s="65"/>
      <c r="CU2" s="65"/>
      <c r="CV2" s="65"/>
      <c r="CW2" s="65"/>
      <c r="CX2" s="65"/>
      <c r="CY2" s="65"/>
      <c r="CZ2" s="65"/>
      <c r="DA2" s="65"/>
      <c r="DB2" s="65"/>
      <c r="DC2" s="65"/>
      <c r="DD2" s="65"/>
      <c r="DE2" s="65"/>
      <c r="DF2" s="65"/>
      <c r="DG2" s="65"/>
      <c r="DH2" s="65"/>
      <c r="DI2" s="65"/>
      <c r="DJ2" s="65"/>
      <c r="DK2" s="65"/>
      <c r="DL2" s="65"/>
      <c r="DM2" s="65"/>
      <c r="DN2" s="65"/>
      <c r="DO2" s="65"/>
      <c r="DP2" s="65"/>
      <c r="DQ2" s="65"/>
      <c r="DR2" s="65"/>
      <c r="DS2" s="65"/>
      <c r="DT2" s="65"/>
      <c r="DU2" s="65"/>
      <c r="DV2" s="65"/>
      <c r="DW2" s="65"/>
      <c r="DX2" s="65"/>
      <c r="DY2" s="65"/>
      <c r="DZ2" s="65"/>
      <c r="EA2" s="65"/>
      <c r="EB2" s="65"/>
      <c r="EC2" s="65"/>
      <c r="ED2" s="65"/>
      <c r="EE2" s="65"/>
      <c r="EF2" s="65"/>
      <c r="EG2" s="65"/>
      <c r="EH2" s="65"/>
      <c r="EI2" s="65"/>
      <c r="EJ2" s="65"/>
      <c r="EK2" s="65"/>
      <c r="EL2" s="65"/>
      <c r="EM2" s="65"/>
      <c r="EN2" s="65"/>
      <c r="EO2" s="65"/>
      <c r="EP2" s="65"/>
      <c r="EQ2" s="65"/>
      <c r="ER2" s="65"/>
      <c r="ES2" s="65"/>
      <c r="ET2" s="65"/>
      <c r="EU2" s="65"/>
      <c r="EV2" s="65"/>
      <c r="EW2" s="65"/>
      <c r="EX2" s="65"/>
      <c r="EY2" s="65"/>
      <c r="EZ2" s="65"/>
      <c r="FA2" s="65"/>
      <c r="FB2" s="65"/>
      <c r="FC2" s="65"/>
      <c r="FD2" s="65"/>
      <c r="FE2" s="65"/>
      <c r="FF2" s="65"/>
      <c r="FG2" s="65"/>
      <c r="FH2" s="65"/>
      <c r="FI2" s="65"/>
      <c r="FJ2" s="65"/>
      <c r="FK2" s="65"/>
      <c r="FL2" s="65"/>
      <c r="FM2" s="65"/>
      <c r="FN2" s="65"/>
    </row>
    <row r="3" spans="1:170" s="73" customFormat="1" ht="43.5" hidden="1">
      <c r="A3" s="59"/>
      <c r="B3" s="67">
        <v>45974</v>
      </c>
      <c r="C3" s="67"/>
      <c r="D3" s="62"/>
      <c r="E3" s="62"/>
      <c r="F3" s="62" t="s">
        <v>1010</v>
      </c>
      <c r="G3" s="10" t="s">
        <v>52</v>
      </c>
      <c r="H3" s="59"/>
      <c r="I3" s="62" t="s">
        <v>1011</v>
      </c>
      <c r="J3" s="84" t="s">
        <v>1012</v>
      </c>
      <c r="K3" s="83"/>
      <c r="L3" s="59"/>
      <c r="M3" s="59"/>
      <c r="N3" s="59"/>
      <c r="O3" s="62" t="s">
        <v>741</v>
      </c>
      <c r="P3" s="86" t="s">
        <v>1013</v>
      </c>
      <c r="Q3" s="89"/>
      <c r="R3" s="59" t="s">
        <v>118</v>
      </c>
      <c r="S3" s="59" t="s">
        <v>350</v>
      </c>
      <c r="T3" s="59"/>
      <c r="U3" s="83"/>
      <c r="V3" s="60">
        <v>46082</v>
      </c>
      <c r="W3" s="62"/>
      <c r="X3" s="84"/>
      <c r="Y3" s="62"/>
      <c r="Z3" s="10" t="s">
        <v>1017</v>
      </c>
      <c r="AA3" s="59"/>
      <c r="AB3" s="62"/>
      <c r="AC3" s="62"/>
      <c r="AD3" s="59"/>
      <c r="AE3" s="62"/>
      <c r="AF3" s="62"/>
      <c r="AG3" s="62"/>
      <c r="AH3" s="62"/>
      <c r="AI3" s="62"/>
      <c r="AJ3" s="62"/>
      <c r="AK3" s="62"/>
      <c r="AL3" s="62"/>
      <c r="AM3" s="62"/>
      <c r="AN3" s="65">
        <v>1</v>
      </c>
      <c r="AO3" s="65" t="s">
        <v>837</v>
      </c>
      <c r="AP3" s="72">
        <v>4500</v>
      </c>
      <c r="AQ3" s="65" t="s">
        <v>3</v>
      </c>
      <c r="AR3" s="69" t="s">
        <v>1018</v>
      </c>
      <c r="AS3" s="65" t="s">
        <v>628</v>
      </c>
      <c r="AT3" s="65" t="s">
        <v>896</v>
      </c>
      <c r="AU3" s="65" t="s">
        <v>605</v>
      </c>
      <c r="AV3" s="65"/>
      <c r="AW3" s="65" t="s">
        <v>1019</v>
      </c>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row>
    <row r="4" spans="1:170" s="73" customFormat="1" ht="188.45">
      <c r="A4" s="59">
        <v>15</v>
      </c>
      <c r="B4" s="67">
        <v>46006.494525463</v>
      </c>
      <c r="C4" s="67">
        <v>46008.703298611101</v>
      </c>
      <c r="D4" s="62" t="s">
        <v>1020</v>
      </c>
      <c r="E4" s="62" t="s">
        <v>1021</v>
      </c>
      <c r="F4" s="62" t="s">
        <v>1022</v>
      </c>
      <c r="G4" s="62" t="s">
        <v>112</v>
      </c>
      <c r="H4" s="59" t="s">
        <v>125</v>
      </c>
      <c r="I4" s="59" t="s">
        <v>1023</v>
      </c>
      <c r="J4" s="84"/>
      <c r="K4" s="83"/>
      <c r="L4" s="59" t="s">
        <v>1024</v>
      </c>
      <c r="M4" s="59"/>
      <c r="N4" s="59"/>
      <c r="O4" s="62" t="s">
        <v>823</v>
      </c>
      <c r="P4" s="87" t="s">
        <v>1025</v>
      </c>
      <c r="Q4" s="84"/>
      <c r="R4" s="59" t="s">
        <v>57</v>
      </c>
      <c r="S4" s="59"/>
      <c r="T4" s="59"/>
      <c r="U4" s="83"/>
      <c r="V4" s="68">
        <v>46057</v>
      </c>
      <c r="W4" s="70" t="s">
        <v>1026</v>
      </c>
      <c r="X4" s="84"/>
      <c r="Y4" s="70" t="s">
        <v>1027</v>
      </c>
      <c r="Z4" s="70" t="s">
        <v>1028</v>
      </c>
      <c r="AA4" s="71" t="s">
        <v>1029</v>
      </c>
      <c r="AB4" s="70" t="s">
        <v>1030</v>
      </c>
      <c r="AC4" s="70" t="s">
        <v>1031</v>
      </c>
      <c r="AD4" s="71" t="s">
        <v>1032</v>
      </c>
      <c r="AE4" s="70" t="s">
        <v>1033</v>
      </c>
      <c r="AF4" s="70" t="s">
        <v>1034</v>
      </c>
      <c r="AG4" s="70" t="s">
        <v>1035</v>
      </c>
      <c r="AH4" s="62" t="s">
        <v>187</v>
      </c>
      <c r="AI4" s="62" t="s">
        <v>64</v>
      </c>
      <c r="AJ4" s="62" t="s">
        <v>64</v>
      </c>
      <c r="AK4" s="70" t="s">
        <v>1036</v>
      </c>
      <c r="AL4" s="70" t="s">
        <v>1037</v>
      </c>
      <c r="AM4" s="74" t="s">
        <v>1038</v>
      </c>
      <c r="AN4" s="65"/>
      <c r="AO4" s="65"/>
      <c r="AP4" s="72"/>
      <c r="AQ4" s="65"/>
      <c r="AR4" s="69" t="s">
        <v>1039</v>
      </c>
      <c r="AS4" s="65"/>
      <c r="AT4" s="65" t="s">
        <v>214</v>
      </c>
      <c r="AU4" s="65" t="s">
        <v>192</v>
      </c>
      <c r="AV4" s="65"/>
      <c r="AW4" s="65"/>
      <c r="AX4" s="91" t="s">
        <v>1040</v>
      </c>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row>
    <row r="5" spans="1:170" s="73" customFormat="1" ht="409.5">
      <c r="A5" s="64">
        <v>11</v>
      </c>
      <c r="B5" s="75">
        <v>46006.715266203697</v>
      </c>
      <c r="C5" s="75">
        <v>46006.728645833296</v>
      </c>
      <c r="D5" s="63" t="s">
        <v>818</v>
      </c>
      <c r="E5" s="63" t="s">
        <v>819</v>
      </c>
      <c r="F5" s="63" t="s">
        <v>1041</v>
      </c>
      <c r="G5" s="63" t="s">
        <v>112</v>
      </c>
      <c r="H5" s="64" t="s">
        <v>113</v>
      </c>
      <c r="I5" s="64" t="s">
        <v>1042</v>
      </c>
      <c r="J5" s="84" t="s">
        <v>1012</v>
      </c>
      <c r="K5" s="83"/>
      <c r="L5" s="64" t="s">
        <v>824</v>
      </c>
      <c r="M5" s="64"/>
      <c r="N5" s="64"/>
      <c r="O5" s="63" t="s">
        <v>823</v>
      </c>
      <c r="P5" s="87" t="s">
        <v>1043</v>
      </c>
      <c r="Q5" s="84"/>
      <c r="R5" s="64" t="s">
        <v>57</v>
      </c>
      <c r="S5" s="64"/>
      <c r="T5" s="64"/>
      <c r="U5" s="83"/>
      <c r="V5" s="77">
        <v>46104</v>
      </c>
      <c r="W5" s="76" t="s">
        <v>1044</v>
      </c>
      <c r="X5" s="84"/>
      <c r="Y5" s="76" t="s">
        <v>1045</v>
      </c>
      <c r="Z5" s="76" t="s">
        <v>1046</v>
      </c>
      <c r="AA5" s="78" t="s">
        <v>1047</v>
      </c>
      <c r="AB5" s="76" t="s">
        <v>1048</v>
      </c>
      <c r="AC5" s="76" t="s">
        <v>1049</v>
      </c>
      <c r="AD5" s="78" t="s">
        <v>1050</v>
      </c>
      <c r="AE5" s="76" t="s">
        <v>1051</v>
      </c>
      <c r="AF5" s="76" t="s">
        <v>1052</v>
      </c>
      <c r="AG5" s="76" t="s">
        <v>1053</v>
      </c>
      <c r="AH5" s="63" t="s">
        <v>1054</v>
      </c>
      <c r="AI5" s="63" t="s">
        <v>64</v>
      </c>
      <c r="AJ5" s="63" t="s">
        <v>64</v>
      </c>
      <c r="AK5" s="76" t="s">
        <v>1055</v>
      </c>
      <c r="AL5" s="76" t="s">
        <v>1056</v>
      </c>
      <c r="AM5" s="79" t="s">
        <v>1057</v>
      </c>
      <c r="AN5" s="65"/>
      <c r="AO5" s="65"/>
      <c r="AP5" s="72"/>
      <c r="AQ5" s="65"/>
      <c r="AR5" s="69"/>
      <c r="AS5" s="65"/>
      <c r="AT5" s="65" t="s">
        <v>754</v>
      </c>
      <c r="AU5" s="65" t="s">
        <v>192</v>
      </c>
      <c r="AV5" s="65"/>
      <c r="AW5" s="65"/>
      <c r="AX5" s="65"/>
      <c r="AY5" s="65"/>
      <c r="AZ5" s="65"/>
      <c r="BA5" s="65"/>
      <c r="BB5" s="65"/>
      <c r="BC5" s="65"/>
      <c r="BD5" s="65"/>
      <c r="BE5" s="65"/>
      <c r="BF5" s="65"/>
      <c r="BG5" s="65"/>
      <c r="BH5" s="65"/>
      <c r="BI5" s="65"/>
      <c r="BJ5" s="65"/>
      <c r="BK5" s="65"/>
      <c r="BL5" s="65"/>
      <c r="BM5" s="65"/>
      <c r="BN5" s="65"/>
      <c r="BO5" s="65"/>
      <c r="BP5" s="65"/>
      <c r="BQ5" s="65"/>
      <c r="BR5" s="65"/>
      <c r="BS5" s="65"/>
      <c r="BT5" s="65"/>
      <c r="BU5" s="65"/>
      <c r="BV5" s="65"/>
      <c r="BW5" s="65"/>
      <c r="BX5" s="65"/>
      <c r="BY5" s="65"/>
      <c r="BZ5" s="65"/>
      <c r="CA5" s="65"/>
      <c r="CB5" s="65"/>
      <c r="CC5" s="65"/>
      <c r="CD5" s="65"/>
      <c r="CE5" s="65"/>
      <c r="CF5" s="65"/>
      <c r="CG5" s="65"/>
      <c r="CH5" s="65"/>
      <c r="CI5" s="65"/>
      <c r="CJ5" s="65"/>
      <c r="CK5" s="65"/>
      <c r="CL5" s="65"/>
      <c r="CM5" s="65"/>
      <c r="CN5" s="65"/>
      <c r="CO5" s="65"/>
      <c r="CP5" s="65"/>
      <c r="CQ5" s="65"/>
      <c r="CR5" s="65"/>
      <c r="CS5" s="65"/>
      <c r="CT5" s="65"/>
      <c r="CU5" s="65"/>
      <c r="CV5" s="65"/>
      <c r="CW5" s="65"/>
      <c r="CX5" s="65"/>
      <c r="CY5" s="65"/>
      <c r="CZ5" s="65"/>
      <c r="DA5" s="65"/>
      <c r="DB5" s="65"/>
      <c r="DC5" s="65"/>
      <c r="DD5" s="65"/>
      <c r="DE5" s="65"/>
      <c r="DF5" s="65"/>
      <c r="DG5" s="65"/>
      <c r="DH5" s="65"/>
      <c r="DI5" s="65"/>
      <c r="DJ5" s="65"/>
      <c r="DK5" s="65"/>
      <c r="DL5" s="65"/>
      <c r="DM5" s="65"/>
      <c r="DN5" s="65"/>
      <c r="DO5" s="65"/>
      <c r="DP5" s="65"/>
      <c r="DQ5" s="65"/>
      <c r="DR5" s="65"/>
      <c r="DS5" s="65"/>
      <c r="DT5" s="65"/>
      <c r="DU5" s="65"/>
      <c r="DV5" s="65"/>
      <c r="DW5" s="65"/>
      <c r="DX5" s="65"/>
      <c r="DY5" s="65"/>
      <c r="DZ5" s="65"/>
      <c r="EA5" s="65"/>
      <c r="EB5" s="65"/>
      <c r="EC5" s="65"/>
      <c r="ED5" s="65"/>
      <c r="EE5" s="65"/>
      <c r="EF5" s="65"/>
      <c r="EG5" s="65"/>
      <c r="EH5" s="65"/>
      <c r="EI5" s="65"/>
      <c r="EJ5" s="65"/>
      <c r="EK5" s="65"/>
      <c r="EL5" s="65"/>
      <c r="EM5" s="65"/>
      <c r="EN5" s="65"/>
      <c r="EO5" s="65"/>
      <c r="EP5" s="65"/>
      <c r="EQ5" s="65"/>
      <c r="ER5" s="65"/>
      <c r="ES5" s="65"/>
      <c r="ET5" s="65"/>
      <c r="EU5" s="65"/>
      <c r="EV5" s="65"/>
      <c r="EW5" s="65"/>
      <c r="EX5" s="65"/>
      <c r="EY5" s="65"/>
      <c r="EZ5" s="65"/>
      <c r="FA5" s="65"/>
      <c r="FB5" s="65"/>
      <c r="FC5" s="65"/>
      <c r="FD5" s="65"/>
      <c r="FE5" s="65"/>
      <c r="FF5" s="65"/>
      <c r="FG5" s="65"/>
      <c r="FH5" s="65"/>
      <c r="FI5" s="65"/>
      <c r="FJ5" s="65"/>
      <c r="FK5" s="65"/>
      <c r="FL5" s="65"/>
      <c r="FM5" s="65"/>
      <c r="FN5" s="65"/>
    </row>
    <row r="6" spans="1:170" ht="318.95" hidden="1">
      <c r="A6" s="64">
        <v>12</v>
      </c>
      <c r="B6" s="75">
        <v>46006.730393518497</v>
      </c>
      <c r="C6" s="75">
        <v>46006.763402777797</v>
      </c>
      <c r="D6" s="63" t="s">
        <v>818</v>
      </c>
      <c r="E6" s="63" t="s">
        <v>819</v>
      </c>
      <c r="F6" s="63" t="s">
        <v>1058</v>
      </c>
      <c r="G6" s="63" t="s">
        <v>112</v>
      </c>
      <c r="H6" s="64" t="s">
        <v>113</v>
      </c>
      <c r="I6" s="64" t="s">
        <v>1059</v>
      </c>
      <c r="J6" s="84" t="s">
        <v>1012</v>
      </c>
      <c r="K6" s="83"/>
      <c r="L6" s="64" t="s">
        <v>824</v>
      </c>
      <c r="M6" s="64"/>
      <c r="N6" s="64"/>
      <c r="O6" s="63" t="s">
        <v>823</v>
      </c>
      <c r="P6" s="87" t="s">
        <v>1060</v>
      </c>
      <c r="Q6" s="84"/>
      <c r="R6" s="64" t="s">
        <v>57</v>
      </c>
      <c r="S6" s="64"/>
      <c r="T6" s="64"/>
      <c r="U6" s="83"/>
      <c r="V6" s="77">
        <v>46127</v>
      </c>
      <c r="W6" s="76" t="s">
        <v>825</v>
      </c>
      <c r="X6" s="84"/>
      <c r="Y6" s="76" t="s">
        <v>1061</v>
      </c>
      <c r="Z6" s="76" t="s">
        <v>1062</v>
      </c>
      <c r="AA6" s="78" t="s">
        <v>1063</v>
      </c>
      <c r="AB6" s="76" t="s">
        <v>1064</v>
      </c>
      <c r="AC6" s="76" t="s">
        <v>1065</v>
      </c>
      <c r="AD6" s="78" t="s">
        <v>1066</v>
      </c>
      <c r="AE6" s="76" t="s">
        <v>1067</v>
      </c>
      <c r="AF6" s="76" t="s">
        <v>1068</v>
      </c>
      <c r="AG6" s="76" t="s">
        <v>1069</v>
      </c>
      <c r="AH6" s="63" t="s">
        <v>1070</v>
      </c>
      <c r="AI6" s="63" t="s">
        <v>64</v>
      </c>
      <c r="AJ6" s="63" t="s">
        <v>64</v>
      </c>
      <c r="AK6" s="76" t="s">
        <v>1071</v>
      </c>
      <c r="AL6" s="76" t="s">
        <v>1072</v>
      </c>
      <c r="AM6" s="79" t="s">
        <v>1073</v>
      </c>
      <c r="AN6" s="65" t="s">
        <v>1074</v>
      </c>
      <c r="AP6" s="72"/>
      <c r="AQ6" s="65" t="s">
        <v>3</v>
      </c>
      <c r="AR6" s="69" t="s">
        <v>1075</v>
      </c>
      <c r="AS6" s="65" t="s">
        <v>245</v>
      </c>
      <c r="AT6" s="65" t="s">
        <v>860</v>
      </c>
      <c r="AU6" s="65" t="s">
        <v>840</v>
      </c>
    </row>
    <row r="7" spans="1:170" ht="217.5" hidden="1">
      <c r="A7" s="64">
        <v>13</v>
      </c>
      <c r="B7" s="75">
        <v>46006.763842592598</v>
      </c>
      <c r="C7" s="75">
        <v>46006.772430555597</v>
      </c>
      <c r="D7" s="63" t="s">
        <v>818</v>
      </c>
      <c r="E7" s="63" t="s">
        <v>819</v>
      </c>
      <c r="F7" s="63" t="s">
        <v>1076</v>
      </c>
      <c r="G7" s="63" t="s">
        <v>112</v>
      </c>
      <c r="H7" s="64" t="s">
        <v>113</v>
      </c>
      <c r="I7" s="64" t="s">
        <v>1077</v>
      </c>
      <c r="J7" s="84" t="s">
        <v>1012</v>
      </c>
      <c r="K7" s="83"/>
      <c r="L7" s="64" t="s">
        <v>824</v>
      </c>
      <c r="M7" s="64"/>
      <c r="N7" s="64"/>
      <c r="O7" s="63" t="s">
        <v>823</v>
      </c>
      <c r="P7" s="87" t="s">
        <v>1078</v>
      </c>
      <c r="Q7" s="84"/>
      <c r="R7" s="64" t="s">
        <v>57</v>
      </c>
      <c r="S7" s="64"/>
      <c r="T7" s="64"/>
      <c r="U7" s="83"/>
      <c r="V7" s="77">
        <v>46266</v>
      </c>
      <c r="W7" s="76" t="s">
        <v>825</v>
      </c>
      <c r="X7" s="84"/>
      <c r="Y7" s="76" t="s">
        <v>1079</v>
      </c>
      <c r="Z7" s="76" t="s">
        <v>1080</v>
      </c>
      <c r="AA7" s="78" t="s">
        <v>1081</v>
      </c>
      <c r="AB7" s="76" t="s">
        <v>1082</v>
      </c>
      <c r="AC7" s="76" t="s">
        <v>1083</v>
      </c>
      <c r="AD7" s="78" t="s">
        <v>1084</v>
      </c>
      <c r="AE7" s="76" t="s">
        <v>1085</v>
      </c>
      <c r="AF7" s="76" t="s">
        <v>1086</v>
      </c>
      <c r="AG7" s="76" t="s">
        <v>1087</v>
      </c>
      <c r="AH7" s="63" t="s">
        <v>1088</v>
      </c>
      <c r="AI7" s="63" t="s">
        <v>64</v>
      </c>
      <c r="AJ7" s="63" t="s">
        <v>64</v>
      </c>
      <c r="AK7" s="76" t="s">
        <v>1089</v>
      </c>
      <c r="AL7" s="76" t="s">
        <v>1090</v>
      </c>
      <c r="AM7" s="79" t="s">
        <v>1091</v>
      </c>
      <c r="AN7" s="65" t="s">
        <v>1092</v>
      </c>
      <c r="AP7" s="72"/>
      <c r="AQ7" s="65" t="s">
        <v>4</v>
      </c>
      <c r="AR7" s="69" t="s">
        <v>1093</v>
      </c>
      <c r="AS7" s="65" t="s">
        <v>671</v>
      </c>
      <c r="AT7" s="65" t="s">
        <v>860</v>
      </c>
      <c r="AU7" s="65" t="s">
        <v>605</v>
      </c>
      <c r="AV7" s="65" t="s">
        <v>755</v>
      </c>
      <c r="AW7" s="65" t="s">
        <v>841</v>
      </c>
    </row>
    <row r="8" spans="1:170" s="73" customFormat="1" ht="231.95">
      <c r="A8" s="64">
        <v>14</v>
      </c>
      <c r="B8" s="75">
        <v>46007.387604166703</v>
      </c>
      <c r="C8" s="75">
        <v>46007.429722222201</v>
      </c>
      <c r="D8" s="63" t="s">
        <v>818</v>
      </c>
      <c r="E8" s="63" t="s">
        <v>819</v>
      </c>
      <c r="F8" s="63" t="s">
        <v>1094</v>
      </c>
      <c r="G8" s="63" t="s">
        <v>112</v>
      </c>
      <c r="H8" s="64" t="s">
        <v>113</v>
      </c>
      <c r="I8" s="64" t="s">
        <v>1095</v>
      </c>
      <c r="J8" s="84" t="s">
        <v>1012</v>
      </c>
      <c r="K8" s="83"/>
      <c r="L8" s="64" t="s">
        <v>824</v>
      </c>
      <c r="M8" s="64"/>
      <c r="N8" s="64"/>
      <c r="O8" s="63" t="s">
        <v>823</v>
      </c>
      <c r="P8" s="87" t="s">
        <v>1096</v>
      </c>
      <c r="Q8" s="84"/>
      <c r="R8" s="64" t="s">
        <v>57</v>
      </c>
      <c r="S8" s="64"/>
      <c r="T8" s="64"/>
      <c r="U8" s="83"/>
      <c r="V8" s="77">
        <v>46146</v>
      </c>
      <c r="W8" s="76" t="s">
        <v>825</v>
      </c>
      <c r="X8" s="84"/>
      <c r="Y8" s="76" t="s">
        <v>1097</v>
      </c>
      <c r="Z8" s="76" t="s">
        <v>1098</v>
      </c>
      <c r="AA8" s="78" t="s">
        <v>1099</v>
      </c>
      <c r="AB8" s="76" t="s">
        <v>1100</v>
      </c>
      <c r="AC8" s="76" t="s">
        <v>1101</v>
      </c>
      <c r="AD8" s="78" t="s">
        <v>1102</v>
      </c>
      <c r="AE8" s="76" t="s">
        <v>1103</v>
      </c>
      <c r="AF8" s="76" t="s">
        <v>1104</v>
      </c>
      <c r="AG8" s="76" t="s">
        <v>1105</v>
      </c>
      <c r="AH8" s="63" t="s">
        <v>1106</v>
      </c>
      <c r="AI8" s="63" t="s">
        <v>64</v>
      </c>
      <c r="AJ8" s="63" t="s">
        <v>64</v>
      </c>
      <c r="AK8" s="76" t="s">
        <v>1107</v>
      </c>
      <c r="AL8" s="76" t="s">
        <v>1108</v>
      </c>
      <c r="AM8" s="79" t="s">
        <v>1109</v>
      </c>
      <c r="AN8" s="65">
        <v>1</v>
      </c>
      <c r="AO8" s="65"/>
      <c r="AP8" s="72"/>
      <c r="AQ8" s="65"/>
      <c r="AR8" s="69" t="s">
        <v>1110</v>
      </c>
      <c r="AS8" s="65" t="s">
        <v>671</v>
      </c>
      <c r="AT8" s="65" t="s">
        <v>754</v>
      </c>
      <c r="AU8" s="65" t="s">
        <v>192</v>
      </c>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row>
    <row r="9" spans="1:170" s="73" customFormat="1" ht="409.5" hidden="1">
      <c r="A9" s="59">
        <v>16</v>
      </c>
      <c r="B9" s="67">
        <v>46036.440231481502</v>
      </c>
      <c r="C9" s="67">
        <v>46036.443657407399</v>
      </c>
      <c r="D9" s="62" t="s">
        <v>818</v>
      </c>
      <c r="E9" s="62" t="s">
        <v>819</v>
      </c>
      <c r="F9" s="62" t="s">
        <v>1111</v>
      </c>
      <c r="G9" s="62" t="s">
        <v>112</v>
      </c>
      <c r="H9" s="59" t="s">
        <v>335</v>
      </c>
      <c r="I9" s="59" t="s">
        <v>1112</v>
      </c>
      <c r="J9" s="84"/>
      <c r="K9" s="83"/>
      <c r="L9" s="59" t="s">
        <v>824</v>
      </c>
      <c r="M9" s="59"/>
      <c r="N9" s="59"/>
      <c r="O9" s="62" t="s">
        <v>823</v>
      </c>
      <c r="P9" s="87" t="s">
        <v>1113</v>
      </c>
      <c r="Q9" s="84"/>
      <c r="R9" s="59" t="s">
        <v>57</v>
      </c>
      <c r="S9" s="59"/>
      <c r="T9" s="59"/>
      <c r="U9" s="83"/>
      <c r="V9" s="68">
        <v>46045</v>
      </c>
      <c r="W9" s="70" t="s">
        <v>57</v>
      </c>
      <c r="X9" s="84"/>
      <c r="Y9" s="70" t="s">
        <v>1114</v>
      </c>
      <c r="Z9" s="70" t="s">
        <v>1115</v>
      </c>
      <c r="AA9" s="71" t="s">
        <v>1116</v>
      </c>
      <c r="AB9" s="70" t="s">
        <v>1117</v>
      </c>
      <c r="AC9" s="70" t="s">
        <v>1118</v>
      </c>
      <c r="AD9" s="71" t="s">
        <v>1119</v>
      </c>
      <c r="AE9" s="70" t="s">
        <v>1120</v>
      </c>
      <c r="AF9" s="70" t="s">
        <v>1121</v>
      </c>
      <c r="AG9" s="70" t="s">
        <v>1122</v>
      </c>
      <c r="AH9" s="62" t="s">
        <v>1123</v>
      </c>
      <c r="AI9" s="62" t="s">
        <v>64</v>
      </c>
      <c r="AJ9" s="62" t="s">
        <v>260</v>
      </c>
      <c r="AK9" s="70" t="s">
        <v>1124</v>
      </c>
      <c r="AL9" s="70" t="s">
        <v>1125</v>
      </c>
      <c r="AM9" s="74" t="s">
        <v>1126</v>
      </c>
      <c r="AN9" s="65" t="s">
        <v>1074</v>
      </c>
      <c r="AO9" s="65" t="s">
        <v>837</v>
      </c>
      <c r="AP9" s="72">
        <v>4500</v>
      </c>
      <c r="AQ9" s="65" t="s">
        <v>3</v>
      </c>
      <c r="AR9" s="69" t="s">
        <v>1127</v>
      </c>
      <c r="AS9" s="65"/>
      <c r="AT9" s="65" t="s">
        <v>860</v>
      </c>
      <c r="AU9" s="65" t="s">
        <v>605</v>
      </c>
      <c r="AV9" s="65" t="s">
        <v>755</v>
      </c>
      <c r="AW9" s="65" t="s">
        <v>756</v>
      </c>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row>
    <row r="10" spans="1:170" s="73" customFormat="1" ht="116.1" hidden="1">
      <c r="A10" s="64">
        <v>17</v>
      </c>
      <c r="B10" s="75">
        <v>46036.460659722201</v>
      </c>
      <c r="C10" s="75">
        <v>46036.534895833298</v>
      </c>
      <c r="D10" s="63" t="s">
        <v>1128</v>
      </c>
      <c r="E10" s="63" t="s">
        <v>1129</v>
      </c>
      <c r="F10" s="63" t="s">
        <v>1130</v>
      </c>
      <c r="G10" s="63" t="s">
        <v>112</v>
      </c>
      <c r="H10" s="64" t="s">
        <v>77</v>
      </c>
      <c r="I10" s="64" t="s">
        <v>1131</v>
      </c>
      <c r="J10" s="84" t="s">
        <v>1012</v>
      </c>
      <c r="K10" s="83"/>
      <c r="L10" s="64" t="s">
        <v>824</v>
      </c>
      <c r="M10" s="64"/>
      <c r="N10" s="64"/>
      <c r="O10" s="63" t="s">
        <v>823</v>
      </c>
      <c r="P10" s="87" t="s">
        <v>1132</v>
      </c>
      <c r="Q10" s="84"/>
      <c r="R10" s="64" t="s">
        <v>57</v>
      </c>
      <c r="S10" s="64"/>
      <c r="T10" s="64"/>
      <c r="U10" s="83"/>
      <c r="V10" s="77">
        <v>46076</v>
      </c>
      <c r="W10" s="76" t="s">
        <v>1044</v>
      </c>
      <c r="X10" s="84"/>
      <c r="Y10" s="76" t="s">
        <v>1133</v>
      </c>
      <c r="Z10" s="76" t="s">
        <v>1134</v>
      </c>
      <c r="AA10" s="78" t="s">
        <v>1135</v>
      </c>
      <c r="AB10" s="76" t="s">
        <v>1136</v>
      </c>
      <c r="AC10" s="76" t="s">
        <v>1137</v>
      </c>
      <c r="AD10" s="78" t="s">
        <v>1138</v>
      </c>
      <c r="AE10" s="76" t="s">
        <v>1139</v>
      </c>
      <c r="AF10" s="76" t="s">
        <v>1140</v>
      </c>
      <c r="AG10" s="76" t="s">
        <v>1141</v>
      </c>
      <c r="AH10" s="63" t="s">
        <v>678</v>
      </c>
      <c r="AI10" s="63" t="s">
        <v>260</v>
      </c>
      <c r="AJ10" s="63" t="s">
        <v>64</v>
      </c>
      <c r="AK10" s="76" t="s">
        <v>1142</v>
      </c>
      <c r="AL10" s="76" t="s">
        <v>1143</v>
      </c>
      <c r="AM10" s="79" t="s">
        <v>1144</v>
      </c>
      <c r="AN10" s="65" t="s">
        <v>1145</v>
      </c>
      <c r="AO10" s="65"/>
      <c r="AP10" s="72"/>
      <c r="AQ10" s="65" t="s">
        <v>2</v>
      </c>
      <c r="AR10" s="69" t="s">
        <v>1146</v>
      </c>
      <c r="AS10" s="65" t="s">
        <v>671</v>
      </c>
      <c r="AT10" s="65" t="s">
        <v>860</v>
      </c>
      <c r="AU10" s="65" t="s">
        <v>605</v>
      </c>
      <c r="AV10" s="65" t="s">
        <v>755</v>
      </c>
      <c r="AW10" s="65" t="s">
        <v>756</v>
      </c>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row>
    <row r="11" spans="1:170" s="73" customFormat="1" ht="304.5" hidden="1">
      <c r="A11" s="64">
        <v>18</v>
      </c>
      <c r="B11" s="75">
        <v>46036.650069444397</v>
      </c>
      <c r="C11" s="75">
        <v>46036.730034722197</v>
      </c>
      <c r="D11" s="63" t="s">
        <v>91</v>
      </c>
      <c r="E11" s="63" t="s">
        <v>92</v>
      </c>
      <c r="F11" s="63" t="s">
        <v>1147</v>
      </c>
      <c r="G11" s="63" t="s">
        <v>1148</v>
      </c>
      <c r="H11" s="64" t="s">
        <v>77</v>
      </c>
      <c r="I11" s="64" t="s">
        <v>1149</v>
      </c>
      <c r="J11" s="84" t="s">
        <v>1012</v>
      </c>
      <c r="K11" s="83"/>
      <c r="L11" s="64"/>
      <c r="M11" s="64"/>
      <c r="N11" s="64" t="s">
        <v>56</v>
      </c>
      <c r="O11" s="63" t="s">
        <v>741</v>
      </c>
      <c r="P11" s="87" t="s">
        <v>1150</v>
      </c>
      <c r="Q11" s="84"/>
      <c r="R11" s="64" t="s">
        <v>57</v>
      </c>
      <c r="S11" s="64"/>
      <c r="T11" s="64"/>
      <c r="U11" s="83"/>
      <c r="V11" s="77">
        <v>46112</v>
      </c>
      <c r="W11" s="76" t="s">
        <v>1151</v>
      </c>
      <c r="X11" s="84"/>
      <c r="Y11" s="76" t="s">
        <v>1152</v>
      </c>
      <c r="Z11" s="76" t="s">
        <v>1153</v>
      </c>
      <c r="AA11" s="78" t="s">
        <v>1154</v>
      </c>
      <c r="AB11" s="76" t="s">
        <v>1155</v>
      </c>
      <c r="AC11" s="76" t="s">
        <v>1156</v>
      </c>
      <c r="AD11" s="78" t="s">
        <v>1157</v>
      </c>
      <c r="AE11" s="76" t="s">
        <v>1158</v>
      </c>
      <c r="AF11" s="76" t="s">
        <v>1159</v>
      </c>
      <c r="AG11" s="76" t="s">
        <v>1160</v>
      </c>
      <c r="AH11" s="63" t="s">
        <v>187</v>
      </c>
      <c r="AI11" s="63" t="s">
        <v>64</v>
      </c>
      <c r="AJ11" s="63" t="s">
        <v>64</v>
      </c>
      <c r="AK11" s="76" t="s">
        <v>1161</v>
      </c>
      <c r="AL11" s="76" t="s">
        <v>1162</v>
      </c>
      <c r="AM11" s="79" t="s">
        <v>1163</v>
      </c>
      <c r="AN11" s="65">
        <v>1</v>
      </c>
      <c r="AO11" s="65" t="s">
        <v>837</v>
      </c>
      <c r="AP11" s="72">
        <v>8500</v>
      </c>
      <c r="AQ11" s="65"/>
      <c r="AR11" s="69" t="s">
        <v>1164</v>
      </c>
      <c r="AS11" s="65"/>
      <c r="AT11" s="65" t="s">
        <v>860</v>
      </c>
      <c r="AU11" s="65" t="s">
        <v>605</v>
      </c>
      <c r="AV11" s="65"/>
      <c r="AW11" s="65" t="s">
        <v>756</v>
      </c>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row>
    <row r="12" spans="1:170" s="73" customFormat="1" ht="304.5" hidden="1">
      <c r="A12" s="64">
        <v>19</v>
      </c>
      <c r="B12" s="75">
        <v>46036.730115740698</v>
      </c>
      <c r="C12" s="75">
        <v>46036.767407407402</v>
      </c>
      <c r="D12" s="63" t="s">
        <v>91</v>
      </c>
      <c r="E12" s="63" t="s">
        <v>92</v>
      </c>
      <c r="F12" s="63" t="s">
        <v>1165</v>
      </c>
      <c r="G12" s="63" t="s">
        <v>1148</v>
      </c>
      <c r="H12" s="64" t="s">
        <v>77</v>
      </c>
      <c r="I12" s="64" t="s">
        <v>1166</v>
      </c>
      <c r="J12" s="84" t="s">
        <v>1012</v>
      </c>
      <c r="K12" s="83"/>
      <c r="L12" s="64"/>
      <c r="M12" s="64"/>
      <c r="N12" s="64" t="s">
        <v>56</v>
      </c>
      <c r="O12" s="63" t="s">
        <v>741</v>
      </c>
      <c r="P12" s="87" t="s">
        <v>1167</v>
      </c>
      <c r="Q12" s="84"/>
      <c r="R12" s="64" t="s">
        <v>57</v>
      </c>
      <c r="S12" s="64"/>
      <c r="T12" s="64"/>
      <c r="U12" s="83"/>
      <c r="V12" s="77">
        <v>46081</v>
      </c>
      <c r="W12" s="76" t="s">
        <v>1168</v>
      </c>
      <c r="X12" s="84"/>
      <c r="Y12" s="76" t="s">
        <v>1169</v>
      </c>
      <c r="Z12" s="76" t="s">
        <v>1153</v>
      </c>
      <c r="AA12" s="78" t="s">
        <v>1170</v>
      </c>
      <c r="AB12" s="76" t="s">
        <v>1169</v>
      </c>
      <c r="AC12" s="76" t="s">
        <v>1156</v>
      </c>
      <c r="AD12" s="78" t="s">
        <v>1157</v>
      </c>
      <c r="AE12" s="76" t="s">
        <v>1158</v>
      </c>
      <c r="AF12" s="76" t="s">
        <v>1159</v>
      </c>
      <c r="AG12" s="76" t="s">
        <v>1171</v>
      </c>
      <c r="AH12" s="63" t="s">
        <v>187</v>
      </c>
      <c r="AI12" s="63" t="s">
        <v>64</v>
      </c>
      <c r="AJ12" s="63" t="s">
        <v>64</v>
      </c>
      <c r="AK12" s="76" t="s">
        <v>1161</v>
      </c>
      <c r="AL12" s="76" t="s">
        <v>1162</v>
      </c>
      <c r="AM12" s="79" t="s">
        <v>1172</v>
      </c>
      <c r="AN12" s="65">
        <v>1</v>
      </c>
      <c r="AO12" s="65"/>
      <c r="AP12" s="72"/>
      <c r="AQ12" s="65" t="s">
        <v>3</v>
      </c>
      <c r="AR12" s="69" t="s">
        <v>1173</v>
      </c>
      <c r="AS12" s="65" t="s">
        <v>671</v>
      </c>
      <c r="AT12" s="69" t="s">
        <v>778</v>
      </c>
      <c r="AU12" s="65" t="s">
        <v>840</v>
      </c>
      <c r="AV12" s="65" t="s">
        <v>755</v>
      </c>
      <c r="AW12" s="65" t="s">
        <v>756</v>
      </c>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row>
    <row r="13" spans="1:170" s="10" customFormat="1" ht="304.5" hidden="1">
      <c r="A13" s="64">
        <v>20</v>
      </c>
      <c r="B13" s="75">
        <v>46036.767638888901</v>
      </c>
      <c r="C13" s="75">
        <v>46036.774097222202</v>
      </c>
      <c r="D13" s="63" t="s">
        <v>91</v>
      </c>
      <c r="E13" s="63" t="s">
        <v>92</v>
      </c>
      <c r="F13" s="63" t="s">
        <v>1174</v>
      </c>
      <c r="G13" s="63" t="s">
        <v>1175</v>
      </c>
      <c r="H13" s="64" t="s">
        <v>77</v>
      </c>
      <c r="I13" s="64" t="s">
        <v>1166</v>
      </c>
      <c r="J13" s="84" t="s">
        <v>1012</v>
      </c>
      <c r="K13" s="83"/>
      <c r="L13" s="64" t="s">
        <v>1024</v>
      </c>
      <c r="M13" s="64"/>
      <c r="N13" s="64"/>
      <c r="O13" s="63" t="s">
        <v>823</v>
      </c>
      <c r="P13" s="87" t="s">
        <v>1176</v>
      </c>
      <c r="Q13" s="84"/>
      <c r="R13" s="64" t="s">
        <v>57</v>
      </c>
      <c r="S13" s="64"/>
      <c r="T13" s="64"/>
      <c r="U13" s="83"/>
      <c r="V13" s="77">
        <v>46112</v>
      </c>
      <c r="W13" s="76" t="s">
        <v>1177</v>
      </c>
      <c r="X13" s="84"/>
      <c r="Y13" s="76" t="s">
        <v>1178</v>
      </c>
      <c r="Z13" s="76" t="s">
        <v>1179</v>
      </c>
      <c r="AA13" s="78" t="s">
        <v>1180</v>
      </c>
      <c r="AB13" s="76" t="s">
        <v>1181</v>
      </c>
      <c r="AC13" s="76" t="s">
        <v>1182</v>
      </c>
      <c r="AD13" s="78" t="s">
        <v>1183</v>
      </c>
      <c r="AE13" s="76" t="s">
        <v>1183</v>
      </c>
      <c r="AF13" s="76" t="s">
        <v>1184</v>
      </c>
      <c r="AG13" s="76" t="s">
        <v>1185</v>
      </c>
      <c r="AH13" s="63" t="s">
        <v>187</v>
      </c>
      <c r="AI13" s="63" t="s">
        <v>64</v>
      </c>
      <c r="AJ13" s="63" t="s">
        <v>64</v>
      </c>
      <c r="AK13" s="76" t="s">
        <v>1161</v>
      </c>
      <c r="AL13" s="76" t="s">
        <v>1162</v>
      </c>
      <c r="AM13" s="79" t="s">
        <v>1186</v>
      </c>
      <c r="AU13" s="10" t="s">
        <v>1168</v>
      </c>
    </row>
    <row r="14" spans="1:170" ht="304.5" hidden="1">
      <c r="A14" s="64">
        <v>21</v>
      </c>
      <c r="B14" s="75">
        <v>46036.774143518502</v>
      </c>
      <c r="C14" s="75">
        <v>46036.779120370396</v>
      </c>
      <c r="D14" s="63" t="s">
        <v>91</v>
      </c>
      <c r="E14" s="63" t="s">
        <v>92</v>
      </c>
      <c r="F14" s="63" t="s">
        <v>1187</v>
      </c>
      <c r="G14" s="63" t="s">
        <v>1148</v>
      </c>
      <c r="H14" s="64" t="s">
        <v>77</v>
      </c>
      <c r="I14" s="64" t="s">
        <v>1166</v>
      </c>
      <c r="J14" s="84" t="s">
        <v>1012</v>
      </c>
      <c r="K14" s="83"/>
      <c r="L14" s="64" t="s">
        <v>1024</v>
      </c>
      <c r="M14" s="64"/>
      <c r="N14" s="64"/>
      <c r="O14" s="63" t="s">
        <v>823</v>
      </c>
      <c r="P14" s="87" t="s">
        <v>1176</v>
      </c>
      <c r="Q14" s="84"/>
      <c r="R14" s="64" t="s">
        <v>57</v>
      </c>
      <c r="S14" s="64"/>
      <c r="T14" s="64"/>
      <c r="U14" s="83"/>
      <c r="V14" s="77">
        <v>46112</v>
      </c>
      <c r="W14" s="76" t="s">
        <v>1188</v>
      </c>
      <c r="X14" s="84"/>
      <c r="Y14" s="76" t="s">
        <v>1189</v>
      </c>
      <c r="Z14" s="76" t="s">
        <v>1190</v>
      </c>
      <c r="AA14" s="78" t="s">
        <v>1191</v>
      </c>
      <c r="AB14" s="76" t="s">
        <v>1189</v>
      </c>
      <c r="AC14" s="76" t="s">
        <v>1192</v>
      </c>
      <c r="AD14" s="78" t="s">
        <v>1193</v>
      </c>
      <c r="AE14" s="76" t="s">
        <v>1194</v>
      </c>
      <c r="AF14" s="76" t="s">
        <v>1159</v>
      </c>
      <c r="AG14" s="76" t="s">
        <v>1195</v>
      </c>
      <c r="AH14" s="63" t="s">
        <v>187</v>
      </c>
      <c r="AI14" s="63" t="s">
        <v>64</v>
      </c>
      <c r="AJ14" s="63" t="s">
        <v>64</v>
      </c>
      <c r="AK14" s="76" t="s">
        <v>1161</v>
      </c>
      <c r="AL14" s="76" t="s">
        <v>1162</v>
      </c>
      <c r="AM14" s="79" t="s">
        <v>1196</v>
      </c>
      <c r="AN14" s="65">
        <v>1</v>
      </c>
      <c r="AP14" s="72"/>
      <c r="AQ14" s="65" t="s">
        <v>3</v>
      </c>
      <c r="AR14" s="65"/>
      <c r="AS14" s="65" t="s">
        <v>671</v>
      </c>
      <c r="AT14" s="65" t="s">
        <v>131</v>
      </c>
      <c r="AU14" s="65" t="s">
        <v>605</v>
      </c>
      <c r="AW14" s="65" t="s">
        <v>841</v>
      </c>
    </row>
    <row r="15" spans="1:170" ht="217.5">
      <c r="A15" s="59">
        <v>22</v>
      </c>
      <c r="B15" s="67">
        <v>46042.586782407401</v>
      </c>
      <c r="C15" s="67">
        <v>46042.665289351797</v>
      </c>
      <c r="D15" s="62" t="s">
        <v>344</v>
      </c>
      <c r="E15" s="62" t="s">
        <v>345</v>
      </c>
      <c r="F15" s="62" t="s">
        <v>1197</v>
      </c>
      <c r="G15" s="62" t="s">
        <v>52</v>
      </c>
      <c r="H15" s="59" t="s">
        <v>77</v>
      </c>
      <c r="I15" s="59" t="s">
        <v>1198</v>
      </c>
      <c r="J15" s="84"/>
      <c r="K15" s="83"/>
      <c r="L15" s="59"/>
      <c r="M15" s="59"/>
      <c r="N15" s="59" t="s">
        <v>206</v>
      </c>
      <c r="O15" s="62" t="s">
        <v>741</v>
      </c>
      <c r="P15" s="87" t="s">
        <v>1199</v>
      </c>
      <c r="Q15" s="84"/>
      <c r="R15" s="59" t="s">
        <v>118</v>
      </c>
      <c r="S15" s="59">
        <v>75411</v>
      </c>
      <c r="T15" s="59"/>
      <c r="U15" s="90"/>
      <c r="V15" s="68">
        <v>46063</v>
      </c>
      <c r="W15" s="70" t="s">
        <v>1200</v>
      </c>
      <c r="X15" s="84"/>
      <c r="Y15" s="70" t="s">
        <v>1201</v>
      </c>
      <c r="Z15" s="70" t="s">
        <v>1202</v>
      </c>
      <c r="AA15" s="71" t="s">
        <v>1203</v>
      </c>
      <c r="AB15" s="70" t="s">
        <v>1204</v>
      </c>
      <c r="AC15" s="70" t="s">
        <v>1205</v>
      </c>
      <c r="AD15" s="71" t="s">
        <v>1206</v>
      </c>
      <c r="AE15" s="70" t="s">
        <v>1207</v>
      </c>
      <c r="AF15" s="70" t="s">
        <v>1208</v>
      </c>
      <c r="AG15" s="70" t="s">
        <v>1209</v>
      </c>
      <c r="AH15" s="62" t="s">
        <v>1210</v>
      </c>
      <c r="AI15" s="62" t="s">
        <v>64</v>
      </c>
      <c r="AJ15" s="62" t="s">
        <v>64</v>
      </c>
      <c r="AK15" s="70" t="s">
        <v>1211</v>
      </c>
      <c r="AL15" s="70" t="s">
        <v>1212</v>
      </c>
      <c r="AM15" s="74" t="s">
        <v>1213</v>
      </c>
      <c r="AP15" s="72"/>
      <c r="AT15" s="65" t="s">
        <v>214</v>
      </c>
      <c r="AU15" s="65" t="s">
        <v>192</v>
      </c>
    </row>
    <row r="16" spans="1:170" ht="188.45" hidden="1">
      <c r="A16" s="59">
        <v>23</v>
      </c>
      <c r="B16" s="67">
        <v>46042.744837963</v>
      </c>
      <c r="C16" s="67">
        <v>46042.760972222197</v>
      </c>
      <c r="D16" s="62" t="s">
        <v>1020</v>
      </c>
      <c r="E16" s="62" t="s">
        <v>1021</v>
      </c>
      <c r="F16" s="62" t="s">
        <v>1214</v>
      </c>
      <c r="G16" s="62" t="s">
        <v>112</v>
      </c>
      <c r="H16" s="59" t="s">
        <v>125</v>
      </c>
      <c r="I16" s="59" t="s">
        <v>1215</v>
      </c>
      <c r="J16" s="84"/>
      <c r="K16" s="83"/>
      <c r="L16" s="59" t="s">
        <v>1024</v>
      </c>
      <c r="M16" s="59"/>
      <c r="N16" s="59"/>
      <c r="O16" s="62" t="s">
        <v>823</v>
      </c>
      <c r="P16" s="87" t="s">
        <v>1216</v>
      </c>
      <c r="Q16" s="84"/>
      <c r="R16" s="59" t="s">
        <v>57</v>
      </c>
      <c r="S16" s="59"/>
      <c r="T16" s="59"/>
      <c r="U16" s="83"/>
      <c r="V16" s="68">
        <v>46112</v>
      </c>
      <c r="W16" s="70" t="s">
        <v>1217</v>
      </c>
      <c r="X16" s="84"/>
      <c r="Y16" s="70" t="s">
        <v>1218</v>
      </c>
      <c r="Z16" s="70" t="s">
        <v>1219</v>
      </c>
      <c r="AA16" s="71" t="s">
        <v>1220</v>
      </c>
      <c r="AB16" s="70" t="s">
        <v>1221</v>
      </c>
      <c r="AC16" s="70" t="s">
        <v>1222</v>
      </c>
      <c r="AD16" s="71" t="s">
        <v>1223</v>
      </c>
      <c r="AE16" s="70" t="s">
        <v>1224</v>
      </c>
      <c r="AF16" s="70" t="s">
        <v>1225</v>
      </c>
      <c r="AG16" s="70" t="s">
        <v>1226</v>
      </c>
      <c r="AH16" s="62" t="s">
        <v>187</v>
      </c>
      <c r="AI16" s="62" t="s">
        <v>64</v>
      </c>
      <c r="AJ16" s="62" t="s">
        <v>260</v>
      </c>
      <c r="AK16" s="70" t="s">
        <v>1227</v>
      </c>
      <c r="AL16" s="70" t="s">
        <v>1228</v>
      </c>
      <c r="AM16" s="74" t="s">
        <v>1229</v>
      </c>
      <c r="AN16" s="65" t="s">
        <v>795</v>
      </c>
      <c r="AP16" s="72"/>
      <c r="AQ16" s="65" t="s">
        <v>3</v>
      </c>
      <c r="AR16" s="65"/>
      <c r="AS16" s="65" t="s">
        <v>671</v>
      </c>
      <c r="AT16" s="65" t="s">
        <v>322</v>
      </c>
      <c r="AU16" s="65" t="s">
        <v>605</v>
      </c>
      <c r="AV16" s="65" t="s">
        <v>755</v>
      </c>
      <c r="AW16" s="65" t="s">
        <v>841</v>
      </c>
    </row>
    <row r="17" spans="1:50" ht="203.1" hidden="1">
      <c r="A17" s="59">
        <v>24</v>
      </c>
      <c r="B17" s="67">
        <v>46043.4691550926</v>
      </c>
      <c r="C17" s="67">
        <v>46043.537372685198</v>
      </c>
      <c r="D17" s="62" t="s">
        <v>1230</v>
      </c>
      <c r="E17" s="62" t="s">
        <v>1231</v>
      </c>
      <c r="F17" s="62" t="s">
        <v>1232</v>
      </c>
      <c r="G17" s="62" t="s">
        <v>112</v>
      </c>
      <c r="H17" s="59" t="s">
        <v>224</v>
      </c>
      <c r="I17" s="59" t="s">
        <v>1233</v>
      </c>
      <c r="J17" s="84"/>
      <c r="K17" s="83"/>
      <c r="L17" s="59" t="s">
        <v>226</v>
      </c>
      <c r="M17" s="59"/>
      <c r="N17" s="59"/>
      <c r="O17" s="62" t="s">
        <v>823</v>
      </c>
      <c r="P17" s="87" t="s">
        <v>1234</v>
      </c>
      <c r="Q17" s="84"/>
      <c r="R17" s="59" t="s">
        <v>57</v>
      </c>
      <c r="S17" s="59"/>
      <c r="T17" s="59"/>
      <c r="U17" s="83"/>
      <c r="V17" s="68">
        <v>46087</v>
      </c>
      <c r="W17" s="70" t="s">
        <v>1235</v>
      </c>
      <c r="X17" s="84"/>
      <c r="Y17" s="70" t="s">
        <v>1236</v>
      </c>
      <c r="Z17" s="70" t="s">
        <v>1237</v>
      </c>
      <c r="AA17" s="71" t="s">
        <v>1238</v>
      </c>
      <c r="AB17" s="70" t="s">
        <v>1239</v>
      </c>
      <c r="AC17" s="70" t="s">
        <v>1240</v>
      </c>
      <c r="AD17" s="71" t="s">
        <v>1241</v>
      </c>
      <c r="AE17" s="70" t="s">
        <v>1242</v>
      </c>
      <c r="AF17" s="70" t="s">
        <v>1243</v>
      </c>
      <c r="AG17" s="70" t="s">
        <v>1244</v>
      </c>
      <c r="AH17" s="62" t="s">
        <v>1245</v>
      </c>
      <c r="AI17" s="62" t="s">
        <v>260</v>
      </c>
      <c r="AJ17" s="62" t="s">
        <v>64</v>
      </c>
      <c r="AK17" s="70" t="s">
        <v>1246</v>
      </c>
      <c r="AL17" s="70" t="s">
        <v>1247</v>
      </c>
      <c r="AM17" s="74" t="s">
        <v>1248</v>
      </c>
      <c r="AN17" s="65">
        <v>3</v>
      </c>
      <c r="AP17" s="72"/>
      <c r="AQ17" s="65" t="s">
        <v>2</v>
      </c>
      <c r="AR17" s="69" t="s">
        <v>1249</v>
      </c>
      <c r="AS17" s="65" t="s">
        <v>671</v>
      </c>
      <c r="AT17" s="69" t="s">
        <v>1250</v>
      </c>
      <c r="AU17" s="65" t="s">
        <v>605</v>
      </c>
      <c r="AV17" s="65" t="s">
        <v>755</v>
      </c>
      <c r="AW17" s="65" t="s">
        <v>841</v>
      </c>
    </row>
    <row r="18" spans="1:50" ht="29.1">
      <c r="A18" s="59"/>
      <c r="B18" s="67">
        <v>46045</v>
      </c>
      <c r="C18" s="67"/>
      <c r="D18" s="62"/>
      <c r="E18" s="62"/>
      <c r="F18" s="62" t="s">
        <v>1251</v>
      </c>
      <c r="G18" s="62" t="s">
        <v>1252</v>
      </c>
      <c r="H18" s="59"/>
      <c r="I18" s="59" t="s">
        <v>1253</v>
      </c>
      <c r="J18" s="84" t="s">
        <v>1012</v>
      </c>
      <c r="K18" s="83"/>
      <c r="L18" s="59"/>
      <c r="M18" s="59"/>
      <c r="N18" s="59"/>
      <c r="O18" s="62"/>
      <c r="P18" s="88" t="s">
        <v>1254</v>
      </c>
      <c r="Q18" s="84"/>
      <c r="R18" s="59" t="s">
        <v>57</v>
      </c>
      <c r="S18" s="59"/>
      <c r="T18" s="59"/>
      <c r="U18" s="83"/>
      <c r="V18" s="68"/>
      <c r="W18" s="62"/>
      <c r="X18" s="84"/>
      <c r="Y18" s="59" t="s">
        <v>1255</v>
      </c>
      <c r="Z18" s="10" t="s">
        <v>1256</v>
      </c>
      <c r="AA18" s="59"/>
      <c r="AB18" s="62"/>
      <c r="AC18" s="62"/>
      <c r="AD18" s="59"/>
      <c r="AE18" s="62"/>
      <c r="AF18" s="62"/>
      <c r="AG18" s="62"/>
      <c r="AH18" s="62"/>
      <c r="AI18" s="62"/>
      <c r="AJ18" s="62"/>
      <c r="AK18" s="62"/>
      <c r="AL18" s="62"/>
      <c r="AM18" s="62"/>
      <c r="AP18" s="72"/>
      <c r="AT18" s="65" t="s">
        <v>68</v>
      </c>
      <c r="AU18" s="65" t="s">
        <v>192</v>
      </c>
    </row>
    <row r="19" spans="1:50" ht="43.5" hidden="1">
      <c r="A19" s="59"/>
      <c r="B19" s="58">
        <v>46045</v>
      </c>
      <c r="C19" s="67"/>
      <c r="D19" s="62"/>
      <c r="E19" s="62"/>
      <c r="F19" s="62" t="s">
        <v>1257</v>
      </c>
      <c r="G19" s="62" t="s">
        <v>52</v>
      </c>
      <c r="H19" s="59"/>
      <c r="I19" s="59" t="s">
        <v>1258</v>
      </c>
      <c r="J19" s="84" t="s">
        <v>1012</v>
      </c>
      <c r="K19" s="83"/>
      <c r="L19" s="59"/>
      <c r="M19" s="59"/>
      <c r="N19" s="59"/>
      <c r="O19" s="62" t="s">
        <v>741</v>
      </c>
      <c r="P19" s="86" t="s">
        <v>1259</v>
      </c>
      <c r="Q19" s="84"/>
      <c r="R19" s="59" t="s">
        <v>57</v>
      </c>
      <c r="S19" s="59"/>
      <c r="T19" s="59"/>
      <c r="U19" s="83"/>
      <c r="V19" s="68"/>
      <c r="W19" s="62"/>
      <c r="X19" s="84"/>
      <c r="Y19" s="59" t="s">
        <v>1260</v>
      </c>
      <c r="Z19" s="10" t="s">
        <v>1015</v>
      </c>
      <c r="AA19" s="59"/>
      <c r="AB19" s="62"/>
      <c r="AC19" s="62"/>
      <c r="AD19" s="59"/>
      <c r="AE19" s="62"/>
      <c r="AF19" s="62"/>
      <c r="AG19" s="62"/>
      <c r="AH19" s="62"/>
      <c r="AI19" s="62"/>
      <c r="AJ19" s="62"/>
      <c r="AK19" s="62"/>
      <c r="AL19" s="62"/>
      <c r="AM19" s="62"/>
      <c r="AN19" s="65" t="s">
        <v>795</v>
      </c>
      <c r="AP19" s="72"/>
      <c r="AQ19" s="65" t="s">
        <v>3</v>
      </c>
      <c r="AR19" s="65"/>
      <c r="AS19" s="65" t="s">
        <v>671</v>
      </c>
      <c r="AT19" s="65" t="s">
        <v>322</v>
      </c>
      <c r="AU19" s="65" t="s">
        <v>605</v>
      </c>
      <c r="AW19" s="65" t="s">
        <v>756</v>
      </c>
    </row>
    <row r="20" spans="1:50" ht="101.45">
      <c r="A20" s="59"/>
      <c r="B20" s="67">
        <v>46045</v>
      </c>
      <c r="C20" s="67"/>
      <c r="D20" s="62"/>
      <c r="E20" s="62"/>
      <c r="F20" s="62" t="s">
        <v>1261</v>
      </c>
      <c r="G20" s="62" t="s">
        <v>430</v>
      </c>
      <c r="H20" s="59"/>
      <c r="I20" s="59" t="s">
        <v>1262</v>
      </c>
      <c r="J20" s="84" t="s">
        <v>1012</v>
      </c>
      <c r="K20" s="83"/>
      <c r="L20" s="59"/>
      <c r="M20" s="59"/>
      <c r="N20" s="59"/>
      <c r="O20" s="62" t="s">
        <v>804</v>
      </c>
      <c r="P20" s="88" t="s">
        <v>1263</v>
      </c>
      <c r="Q20" s="84"/>
      <c r="R20" s="59" t="s">
        <v>57</v>
      </c>
      <c r="S20" s="59"/>
      <c r="T20" s="59"/>
      <c r="U20" s="83"/>
      <c r="V20" s="68"/>
      <c r="W20" s="62"/>
      <c r="X20" s="84"/>
      <c r="Y20" s="59" t="s">
        <v>1264</v>
      </c>
      <c r="Z20" s="59" t="s">
        <v>1265</v>
      </c>
      <c r="AA20" s="59"/>
      <c r="AB20" s="62"/>
      <c r="AC20" s="62"/>
      <c r="AD20" s="59"/>
      <c r="AE20" s="62"/>
      <c r="AF20" s="62"/>
      <c r="AG20" s="62"/>
      <c r="AH20" s="62"/>
      <c r="AI20" s="62"/>
      <c r="AJ20" s="62"/>
      <c r="AK20" s="62"/>
      <c r="AL20" s="62"/>
      <c r="AM20" s="62"/>
      <c r="AP20" s="72"/>
      <c r="AT20" s="65" t="s">
        <v>754</v>
      </c>
      <c r="AU20" s="65" t="s">
        <v>192</v>
      </c>
    </row>
    <row r="21" spans="1:50" ht="101.45" hidden="1">
      <c r="A21" s="59"/>
      <c r="B21" s="67">
        <v>46045</v>
      </c>
      <c r="C21" s="67"/>
      <c r="D21" s="62"/>
      <c r="E21" s="62"/>
      <c r="F21" s="62" t="s">
        <v>1261</v>
      </c>
      <c r="G21" s="62" t="s">
        <v>112</v>
      </c>
      <c r="H21" s="59"/>
      <c r="I21" s="59" t="s">
        <v>1266</v>
      </c>
      <c r="J21" s="84" t="s">
        <v>1012</v>
      </c>
      <c r="K21" s="83"/>
      <c r="L21" s="59"/>
      <c r="M21" s="59"/>
      <c r="N21" s="59"/>
      <c r="O21" s="62" t="s">
        <v>823</v>
      </c>
      <c r="P21" s="88" t="s">
        <v>1267</v>
      </c>
      <c r="Q21" s="84"/>
      <c r="R21" s="59" t="s">
        <v>57</v>
      </c>
      <c r="S21" s="59"/>
      <c r="T21" s="59"/>
      <c r="U21" s="83"/>
      <c r="V21" s="68"/>
      <c r="W21" s="62"/>
      <c r="X21" s="84"/>
      <c r="Y21" s="59" t="s">
        <v>1268</v>
      </c>
      <c r="Z21" s="59" t="s">
        <v>1265</v>
      </c>
      <c r="AA21" s="59"/>
      <c r="AB21" s="62"/>
      <c r="AC21" s="62"/>
      <c r="AD21" s="59"/>
      <c r="AE21" s="62"/>
      <c r="AF21" s="62"/>
      <c r="AG21" s="62"/>
      <c r="AH21" s="62"/>
      <c r="AI21" s="62"/>
      <c r="AJ21" s="62"/>
      <c r="AK21" s="62"/>
      <c r="AL21" s="62"/>
      <c r="AM21" s="62"/>
      <c r="AN21" s="65">
        <v>2</v>
      </c>
      <c r="AO21" s="65" t="s">
        <v>837</v>
      </c>
      <c r="AP21" s="72">
        <v>13000</v>
      </c>
      <c r="AQ21" s="65" t="s">
        <v>3</v>
      </c>
      <c r="AR21" s="69" t="s">
        <v>838</v>
      </c>
      <c r="AS21" s="65" t="s">
        <v>245</v>
      </c>
      <c r="AT21" s="65" t="s">
        <v>860</v>
      </c>
      <c r="AU21" s="65" t="s">
        <v>840</v>
      </c>
    </row>
    <row r="22" spans="1:50" ht="29.1" hidden="1">
      <c r="A22" s="59"/>
      <c r="B22" s="58">
        <v>46045</v>
      </c>
      <c r="C22" s="67"/>
      <c r="D22" s="62"/>
      <c r="E22" s="62"/>
      <c r="F22" s="62" t="s">
        <v>1269</v>
      </c>
      <c r="G22" s="62" t="s">
        <v>52</v>
      </c>
      <c r="H22" s="59"/>
      <c r="I22" s="59" t="s">
        <v>1270</v>
      </c>
      <c r="J22" s="84" t="s">
        <v>1012</v>
      </c>
      <c r="K22" s="83"/>
      <c r="L22" s="59"/>
      <c r="M22" s="59"/>
      <c r="N22" s="59"/>
      <c r="O22" s="62" t="s">
        <v>741</v>
      </c>
      <c r="P22" s="86" t="s">
        <v>1271</v>
      </c>
      <c r="Q22" s="84"/>
      <c r="R22" s="59" t="s">
        <v>57</v>
      </c>
      <c r="S22" s="59"/>
      <c r="T22" s="59"/>
      <c r="U22" s="83"/>
      <c r="V22" s="68"/>
      <c r="W22" s="62"/>
      <c r="X22" s="84"/>
      <c r="Y22" s="59" t="s">
        <v>1272</v>
      </c>
      <c r="Z22" s="10" t="s">
        <v>1273</v>
      </c>
      <c r="AA22" s="59"/>
      <c r="AB22" s="62"/>
      <c r="AC22" s="62"/>
      <c r="AD22" s="59"/>
      <c r="AE22" s="62"/>
      <c r="AF22" s="62"/>
      <c r="AG22" s="62"/>
      <c r="AH22" s="62"/>
      <c r="AI22" s="62"/>
      <c r="AJ22" s="62"/>
      <c r="AK22" s="62"/>
      <c r="AL22" s="62"/>
      <c r="AM22" s="62"/>
      <c r="AN22" s="65">
        <v>1</v>
      </c>
      <c r="AP22" s="72"/>
      <c r="AQ22" s="65" t="s">
        <v>4</v>
      </c>
      <c r="AR22" s="69" t="s">
        <v>1274</v>
      </c>
      <c r="AS22" s="65" t="s">
        <v>671</v>
      </c>
      <c r="AT22" s="65" t="s">
        <v>322</v>
      </c>
      <c r="AU22" s="65" t="s">
        <v>605</v>
      </c>
      <c r="AW22" s="65" t="s">
        <v>1019</v>
      </c>
    </row>
    <row r="23" spans="1:50" ht="29.1">
      <c r="A23" s="59"/>
      <c r="B23" s="67">
        <v>46045</v>
      </c>
      <c r="C23" s="67"/>
      <c r="D23" s="62"/>
      <c r="E23" s="62"/>
      <c r="F23" s="62" t="s">
        <v>1251</v>
      </c>
      <c r="G23" s="10" t="s">
        <v>1252</v>
      </c>
      <c r="H23" s="59"/>
      <c r="I23" s="93" t="s">
        <v>1275</v>
      </c>
      <c r="J23" s="84" t="s">
        <v>1012</v>
      </c>
      <c r="K23" s="83"/>
      <c r="L23" s="59"/>
      <c r="M23" s="59"/>
      <c r="N23" s="59"/>
      <c r="O23" s="62"/>
      <c r="P23" s="86" t="s">
        <v>1254</v>
      </c>
      <c r="Q23" s="89"/>
      <c r="R23" s="59" t="s">
        <v>118</v>
      </c>
      <c r="S23" s="59" t="s">
        <v>350</v>
      </c>
      <c r="T23" s="59"/>
      <c r="U23" s="83"/>
      <c r="V23" s="60">
        <v>46082</v>
      </c>
      <c r="W23" s="62"/>
      <c r="X23" s="84"/>
      <c r="Y23" s="62"/>
      <c r="Z23" s="10" t="s">
        <v>1276</v>
      </c>
      <c r="AA23" s="59"/>
      <c r="AB23" s="62"/>
      <c r="AC23" s="62"/>
      <c r="AD23" s="59"/>
      <c r="AE23" s="62"/>
      <c r="AF23" s="62"/>
      <c r="AG23" s="62"/>
      <c r="AH23" s="62"/>
      <c r="AI23" s="62"/>
      <c r="AJ23" s="62"/>
      <c r="AK23" s="62"/>
      <c r="AL23" s="62"/>
      <c r="AM23" s="62"/>
      <c r="AP23" s="72"/>
      <c r="AR23" s="69" t="s">
        <v>1277</v>
      </c>
      <c r="AT23" s="65" t="s">
        <v>860</v>
      </c>
      <c r="AU23" s="65" t="s">
        <v>192</v>
      </c>
    </row>
    <row r="24" spans="1:50" ht="101.45" hidden="1">
      <c r="A24" s="59"/>
      <c r="B24" s="58">
        <v>46045</v>
      </c>
      <c r="C24" s="67"/>
      <c r="D24" s="62"/>
      <c r="E24" s="62"/>
      <c r="F24" s="62" t="s">
        <v>1261</v>
      </c>
      <c r="G24" s="10" t="s">
        <v>430</v>
      </c>
      <c r="H24" s="59"/>
      <c r="I24" s="93" t="s">
        <v>1275</v>
      </c>
      <c r="J24" s="84" t="s">
        <v>1012</v>
      </c>
      <c r="K24" s="83"/>
      <c r="L24" s="59"/>
      <c r="M24" s="59"/>
      <c r="N24" s="59"/>
      <c r="O24" s="62" t="s">
        <v>804</v>
      </c>
      <c r="P24" s="86" t="s">
        <v>1263</v>
      </c>
      <c r="Q24" s="89"/>
      <c r="R24" s="59" t="s">
        <v>118</v>
      </c>
      <c r="S24" s="59"/>
      <c r="T24" s="59"/>
      <c r="U24" s="83"/>
      <c r="V24" s="60">
        <v>46157</v>
      </c>
      <c r="W24" s="62"/>
      <c r="X24" s="84"/>
      <c r="Y24" s="62"/>
      <c r="Z24" s="10" t="s">
        <v>1278</v>
      </c>
      <c r="AA24" s="59"/>
      <c r="AB24" s="62"/>
      <c r="AC24" s="62"/>
      <c r="AD24" s="59"/>
      <c r="AE24" s="62"/>
      <c r="AF24" s="62"/>
      <c r="AG24" s="62"/>
      <c r="AH24" s="62"/>
      <c r="AI24" s="62"/>
      <c r="AJ24" s="62"/>
      <c r="AK24" s="62"/>
      <c r="AL24" s="62"/>
      <c r="AM24" s="62"/>
      <c r="AN24" s="65">
        <v>5</v>
      </c>
      <c r="AO24" s="65" t="s">
        <v>837</v>
      </c>
      <c r="AP24" s="72">
        <v>47000</v>
      </c>
      <c r="AQ24" s="65" t="s">
        <v>2</v>
      </c>
      <c r="AR24" s="69" t="s">
        <v>1279</v>
      </c>
      <c r="AS24" s="65" t="s">
        <v>628</v>
      </c>
      <c r="AT24" s="65" t="s">
        <v>860</v>
      </c>
      <c r="AU24" s="65" t="s">
        <v>605</v>
      </c>
      <c r="AW24" s="65" t="s">
        <v>841</v>
      </c>
    </row>
    <row r="25" spans="1:50" s="10" customFormat="1" ht="101.45">
      <c r="A25" s="59"/>
      <c r="B25" s="58">
        <v>46045</v>
      </c>
      <c r="C25" s="67"/>
      <c r="D25" s="62"/>
      <c r="E25" s="62"/>
      <c r="F25" s="62" t="s">
        <v>1261</v>
      </c>
      <c r="G25" s="10" t="s">
        <v>112</v>
      </c>
      <c r="H25" s="59"/>
      <c r="I25" s="93" t="s">
        <v>1275</v>
      </c>
      <c r="J25" s="84" t="s">
        <v>1012</v>
      </c>
      <c r="K25" s="83"/>
      <c r="L25" s="59"/>
      <c r="M25" s="59"/>
      <c r="N25" s="59"/>
      <c r="O25" s="62" t="s">
        <v>823</v>
      </c>
      <c r="P25" s="86" t="s">
        <v>1280</v>
      </c>
      <c r="Q25" s="84"/>
      <c r="R25" s="59" t="s">
        <v>118</v>
      </c>
      <c r="S25" s="59"/>
      <c r="T25" s="59"/>
      <c r="U25" s="83"/>
      <c r="V25" s="60">
        <v>46188</v>
      </c>
      <c r="W25" s="62"/>
      <c r="X25" s="84"/>
      <c r="Y25" s="62"/>
      <c r="Z25" s="10" t="s">
        <v>1281</v>
      </c>
      <c r="AA25" s="59"/>
      <c r="AB25" s="62"/>
      <c r="AC25" s="62"/>
      <c r="AD25" s="59"/>
      <c r="AE25" s="62"/>
      <c r="AF25" s="62"/>
      <c r="AG25" s="62"/>
      <c r="AH25" s="62"/>
      <c r="AI25" s="62"/>
      <c r="AJ25" s="62"/>
      <c r="AK25" s="62"/>
      <c r="AL25" s="62"/>
      <c r="AM25" s="62"/>
      <c r="AU25" s="10" t="s">
        <v>1282</v>
      </c>
      <c r="AW25" s="10" t="s">
        <v>1019</v>
      </c>
    </row>
    <row r="26" spans="1:50" s="10" customFormat="1" ht="101.45">
      <c r="A26" s="59"/>
      <c r="B26" s="58">
        <v>46045</v>
      </c>
      <c r="C26" s="67"/>
      <c r="D26" s="62"/>
      <c r="E26" s="62"/>
      <c r="F26" s="62" t="s">
        <v>1261</v>
      </c>
      <c r="G26" s="10" t="s">
        <v>52</v>
      </c>
      <c r="H26" s="59"/>
      <c r="I26" s="93" t="s">
        <v>1275</v>
      </c>
      <c r="J26" s="84" t="s">
        <v>1012</v>
      </c>
      <c r="K26" s="83"/>
      <c r="L26" s="59"/>
      <c r="M26" s="59"/>
      <c r="N26" s="59"/>
      <c r="O26" s="62" t="s">
        <v>741</v>
      </c>
      <c r="P26" s="86" t="s">
        <v>1283</v>
      </c>
      <c r="Q26" s="84"/>
      <c r="R26" s="59" t="s">
        <v>118</v>
      </c>
      <c r="S26" s="59"/>
      <c r="T26" s="59"/>
      <c r="U26" s="83"/>
      <c r="V26" s="60">
        <v>46127</v>
      </c>
      <c r="W26" s="62"/>
      <c r="X26" s="84"/>
      <c r="Y26" s="62"/>
      <c r="Z26" s="10" t="s">
        <v>1284</v>
      </c>
      <c r="AA26" s="59"/>
      <c r="AB26" s="62"/>
      <c r="AC26" s="62"/>
      <c r="AD26" s="59"/>
      <c r="AE26" s="62"/>
      <c r="AF26" s="62"/>
      <c r="AG26" s="62"/>
      <c r="AH26" s="62"/>
      <c r="AI26" s="62"/>
      <c r="AJ26" s="62"/>
      <c r="AK26" s="62"/>
      <c r="AL26" s="62"/>
      <c r="AM26" s="62"/>
      <c r="AU26" s="10" t="s">
        <v>1282</v>
      </c>
      <c r="AW26" s="10" t="s">
        <v>1019</v>
      </c>
    </row>
    <row r="27" spans="1:50" s="10" customFormat="1" ht="29.1">
      <c r="A27" s="59"/>
      <c r="B27" s="58">
        <v>46048</v>
      </c>
      <c r="C27" s="67"/>
      <c r="D27" s="62"/>
      <c r="E27" s="62"/>
      <c r="F27" s="62" t="s">
        <v>1285</v>
      </c>
      <c r="G27" s="62" t="s">
        <v>1252</v>
      </c>
      <c r="H27" s="59"/>
      <c r="I27" s="59" t="s">
        <v>1253</v>
      </c>
      <c r="J27" s="84" t="s">
        <v>1012</v>
      </c>
      <c r="K27" s="83"/>
      <c r="L27" s="59"/>
      <c r="M27" s="59"/>
      <c r="N27" s="59"/>
      <c r="O27" s="62"/>
      <c r="P27" s="88" t="s">
        <v>1286</v>
      </c>
      <c r="Q27" s="84"/>
      <c r="R27" s="59" t="s">
        <v>57</v>
      </c>
      <c r="S27" s="59"/>
      <c r="T27" s="59"/>
      <c r="U27" s="83"/>
      <c r="V27" s="62"/>
      <c r="W27" s="62"/>
      <c r="X27" s="84"/>
      <c r="Y27" s="59" t="s">
        <v>1287</v>
      </c>
      <c r="Z27" s="62"/>
      <c r="AA27" s="59"/>
      <c r="AB27" s="62"/>
      <c r="AC27" s="62"/>
      <c r="AD27" s="59"/>
      <c r="AE27" s="62"/>
      <c r="AF27" s="62"/>
      <c r="AG27" s="62"/>
      <c r="AH27" s="62"/>
      <c r="AI27" s="62"/>
      <c r="AJ27" s="62"/>
      <c r="AK27" s="62"/>
      <c r="AL27" s="62"/>
      <c r="AM27" s="62"/>
      <c r="AU27" s="10" t="s">
        <v>1282</v>
      </c>
      <c r="AW27" s="10" t="s">
        <v>1019</v>
      </c>
    </row>
    <row r="28" spans="1:50" s="10" customFormat="1" ht="29.1">
      <c r="A28" s="59"/>
      <c r="B28" s="58">
        <v>46048</v>
      </c>
      <c r="C28" s="67"/>
      <c r="D28" s="62"/>
      <c r="E28" s="62"/>
      <c r="F28" s="62" t="s">
        <v>1285</v>
      </c>
      <c r="G28" s="10" t="s">
        <v>1252</v>
      </c>
      <c r="H28" s="59"/>
      <c r="I28" s="59" t="s">
        <v>1275</v>
      </c>
      <c r="J28" s="84" t="s">
        <v>1012</v>
      </c>
      <c r="K28" s="83"/>
      <c r="L28" s="59"/>
      <c r="M28" s="59"/>
      <c r="N28" s="59"/>
      <c r="O28" s="62"/>
      <c r="P28" s="86" t="s">
        <v>1286</v>
      </c>
      <c r="Q28" s="84"/>
      <c r="R28" s="59" t="s">
        <v>118</v>
      </c>
      <c r="S28" s="59"/>
      <c r="T28" s="59"/>
      <c r="U28" s="83"/>
      <c r="V28" s="60">
        <v>46068</v>
      </c>
      <c r="W28" s="62"/>
      <c r="X28" s="84"/>
      <c r="Y28" s="62"/>
      <c r="Z28" s="10" t="s">
        <v>1288</v>
      </c>
      <c r="AA28" s="59"/>
      <c r="AB28" s="62"/>
      <c r="AC28" s="62"/>
      <c r="AD28" s="59"/>
      <c r="AE28" s="62"/>
      <c r="AF28" s="62"/>
      <c r="AG28" s="62"/>
      <c r="AH28" s="62"/>
      <c r="AI28" s="62"/>
      <c r="AJ28" s="62"/>
      <c r="AK28" s="62"/>
      <c r="AL28" s="62"/>
      <c r="AM28" s="62"/>
      <c r="AU28" s="10" t="s">
        <v>1282</v>
      </c>
      <c r="AW28" s="10" t="s">
        <v>1019</v>
      </c>
    </row>
    <row r="29" spans="1:50" s="10" customFormat="1" ht="116.1">
      <c r="A29" s="59">
        <v>25</v>
      </c>
      <c r="B29" s="67">
        <v>46048.5886342593</v>
      </c>
      <c r="C29" s="67">
        <v>46048.615358796298</v>
      </c>
      <c r="D29" s="62" t="s">
        <v>735</v>
      </c>
      <c r="E29" s="62" t="s">
        <v>736</v>
      </c>
      <c r="F29" s="62" t="s">
        <v>1289</v>
      </c>
      <c r="G29" s="62" t="s">
        <v>52</v>
      </c>
      <c r="H29" s="59" t="s">
        <v>739</v>
      </c>
      <c r="I29" s="59" t="s">
        <v>1290</v>
      </c>
      <c r="J29" s="84"/>
      <c r="K29" s="83"/>
      <c r="L29" s="59"/>
      <c r="M29" s="59"/>
      <c r="N29" s="59" t="s">
        <v>56</v>
      </c>
      <c r="O29" s="62" t="s">
        <v>741</v>
      </c>
      <c r="P29" s="87" t="s">
        <v>1291</v>
      </c>
      <c r="Q29" s="84"/>
      <c r="R29" s="59" t="s">
        <v>118</v>
      </c>
      <c r="S29" s="59">
        <v>76553</v>
      </c>
      <c r="T29" s="59"/>
      <c r="U29" s="83"/>
      <c r="V29" s="68">
        <v>46083</v>
      </c>
      <c r="W29" s="70" t="s">
        <v>751</v>
      </c>
      <c r="X29" s="84"/>
      <c r="Y29" s="70" t="s">
        <v>1292</v>
      </c>
      <c r="Z29" s="70" t="s">
        <v>1293</v>
      </c>
      <c r="AA29" s="71" t="s">
        <v>1294</v>
      </c>
      <c r="AB29" s="70" t="s">
        <v>1295</v>
      </c>
      <c r="AC29" s="70" t="s">
        <v>1296</v>
      </c>
      <c r="AD29" s="71" t="s">
        <v>1297</v>
      </c>
      <c r="AE29" s="70" t="s">
        <v>1298</v>
      </c>
      <c r="AF29" s="70" t="s">
        <v>1299</v>
      </c>
      <c r="AG29" s="70" t="s">
        <v>1300</v>
      </c>
      <c r="AH29" s="62" t="s">
        <v>750</v>
      </c>
      <c r="AI29" s="62" t="s">
        <v>64</v>
      </c>
      <c r="AJ29" s="62" t="s">
        <v>64</v>
      </c>
      <c r="AK29" s="70" t="s">
        <v>1301</v>
      </c>
      <c r="AL29" s="70" t="s">
        <v>1302</v>
      </c>
      <c r="AM29" s="74" t="s">
        <v>1303</v>
      </c>
      <c r="AU29" s="10" t="s">
        <v>1282</v>
      </c>
      <c r="AW29" s="10" t="s">
        <v>841</v>
      </c>
      <c r="AX29" s="59" t="s">
        <v>1304</v>
      </c>
    </row>
    <row r="30" spans="1:50" s="10" customFormat="1" ht="101.45">
      <c r="A30" s="59">
        <v>26</v>
      </c>
      <c r="B30" s="67">
        <v>46048.615775462997</v>
      </c>
      <c r="C30" s="67">
        <v>46048.6236921296</v>
      </c>
      <c r="D30" s="62" t="s">
        <v>735</v>
      </c>
      <c r="E30" s="62" t="s">
        <v>736</v>
      </c>
      <c r="F30" s="62" t="s">
        <v>737</v>
      </c>
      <c r="G30" s="62" t="s">
        <v>52</v>
      </c>
      <c r="H30" s="59" t="s">
        <v>739</v>
      </c>
      <c r="I30" s="59" t="s">
        <v>740</v>
      </c>
      <c r="J30" s="84"/>
      <c r="K30" s="83"/>
      <c r="L30" s="59"/>
      <c r="M30" s="59"/>
      <c r="N30" s="59" t="s">
        <v>56</v>
      </c>
      <c r="O30" s="62" t="s">
        <v>741</v>
      </c>
      <c r="P30" s="87" t="s">
        <v>1305</v>
      </c>
      <c r="Q30" s="84"/>
      <c r="R30" s="59" t="s">
        <v>118</v>
      </c>
      <c r="S30" s="59">
        <v>76553</v>
      </c>
      <c r="T30" s="59"/>
      <c r="U30" s="83"/>
      <c r="V30" s="68">
        <v>46035</v>
      </c>
      <c r="W30" s="70" t="s">
        <v>742</v>
      </c>
      <c r="X30" s="84"/>
      <c r="Y30" s="70" t="s">
        <v>743</v>
      </c>
      <c r="Z30" s="70" t="s">
        <v>744</v>
      </c>
      <c r="AA30" s="71" t="s">
        <v>745</v>
      </c>
      <c r="AB30" s="70" t="s">
        <v>743</v>
      </c>
      <c r="AC30" s="70" t="s">
        <v>746</v>
      </c>
      <c r="AD30" s="71" t="s">
        <v>748</v>
      </c>
      <c r="AE30" s="70" t="s">
        <v>747</v>
      </c>
      <c r="AF30" s="70" t="s">
        <v>749</v>
      </c>
      <c r="AG30" s="70" t="s">
        <v>738</v>
      </c>
      <c r="AH30" s="62" t="s">
        <v>750</v>
      </c>
      <c r="AI30" s="62" t="s">
        <v>64</v>
      </c>
      <c r="AJ30" s="62" t="s">
        <v>260</v>
      </c>
      <c r="AK30" s="70" t="s">
        <v>751</v>
      </c>
      <c r="AL30" s="70" t="s">
        <v>746</v>
      </c>
      <c r="AM30" s="74" t="s">
        <v>752</v>
      </c>
      <c r="AU30" s="10" t="s">
        <v>1282</v>
      </c>
      <c r="AV30" s="10" t="s">
        <v>755</v>
      </c>
      <c r="AW30" s="10" t="s">
        <v>756</v>
      </c>
    </row>
    <row r="31" spans="1:50" s="10" customFormat="1" ht="87">
      <c r="A31" s="59">
        <v>27</v>
      </c>
      <c r="B31" s="67">
        <v>46048.633923611102</v>
      </c>
      <c r="C31" s="67">
        <v>46048.648668981499</v>
      </c>
      <c r="D31" s="62" t="s">
        <v>735</v>
      </c>
      <c r="E31" s="62" t="s">
        <v>736</v>
      </c>
      <c r="F31" s="62" t="s">
        <v>1306</v>
      </c>
      <c r="G31" s="62" t="s">
        <v>52</v>
      </c>
      <c r="H31" s="59" t="s">
        <v>739</v>
      </c>
      <c r="I31" s="59" t="s">
        <v>1307</v>
      </c>
      <c r="J31" s="84"/>
      <c r="K31" s="83"/>
      <c r="L31" s="59"/>
      <c r="M31" s="59"/>
      <c r="N31" s="59" t="s">
        <v>56</v>
      </c>
      <c r="O31" s="62" t="s">
        <v>741</v>
      </c>
      <c r="P31" s="87" t="s">
        <v>1308</v>
      </c>
      <c r="Q31" s="84"/>
      <c r="R31" s="59" t="s">
        <v>118</v>
      </c>
      <c r="S31" s="59">
        <v>76553</v>
      </c>
      <c r="T31" s="59"/>
      <c r="U31" s="83"/>
      <c r="V31" s="68">
        <v>46113</v>
      </c>
      <c r="W31" s="70" t="s">
        <v>742</v>
      </c>
      <c r="X31" s="84"/>
      <c r="Y31" s="70" t="s">
        <v>1309</v>
      </c>
      <c r="Z31" s="70" t="s">
        <v>1310</v>
      </c>
      <c r="AA31" s="71" t="s">
        <v>1311</v>
      </c>
      <c r="AB31" s="70" t="s">
        <v>1312</v>
      </c>
      <c r="AC31" s="70" t="s">
        <v>1313</v>
      </c>
      <c r="AD31" s="71" t="s">
        <v>748</v>
      </c>
      <c r="AE31" s="70" t="s">
        <v>1314</v>
      </c>
      <c r="AF31" s="70" t="s">
        <v>1315</v>
      </c>
      <c r="AG31" s="70" t="s">
        <v>1316</v>
      </c>
      <c r="AH31" s="62" t="s">
        <v>750</v>
      </c>
      <c r="AI31" s="62" t="s">
        <v>64</v>
      </c>
      <c r="AJ31" s="62" t="s">
        <v>64</v>
      </c>
      <c r="AK31" s="70" t="s">
        <v>751</v>
      </c>
      <c r="AL31" s="70" t="s">
        <v>1317</v>
      </c>
      <c r="AM31" s="74" t="s">
        <v>1318</v>
      </c>
      <c r="AU31" s="10" t="s">
        <v>1282</v>
      </c>
      <c r="AW31" s="10" t="s">
        <v>841</v>
      </c>
      <c r="AX31" s="59"/>
    </row>
    <row r="32" spans="1:50" s="10" customFormat="1" ht="130.5">
      <c r="A32" s="59">
        <v>28</v>
      </c>
      <c r="B32" s="67">
        <v>46048.633958333303</v>
      </c>
      <c r="C32" s="67">
        <v>46048.654606481497</v>
      </c>
      <c r="D32" s="62" t="s">
        <v>735</v>
      </c>
      <c r="E32" s="62" t="s">
        <v>736</v>
      </c>
      <c r="F32" s="62" t="s">
        <v>1319</v>
      </c>
      <c r="G32" s="62" t="s">
        <v>52</v>
      </c>
      <c r="H32" s="59" t="s">
        <v>739</v>
      </c>
      <c r="I32" s="59" t="s">
        <v>1307</v>
      </c>
      <c r="J32" s="84"/>
      <c r="K32" s="83"/>
      <c r="L32" s="59"/>
      <c r="M32" s="59"/>
      <c r="N32" s="59" t="s">
        <v>56</v>
      </c>
      <c r="O32" s="62" t="s">
        <v>741</v>
      </c>
      <c r="P32" s="87" t="s">
        <v>1320</v>
      </c>
      <c r="Q32" s="84"/>
      <c r="R32" s="59" t="s">
        <v>118</v>
      </c>
      <c r="S32" s="59">
        <v>76553</v>
      </c>
      <c r="T32" s="59"/>
      <c r="U32" s="83"/>
      <c r="V32" s="68">
        <v>46113</v>
      </c>
      <c r="W32" s="70" t="s">
        <v>742</v>
      </c>
      <c r="X32" s="84"/>
      <c r="Y32" s="70" t="s">
        <v>1321</v>
      </c>
      <c r="Z32" s="70" t="s">
        <v>1322</v>
      </c>
      <c r="AA32" s="71" t="s">
        <v>1323</v>
      </c>
      <c r="AB32" s="70" t="s">
        <v>1324</v>
      </c>
      <c r="AC32" s="70" t="s">
        <v>1325</v>
      </c>
      <c r="AD32" s="71" t="s">
        <v>1326</v>
      </c>
      <c r="AE32" s="70" t="s">
        <v>1327</v>
      </c>
      <c r="AF32" s="70" t="s">
        <v>1315</v>
      </c>
      <c r="AG32" s="70" t="s">
        <v>1328</v>
      </c>
      <c r="AH32" s="62" t="s">
        <v>750</v>
      </c>
      <c r="AI32" s="62" t="s">
        <v>64</v>
      </c>
      <c r="AJ32" s="62" t="s">
        <v>64</v>
      </c>
      <c r="AK32" s="70" t="s">
        <v>742</v>
      </c>
      <c r="AL32" s="70" t="s">
        <v>1329</v>
      </c>
      <c r="AM32" s="74" t="s">
        <v>1330</v>
      </c>
      <c r="AU32" s="10" t="s">
        <v>1282</v>
      </c>
      <c r="AW32" s="10" t="s">
        <v>841</v>
      </c>
    </row>
    <row r="33" spans="1:50" s="10" customFormat="1" ht="101.45">
      <c r="A33" s="59">
        <v>29</v>
      </c>
      <c r="B33" s="67">
        <v>46048.633969907401</v>
      </c>
      <c r="C33" s="67">
        <v>46048.662210648203</v>
      </c>
      <c r="D33" s="62" t="s">
        <v>735</v>
      </c>
      <c r="E33" s="62" t="s">
        <v>736</v>
      </c>
      <c r="F33" s="62" t="s">
        <v>1331</v>
      </c>
      <c r="G33" s="62" t="s">
        <v>52</v>
      </c>
      <c r="H33" s="59" t="s">
        <v>739</v>
      </c>
      <c r="I33" s="59" t="s">
        <v>1307</v>
      </c>
      <c r="J33" s="84"/>
      <c r="K33" s="83"/>
      <c r="L33" s="59"/>
      <c r="M33" s="59"/>
      <c r="N33" s="59" t="s">
        <v>56</v>
      </c>
      <c r="O33" s="62" t="s">
        <v>741</v>
      </c>
      <c r="P33" s="87" t="s">
        <v>1332</v>
      </c>
      <c r="Q33" s="84"/>
      <c r="R33" s="59" t="s">
        <v>118</v>
      </c>
      <c r="S33" s="59">
        <v>76553</v>
      </c>
      <c r="T33" s="59"/>
      <c r="U33" s="83"/>
      <c r="V33" s="68">
        <v>46113</v>
      </c>
      <c r="W33" s="70" t="s">
        <v>742</v>
      </c>
      <c r="X33" s="84"/>
      <c r="Y33" s="70" t="s">
        <v>1333</v>
      </c>
      <c r="Z33" s="70" t="s">
        <v>1334</v>
      </c>
      <c r="AA33" s="71" t="s">
        <v>1335</v>
      </c>
      <c r="AB33" s="70" t="s">
        <v>1336</v>
      </c>
      <c r="AC33" s="70" t="s">
        <v>1337</v>
      </c>
      <c r="AD33" s="71" t="s">
        <v>748</v>
      </c>
      <c r="AE33" s="70" t="s">
        <v>1338</v>
      </c>
      <c r="AF33" s="70" t="s">
        <v>1339</v>
      </c>
      <c r="AG33" s="70" t="s">
        <v>1340</v>
      </c>
      <c r="AH33" s="62" t="s">
        <v>750</v>
      </c>
      <c r="AI33" s="62" t="s">
        <v>64</v>
      </c>
      <c r="AJ33" s="62" t="s">
        <v>64</v>
      </c>
      <c r="AK33" s="70" t="s">
        <v>742</v>
      </c>
      <c r="AL33" s="70" t="s">
        <v>1341</v>
      </c>
      <c r="AM33" s="74" t="s">
        <v>1342</v>
      </c>
      <c r="AU33" s="10" t="s">
        <v>1282</v>
      </c>
      <c r="AW33" s="10" t="s">
        <v>841</v>
      </c>
    </row>
    <row r="34" spans="1:50" s="10" customFormat="1" ht="231.95">
      <c r="A34" s="59">
        <v>31</v>
      </c>
      <c r="B34" s="67">
        <v>46048.646111111098</v>
      </c>
      <c r="C34" s="67">
        <v>46048.673055555599</v>
      </c>
      <c r="D34" s="62" t="s">
        <v>757</v>
      </c>
      <c r="E34" s="62" t="s">
        <v>758</v>
      </c>
      <c r="F34" s="62" t="s">
        <v>759</v>
      </c>
      <c r="G34" s="62" t="s">
        <v>52</v>
      </c>
      <c r="H34" s="59" t="s">
        <v>251</v>
      </c>
      <c r="I34" s="59" t="s">
        <v>761</v>
      </c>
      <c r="J34" s="84"/>
      <c r="K34" s="83"/>
      <c r="L34" s="59"/>
      <c r="M34" s="59"/>
      <c r="N34" s="59" t="s">
        <v>206</v>
      </c>
      <c r="O34" s="62" t="s">
        <v>741</v>
      </c>
      <c r="P34" s="87" t="s">
        <v>1343</v>
      </c>
      <c r="Q34" s="84"/>
      <c r="R34" s="59" t="s">
        <v>57</v>
      </c>
      <c r="S34" s="59"/>
      <c r="T34" s="59"/>
      <c r="U34" s="83"/>
      <c r="V34" s="68">
        <v>46081</v>
      </c>
      <c r="W34" s="70" t="s">
        <v>762</v>
      </c>
      <c r="X34" s="84"/>
      <c r="Y34" s="70" t="s">
        <v>763</v>
      </c>
      <c r="Z34" s="70" t="s">
        <v>764</v>
      </c>
      <c r="AA34" s="71" t="s">
        <v>766</v>
      </c>
      <c r="AB34" s="70" t="s">
        <v>765</v>
      </c>
      <c r="AC34" s="70" t="s">
        <v>767</v>
      </c>
      <c r="AD34" s="71" t="s">
        <v>769</v>
      </c>
      <c r="AE34" s="70" t="s">
        <v>768</v>
      </c>
      <c r="AF34" s="70" t="s">
        <v>770</v>
      </c>
      <c r="AG34" s="70" t="s">
        <v>760</v>
      </c>
      <c r="AH34" s="62" t="s">
        <v>771</v>
      </c>
      <c r="AI34" s="62" t="s">
        <v>64</v>
      </c>
      <c r="AJ34" s="62" t="s">
        <v>64</v>
      </c>
      <c r="AK34" s="70" t="s">
        <v>772</v>
      </c>
      <c r="AL34" s="70" t="s">
        <v>773</v>
      </c>
      <c r="AM34" s="74" t="s">
        <v>774</v>
      </c>
      <c r="AU34" s="10" t="s">
        <v>1282</v>
      </c>
      <c r="AW34" s="10" t="s">
        <v>756</v>
      </c>
    </row>
    <row r="35" spans="1:50" s="10" customFormat="1" ht="116.1">
      <c r="A35" s="59">
        <v>30</v>
      </c>
      <c r="B35" s="67">
        <v>46048.651817129597</v>
      </c>
      <c r="C35" s="67">
        <v>46048.669687499998</v>
      </c>
      <c r="D35" s="62" t="s">
        <v>1344</v>
      </c>
      <c r="E35" s="62" t="s">
        <v>607</v>
      </c>
      <c r="F35" s="62" t="s">
        <v>1345</v>
      </c>
      <c r="G35" s="62" t="s">
        <v>52</v>
      </c>
      <c r="H35" s="59" t="s">
        <v>335</v>
      </c>
      <c r="I35" s="64" t="s">
        <v>1346</v>
      </c>
      <c r="J35" s="84"/>
      <c r="K35" s="83"/>
      <c r="L35" s="59"/>
      <c r="M35" s="59"/>
      <c r="N35" s="59" t="s">
        <v>296</v>
      </c>
      <c r="O35" s="62" t="s">
        <v>741</v>
      </c>
      <c r="P35" s="87" t="s">
        <v>1347</v>
      </c>
      <c r="Q35" s="84"/>
      <c r="R35" s="59" t="s">
        <v>57</v>
      </c>
      <c r="S35" s="59"/>
      <c r="T35" s="59"/>
      <c r="U35" s="83"/>
      <c r="V35" s="68">
        <v>46078</v>
      </c>
      <c r="W35" s="70" t="s">
        <v>57</v>
      </c>
      <c r="X35" s="84"/>
      <c r="Y35" s="70" t="s">
        <v>1348</v>
      </c>
      <c r="Z35" s="70" t="s">
        <v>1349</v>
      </c>
      <c r="AA35" s="71" t="s">
        <v>1350</v>
      </c>
      <c r="AB35" s="70" t="s">
        <v>1351</v>
      </c>
      <c r="AC35" s="70" t="s">
        <v>1168</v>
      </c>
      <c r="AD35" s="71" t="s">
        <v>1352</v>
      </c>
      <c r="AE35" s="70" t="s">
        <v>319</v>
      </c>
      <c r="AF35" s="70" t="s">
        <v>1353</v>
      </c>
      <c r="AG35" s="70" t="s">
        <v>1354</v>
      </c>
      <c r="AH35" s="62" t="s">
        <v>1245</v>
      </c>
      <c r="AI35" s="62" t="s">
        <v>64</v>
      </c>
      <c r="AJ35" s="62" t="s">
        <v>260</v>
      </c>
      <c r="AK35" s="70" t="s">
        <v>1168</v>
      </c>
      <c r="AL35" s="70" t="s">
        <v>1355</v>
      </c>
      <c r="AM35" s="74" t="s">
        <v>1356</v>
      </c>
      <c r="AU35" s="10" t="s">
        <v>1282</v>
      </c>
      <c r="AW35" s="10" t="s">
        <v>841</v>
      </c>
    </row>
    <row r="36" spans="1:50" s="10" customFormat="1" ht="87">
      <c r="A36" s="59">
        <v>32</v>
      </c>
      <c r="B36" s="67">
        <v>46048.673553240696</v>
      </c>
      <c r="C36" s="67">
        <v>46048.690682870401</v>
      </c>
      <c r="D36" s="62" t="s">
        <v>757</v>
      </c>
      <c r="E36" s="62" t="s">
        <v>758</v>
      </c>
      <c r="F36" s="62" t="s">
        <v>1357</v>
      </c>
      <c r="G36" s="62" t="s">
        <v>52</v>
      </c>
      <c r="H36" s="59" t="s">
        <v>125</v>
      </c>
      <c r="I36" s="59" t="s">
        <v>1358</v>
      </c>
      <c r="J36" s="84"/>
      <c r="K36" s="83"/>
      <c r="L36" s="59"/>
      <c r="M36" s="59"/>
      <c r="N36" s="59" t="s">
        <v>206</v>
      </c>
      <c r="O36" s="62" t="s">
        <v>741</v>
      </c>
      <c r="P36" s="87" t="s">
        <v>1359</v>
      </c>
      <c r="Q36" s="84"/>
      <c r="R36" s="59" t="s">
        <v>57</v>
      </c>
      <c r="S36" s="59"/>
      <c r="T36" s="59"/>
      <c r="U36" s="83"/>
      <c r="V36" s="68">
        <v>46080</v>
      </c>
      <c r="W36" s="70" t="s">
        <v>1360</v>
      </c>
      <c r="X36" s="84"/>
      <c r="Y36" s="70" t="s">
        <v>1361</v>
      </c>
      <c r="Z36" s="70" t="s">
        <v>1362</v>
      </c>
      <c r="AA36" s="71" t="s">
        <v>1363</v>
      </c>
      <c r="AB36" s="70" t="s">
        <v>1364</v>
      </c>
      <c r="AC36" s="70" t="s">
        <v>1365</v>
      </c>
      <c r="AD36" s="71" t="s">
        <v>1366</v>
      </c>
      <c r="AE36" s="70" t="s">
        <v>1367</v>
      </c>
      <c r="AF36" s="70" t="s">
        <v>1368</v>
      </c>
      <c r="AG36" s="70" t="s">
        <v>1369</v>
      </c>
      <c r="AH36" s="62" t="s">
        <v>187</v>
      </c>
      <c r="AI36" s="62" t="s">
        <v>64</v>
      </c>
      <c r="AJ36" s="62" t="s">
        <v>64</v>
      </c>
      <c r="AK36" s="70" t="s">
        <v>1370</v>
      </c>
      <c r="AL36" s="70" t="s">
        <v>1371</v>
      </c>
      <c r="AM36" s="74" t="s">
        <v>1372</v>
      </c>
      <c r="AU36" s="10" t="s">
        <v>1282</v>
      </c>
      <c r="AW36" s="10" t="s">
        <v>841</v>
      </c>
    </row>
    <row r="37" spans="1:50" s="10" customFormat="1" ht="159.6">
      <c r="A37" s="59">
        <v>33</v>
      </c>
      <c r="B37" s="67">
        <v>46049.461261574099</v>
      </c>
      <c r="C37" s="67">
        <v>46049.472210648099</v>
      </c>
      <c r="D37" s="62" t="s">
        <v>779</v>
      </c>
      <c r="E37" s="62" t="s">
        <v>780</v>
      </c>
      <c r="F37" s="62" t="s">
        <v>781</v>
      </c>
      <c r="G37" s="62" t="s">
        <v>52</v>
      </c>
      <c r="H37" s="59" t="s">
        <v>77</v>
      </c>
      <c r="I37" s="59" t="s">
        <v>783</v>
      </c>
      <c r="J37" s="84"/>
      <c r="K37" s="83"/>
      <c r="L37" s="59"/>
      <c r="M37" s="59"/>
      <c r="N37" s="59" t="s">
        <v>206</v>
      </c>
      <c r="O37" s="62" t="s">
        <v>741</v>
      </c>
      <c r="P37" s="87" t="s">
        <v>1373</v>
      </c>
      <c r="Q37" s="84"/>
      <c r="R37" s="59" t="s">
        <v>118</v>
      </c>
      <c r="S37" s="59">
        <v>75364</v>
      </c>
      <c r="T37" s="59"/>
      <c r="U37" s="83"/>
      <c r="V37" s="68">
        <v>46081</v>
      </c>
      <c r="W37" s="70" t="s">
        <v>784</v>
      </c>
      <c r="X37" s="84"/>
      <c r="Y37" s="70" t="s">
        <v>785</v>
      </c>
      <c r="Z37" s="70" t="s">
        <v>786</v>
      </c>
      <c r="AA37" s="71" t="s">
        <v>788</v>
      </c>
      <c r="AB37" s="70" t="s">
        <v>787</v>
      </c>
      <c r="AC37" s="70" t="s">
        <v>789</v>
      </c>
      <c r="AD37" s="71" t="s">
        <v>790</v>
      </c>
      <c r="AE37" s="70" t="s">
        <v>790</v>
      </c>
      <c r="AF37" s="70" t="s">
        <v>791</v>
      </c>
      <c r="AG37" s="70" t="s">
        <v>782</v>
      </c>
      <c r="AH37" s="62" t="s">
        <v>187</v>
      </c>
      <c r="AI37" s="62" t="s">
        <v>64</v>
      </c>
      <c r="AJ37" s="62" t="s">
        <v>64</v>
      </c>
      <c r="AK37" s="70" t="s">
        <v>792</v>
      </c>
      <c r="AL37" s="70" t="s">
        <v>793</v>
      </c>
      <c r="AM37" s="74" t="s">
        <v>794</v>
      </c>
      <c r="AU37" s="10" t="s">
        <v>1282</v>
      </c>
      <c r="AW37" s="10" t="s">
        <v>756</v>
      </c>
    </row>
    <row r="38" spans="1:50" s="10" customFormat="1" ht="130.5">
      <c r="A38" s="59">
        <v>34</v>
      </c>
      <c r="B38" s="67">
        <v>46049.599756944401</v>
      </c>
      <c r="C38" s="67">
        <v>46049.717407407399</v>
      </c>
      <c r="D38" s="62" t="s">
        <v>799</v>
      </c>
      <c r="E38" s="62" t="s">
        <v>800</v>
      </c>
      <c r="F38" s="62" t="s">
        <v>1374</v>
      </c>
      <c r="G38" s="62" t="s">
        <v>430</v>
      </c>
      <c r="H38" s="59" t="s">
        <v>645</v>
      </c>
      <c r="I38" s="59" t="s">
        <v>917</v>
      </c>
      <c r="J38" s="84"/>
      <c r="K38" s="83"/>
      <c r="L38" s="59"/>
      <c r="M38" s="59" t="s">
        <v>805</v>
      </c>
      <c r="N38" s="59"/>
      <c r="O38" s="62" t="s">
        <v>804</v>
      </c>
      <c r="P38" s="87" t="s">
        <v>1375</v>
      </c>
      <c r="Q38" s="84"/>
      <c r="R38" s="59" t="s">
        <v>57</v>
      </c>
      <c r="S38" s="59"/>
      <c r="T38" s="59"/>
      <c r="U38" s="83"/>
      <c r="V38" s="68">
        <v>46081</v>
      </c>
      <c r="W38" s="70" t="s">
        <v>64</v>
      </c>
      <c r="X38" s="84"/>
      <c r="Y38" s="70" t="s">
        <v>1376</v>
      </c>
      <c r="Z38" s="70" t="s">
        <v>1377</v>
      </c>
      <c r="AA38" s="71" t="s">
        <v>1378</v>
      </c>
      <c r="AB38" s="70" t="s">
        <v>1379</v>
      </c>
      <c r="AC38" s="70" t="s">
        <v>1380</v>
      </c>
      <c r="AD38" s="71" t="s">
        <v>1381</v>
      </c>
      <c r="AE38" s="70" t="s">
        <v>1382</v>
      </c>
      <c r="AF38" s="70" t="s">
        <v>1383</v>
      </c>
      <c r="AG38" s="70" t="s">
        <v>1384</v>
      </c>
      <c r="AH38" s="62" t="s">
        <v>187</v>
      </c>
      <c r="AI38" s="62" t="s">
        <v>64</v>
      </c>
      <c r="AJ38" s="62" t="s">
        <v>64</v>
      </c>
      <c r="AK38" s="70" t="s">
        <v>1385</v>
      </c>
      <c r="AL38" s="70" t="s">
        <v>1386</v>
      </c>
      <c r="AM38" s="74" t="s">
        <v>1387</v>
      </c>
      <c r="AU38" s="10" t="s">
        <v>1282</v>
      </c>
      <c r="AW38" s="10" t="s">
        <v>756</v>
      </c>
    </row>
    <row r="39" spans="1:50" s="10" customFormat="1" ht="130.5">
      <c r="A39" s="59">
        <v>36</v>
      </c>
      <c r="B39" s="67">
        <v>46055.426550925898</v>
      </c>
      <c r="C39" s="67">
        <v>46055.469699074099</v>
      </c>
      <c r="D39" s="62" t="s">
        <v>989</v>
      </c>
      <c r="E39" s="62" t="s">
        <v>49</v>
      </c>
      <c r="F39" s="62" t="s">
        <v>1388</v>
      </c>
      <c r="G39" s="62" t="s">
        <v>52</v>
      </c>
      <c r="H39" s="59" t="s">
        <v>204</v>
      </c>
      <c r="I39" s="59" t="s">
        <v>1389</v>
      </c>
      <c r="J39" s="84"/>
      <c r="K39" s="83"/>
      <c r="L39" s="59"/>
      <c r="M39" s="59"/>
      <c r="N39" s="59" t="s">
        <v>56</v>
      </c>
      <c r="O39" s="62" t="s">
        <v>741</v>
      </c>
      <c r="P39" s="87" t="s">
        <v>1390</v>
      </c>
      <c r="Q39" s="84"/>
      <c r="R39" s="59" t="s">
        <v>57</v>
      </c>
      <c r="S39" s="59"/>
      <c r="T39" s="59"/>
      <c r="U39" s="83"/>
      <c r="V39" s="68">
        <v>46068</v>
      </c>
      <c r="W39" s="70" t="s">
        <v>1391</v>
      </c>
      <c r="X39" s="84"/>
      <c r="Y39" s="70" t="s">
        <v>1392</v>
      </c>
      <c r="Z39" s="70" t="s">
        <v>1393</v>
      </c>
      <c r="AA39" s="71" t="s">
        <v>1394</v>
      </c>
      <c r="AB39" s="70" t="s">
        <v>1395</v>
      </c>
      <c r="AC39" s="70" t="s">
        <v>1396</v>
      </c>
      <c r="AD39" s="71" t="s">
        <v>1397</v>
      </c>
      <c r="AE39" s="70" t="s">
        <v>1398</v>
      </c>
      <c r="AF39" s="70" t="s">
        <v>1399</v>
      </c>
      <c r="AG39" s="70" t="s">
        <v>1400</v>
      </c>
      <c r="AH39" s="62" t="s">
        <v>750</v>
      </c>
      <c r="AI39" s="62" t="s">
        <v>64</v>
      </c>
      <c r="AJ39" s="62" t="s">
        <v>64</v>
      </c>
      <c r="AK39" s="70" t="s">
        <v>1401</v>
      </c>
      <c r="AL39" s="70" t="s">
        <v>1402</v>
      </c>
      <c r="AM39" s="74" t="s">
        <v>1403</v>
      </c>
      <c r="AU39" s="10" t="s">
        <v>1282</v>
      </c>
      <c r="AV39" s="59"/>
      <c r="AW39" s="10" t="s">
        <v>756</v>
      </c>
      <c r="AX39" s="59" t="s">
        <v>1404</v>
      </c>
    </row>
    <row r="40" spans="1:50" s="10" customFormat="1" ht="116.1">
      <c r="A40" s="59">
        <v>37</v>
      </c>
      <c r="B40" s="67">
        <v>46055.469803240703</v>
      </c>
      <c r="C40" s="67">
        <v>46055.481655092597</v>
      </c>
      <c r="D40" s="62" t="s">
        <v>989</v>
      </c>
      <c r="E40" s="62" t="s">
        <v>49</v>
      </c>
      <c r="F40" s="62" t="s">
        <v>1405</v>
      </c>
      <c r="G40" s="62" t="s">
        <v>52</v>
      </c>
      <c r="H40" s="59" t="s">
        <v>204</v>
      </c>
      <c r="I40" s="59" t="s">
        <v>1406</v>
      </c>
      <c r="J40" s="84"/>
      <c r="K40" s="83"/>
      <c r="L40" s="59"/>
      <c r="M40" s="59"/>
      <c r="N40" s="59" t="s">
        <v>56</v>
      </c>
      <c r="O40" s="62" t="s">
        <v>741</v>
      </c>
      <c r="P40" s="84"/>
      <c r="Q40" s="84"/>
      <c r="R40" s="59" t="s">
        <v>57</v>
      </c>
      <c r="S40" s="59"/>
      <c r="T40" s="59"/>
      <c r="U40" s="83"/>
      <c r="V40" s="68">
        <v>46056</v>
      </c>
      <c r="W40" s="70" t="s">
        <v>751</v>
      </c>
      <c r="X40" s="84"/>
      <c r="Y40" s="70" t="s">
        <v>1407</v>
      </c>
      <c r="Z40" s="70" t="s">
        <v>1408</v>
      </c>
      <c r="AA40" s="71" t="s">
        <v>1409</v>
      </c>
      <c r="AB40" s="70" t="s">
        <v>1410</v>
      </c>
      <c r="AC40" s="70" t="s">
        <v>1411</v>
      </c>
      <c r="AD40" s="71" t="s">
        <v>1412</v>
      </c>
      <c r="AE40" s="70" t="s">
        <v>1413</v>
      </c>
      <c r="AF40" s="70" t="s">
        <v>1414</v>
      </c>
      <c r="AG40" s="70" t="s">
        <v>1415</v>
      </c>
      <c r="AH40" s="62" t="s">
        <v>750</v>
      </c>
      <c r="AI40" s="62" t="s">
        <v>64</v>
      </c>
      <c r="AJ40" s="62" t="s">
        <v>64</v>
      </c>
      <c r="AK40" s="70" t="s">
        <v>1416</v>
      </c>
      <c r="AL40" s="70" t="s">
        <v>1417</v>
      </c>
      <c r="AM40" s="74" t="s">
        <v>1418</v>
      </c>
      <c r="AU40" s="10" t="s">
        <v>1282</v>
      </c>
      <c r="AW40" s="10" t="s">
        <v>841</v>
      </c>
      <c r="AX40" s="59" t="s">
        <v>1419</v>
      </c>
    </row>
    <row r="41" spans="1:50" s="10" customFormat="1" ht="159.6">
      <c r="A41" s="59">
        <v>41</v>
      </c>
      <c r="B41" s="67">
        <v>46055.481724537</v>
      </c>
      <c r="C41" s="67">
        <v>46057.623043981497</v>
      </c>
      <c r="D41" s="62" t="s">
        <v>989</v>
      </c>
      <c r="E41" s="62" t="s">
        <v>49</v>
      </c>
      <c r="F41" s="62" t="s">
        <v>1420</v>
      </c>
      <c r="G41" s="62" t="s">
        <v>52</v>
      </c>
      <c r="H41" s="59" t="s">
        <v>739</v>
      </c>
      <c r="I41" s="59" t="s">
        <v>1421</v>
      </c>
      <c r="J41" s="84"/>
      <c r="K41" s="83"/>
      <c r="L41" s="59"/>
      <c r="M41" s="59"/>
      <c r="N41" s="59" t="s">
        <v>56</v>
      </c>
      <c r="O41" s="62" t="s">
        <v>741</v>
      </c>
      <c r="P41" s="87" t="s">
        <v>1422</v>
      </c>
      <c r="Q41" s="84"/>
      <c r="R41" s="59" t="s">
        <v>57</v>
      </c>
      <c r="S41" s="59"/>
      <c r="T41" s="59"/>
      <c r="U41" s="83"/>
      <c r="V41" s="68">
        <v>46108</v>
      </c>
      <c r="W41" s="70" t="s">
        <v>57</v>
      </c>
      <c r="X41" s="84"/>
      <c r="Y41" s="70" t="s">
        <v>1423</v>
      </c>
      <c r="Z41" s="70" t="s">
        <v>1424</v>
      </c>
      <c r="AA41" s="71" t="s">
        <v>1425</v>
      </c>
      <c r="AB41" s="70" t="s">
        <v>1426</v>
      </c>
      <c r="AC41" s="70" t="s">
        <v>1427</v>
      </c>
      <c r="AD41" s="71" t="s">
        <v>1428</v>
      </c>
      <c r="AE41" s="70" t="s">
        <v>319</v>
      </c>
      <c r="AF41" s="70" t="s">
        <v>1429</v>
      </c>
      <c r="AG41" s="70" t="s">
        <v>1430</v>
      </c>
      <c r="AH41" s="62" t="s">
        <v>926</v>
      </c>
      <c r="AI41" s="62" t="s">
        <v>64</v>
      </c>
      <c r="AJ41" s="62" t="s">
        <v>64</v>
      </c>
      <c r="AK41" s="70" t="s">
        <v>1431</v>
      </c>
      <c r="AL41" s="70" t="s">
        <v>1432</v>
      </c>
      <c r="AM41" s="74" t="s">
        <v>1433</v>
      </c>
      <c r="AU41" s="10" t="s">
        <v>1282</v>
      </c>
      <c r="AW41" s="10" t="s">
        <v>841</v>
      </c>
    </row>
    <row r="42" spans="1:50" s="10" customFormat="1" ht="101.45">
      <c r="A42" s="59">
        <v>38</v>
      </c>
      <c r="B42" s="67">
        <v>46056.962071759299</v>
      </c>
      <c r="C42" s="67">
        <v>46056.992395833302</v>
      </c>
      <c r="D42" s="62" t="s">
        <v>799</v>
      </c>
      <c r="E42" s="62" t="s">
        <v>800</v>
      </c>
      <c r="F42" s="62" t="s">
        <v>801</v>
      </c>
      <c r="G42" s="62" t="s">
        <v>430</v>
      </c>
      <c r="H42" s="59" t="s">
        <v>645</v>
      </c>
      <c r="I42" s="59" t="s">
        <v>803</v>
      </c>
      <c r="J42" s="84"/>
      <c r="K42" s="83"/>
      <c r="L42" s="59"/>
      <c r="M42" s="59" t="s">
        <v>805</v>
      </c>
      <c r="N42" s="59"/>
      <c r="O42" s="62" t="s">
        <v>804</v>
      </c>
      <c r="P42" s="87" t="s">
        <v>1434</v>
      </c>
      <c r="Q42" s="84"/>
      <c r="R42" s="59" t="s">
        <v>57</v>
      </c>
      <c r="S42" s="59"/>
      <c r="T42" s="59"/>
      <c r="U42" s="83"/>
      <c r="V42" s="68">
        <v>46070</v>
      </c>
      <c r="W42" s="70" t="s">
        <v>806</v>
      </c>
      <c r="X42" s="84"/>
      <c r="Y42" s="70" t="s">
        <v>807</v>
      </c>
      <c r="Z42" s="70" t="s">
        <v>808</v>
      </c>
      <c r="AA42" s="71" t="s">
        <v>810</v>
      </c>
      <c r="AB42" s="70" t="s">
        <v>809</v>
      </c>
      <c r="AC42" s="70" t="s">
        <v>811</v>
      </c>
      <c r="AD42" s="71" t="s">
        <v>813</v>
      </c>
      <c r="AE42" s="70" t="s">
        <v>812</v>
      </c>
      <c r="AF42" s="70" t="s">
        <v>814</v>
      </c>
      <c r="AG42" s="70" t="s">
        <v>802</v>
      </c>
      <c r="AH42" s="62" t="s">
        <v>750</v>
      </c>
      <c r="AI42" s="62" t="s">
        <v>64</v>
      </c>
      <c r="AJ42" s="62" t="s">
        <v>64</v>
      </c>
      <c r="AK42" s="70" t="s">
        <v>815</v>
      </c>
      <c r="AL42" s="70" t="s">
        <v>816</v>
      </c>
      <c r="AM42" s="74"/>
      <c r="AU42" s="10" t="s">
        <v>1282</v>
      </c>
      <c r="AW42" s="10" t="s">
        <v>756</v>
      </c>
    </row>
    <row r="43" spans="1:50" s="10" customFormat="1" ht="409.5">
      <c r="A43" s="59">
        <v>39</v>
      </c>
      <c r="B43" s="67">
        <v>46057.3828125</v>
      </c>
      <c r="C43" s="67">
        <v>46057.402731481503</v>
      </c>
      <c r="D43" s="62" t="s">
        <v>818</v>
      </c>
      <c r="E43" s="62" t="s">
        <v>819</v>
      </c>
      <c r="F43" s="62" t="s">
        <v>820</v>
      </c>
      <c r="G43" s="62" t="s">
        <v>112</v>
      </c>
      <c r="H43" s="59" t="s">
        <v>113</v>
      </c>
      <c r="I43" s="59" t="s">
        <v>822</v>
      </c>
      <c r="J43" s="84"/>
      <c r="K43" s="83"/>
      <c r="L43" s="59" t="s">
        <v>824</v>
      </c>
      <c r="M43" s="59"/>
      <c r="N43" s="59"/>
      <c r="O43" s="62" t="s">
        <v>823</v>
      </c>
      <c r="P43" s="87" t="s">
        <v>1435</v>
      </c>
      <c r="Q43" s="84"/>
      <c r="R43" s="59" t="s">
        <v>57</v>
      </c>
      <c r="S43" s="59"/>
      <c r="T43" s="59"/>
      <c r="U43" s="83"/>
      <c r="V43" s="68">
        <v>46094</v>
      </c>
      <c r="W43" s="70" t="s">
        <v>825</v>
      </c>
      <c r="X43" s="84"/>
      <c r="Y43" s="70" t="s">
        <v>826</v>
      </c>
      <c r="Z43" s="70" t="s">
        <v>827</v>
      </c>
      <c r="AA43" s="71" t="s">
        <v>829</v>
      </c>
      <c r="AB43" s="70" t="s">
        <v>828</v>
      </c>
      <c r="AC43" s="70" t="s">
        <v>830</v>
      </c>
      <c r="AD43" s="71" t="s">
        <v>832</v>
      </c>
      <c r="AE43" s="70" t="s">
        <v>831</v>
      </c>
      <c r="AF43" s="70" t="s">
        <v>833</v>
      </c>
      <c r="AG43" s="70" t="s">
        <v>821</v>
      </c>
      <c r="AH43" s="62" t="s">
        <v>85</v>
      </c>
      <c r="AI43" s="62" t="s">
        <v>64</v>
      </c>
      <c r="AJ43" s="62" t="s">
        <v>260</v>
      </c>
      <c r="AK43" s="70" t="s">
        <v>834</v>
      </c>
      <c r="AL43" s="70" t="s">
        <v>835</v>
      </c>
      <c r="AM43" s="74" t="s">
        <v>836</v>
      </c>
      <c r="AU43" s="10" t="s">
        <v>1282</v>
      </c>
      <c r="AW43" s="10" t="s">
        <v>841</v>
      </c>
    </row>
    <row r="44" spans="1:50" s="10" customFormat="1" ht="318.95">
      <c r="A44" s="59">
        <v>40</v>
      </c>
      <c r="B44" s="67">
        <v>46057.4041319444</v>
      </c>
      <c r="C44" s="67">
        <v>46057.4622453704</v>
      </c>
      <c r="D44" s="62" t="s">
        <v>818</v>
      </c>
      <c r="E44" s="62" t="s">
        <v>819</v>
      </c>
      <c r="F44" s="62" t="s">
        <v>1436</v>
      </c>
      <c r="G44" s="62" t="s">
        <v>112</v>
      </c>
      <c r="H44" s="59" t="s">
        <v>224</v>
      </c>
      <c r="I44" s="59" t="s">
        <v>1437</v>
      </c>
      <c r="J44" s="84"/>
      <c r="K44" s="83"/>
      <c r="L44" s="59" t="s">
        <v>824</v>
      </c>
      <c r="M44" s="59"/>
      <c r="N44" s="59"/>
      <c r="O44" s="62" t="s">
        <v>823</v>
      </c>
      <c r="P44" s="87" t="s">
        <v>1438</v>
      </c>
      <c r="Q44" s="84"/>
      <c r="R44" s="59" t="s">
        <v>57</v>
      </c>
      <c r="S44" s="59"/>
      <c r="T44" s="59"/>
      <c r="U44" s="83"/>
      <c r="V44" s="68">
        <v>46101</v>
      </c>
      <c r="W44" s="70" t="s">
        <v>57</v>
      </c>
      <c r="X44" s="84"/>
      <c r="Y44" s="70" t="s">
        <v>1439</v>
      </c>
      <c r="Z44" s="70" t="s">
        <v>1440</v>
      </c>
      <c r="AA44" s="71" t="s">
        <v>1441</v>
      </c>
      <c r="AB44" s="70" t="s">
        <v>1442</v>
      </c>
      <c r="AC44" s="70" t="s">
        <v>1443</v>
      </c>
      <c r="AD44" s="71" t="s">
        <v>1444</v>
      </c>
      <c r="AE44" s="70" t="s">
        <v>1445</v>
      </c>
      <c r="AF44" s="70" t="s">
        <v>1446</v>
      </c>
      <c r="AG44" s="70" t="s">
        <v>1447</v>
      </c>
      <c r="AH44" s="62" t="s">
        <v>637</v>
      </c>
      <c r="AI44" s="62" t="s">
        <v>64</v>
      </c>
      <c r="AJ44" s="62" t="s">
        <v>64</v>
      </c>
      <c r="AK44" s="70" t="s">
        <v>1448</v>
      </c>
      <c r="AL44" s="70" t="s">
        <v>1449</v>
      </c>
      <c r="AM44" s="74" t="s">
        <v>1450</v>
      </c>
      <c r="AU44" s="10" t="s">
        <v>1282</v>
      </c>
      <c r="AW44" s="10" t="s">
        <v>841</v>
      </c>
    </row>
    <row r="45" spans="1:50" s="10" customFormat="1" ht="261">
      <c r="A45" s="59">
        <v>42</v>
      </c>
      <c r="B45" s="67">
        <v>46057.826076388897</v>
      </c>
      <c r="C45" s="67">
        <v>46057.8430787037</v>
      </c>
      <c r="D45" s="62" t="s">
        <v>91</v>
      </c>
      <c r="E45" s="62" t="s">
        <v>92</v>
      </c>
      <c r="F45" s="62" t="s">
        <v>842</v>
      </c>
      <c r="G45" s="62" t="s">
        <v>52</v>
      </c>
      <c r="H45" s="59" t="s">
        <v>77</v>
      </c>
      <c r="I45" s="59" t="s">
        <v>844</v>
      </c>
      <c r="J45" s="84"/>
      <c r="K45" s="83"/>
      <c r="L45" s="59"/>
      <c r="M45" s="59"/>
      <c r="N45" s="59" t="s">
        <v>56</v>
      </c>
      <c r="O45" s="62" t="s">
        <v>741</v>
      </c>
      <c r="P45" s="87" t="s">
        <v>1451</v>
      </c>
      <c r="Q45" s="84"/>
      <c r="R45" s="59" t="s">
        <v>57</v>
      </c>
      <c r="S45" s="59"/>
      <c r="T45" s="59"/>
      <c r="U45" s="83"/>
      <c r="V45" s="68">
        <v>46081</v>
      </c>
      <c r="W45" s="70" t="s">
        <v>845</v>
      </c>
      <c r="X45" s="84"/>
      <c r="Y45" s="70" t="s">
        <v>843</v>
      </c>
      <c r="Z45" s="70" t="s">
        <v>1452</v>
      </c>
      <c r="AA45" s="71" t="s">
        <v>848</v>
      </c>
      <c r="AB45" s="70" t="s">
        <v>847</v>
      </c>
      <c r="AC45" s="70" t="s">
        <v>849</v>
      </c>
      <c r="AD45" s="71" t="s">
        <v>851</v>
      </c>
      <c r="AE45" s="70" t="s">
        <v>850</v>
      </c>
      <c r="AF45" s="70" t="s">
        <v>852</v>
      </c>
      <c r="AG45" s="70" t="s">
        <v>843</v>
      </c>
      <c r="AH45" s="62" t="s">
        <v>853</v>
      </c>
      <c r="AI45" s="62" t="s">
        <v>64</v>
      </c>
      <c r="AJ45" s="62" t="s">
        <v>64</v>
      </c>
      <c r="AK45" s="70" t="s">
        <v>854</v>
      </c>
      <c r="AL45" s="70" t="s">
        <v>855</v>
      </c>
      <c r="AM45" s="74" t="s">
        <v>856</v>
      </c>
      <c r="AU45" s="10" t="s">
        <v>1282</v>
      </c>
      <c r="AW45" s="10" t="s">
        <v>1019</v>
      </c>
    </row>
    <row r="46" spans="1:50" s="10" customFormat="1" ht="246.6">
      <c r="A46" s="59">
        <v>43</v>
      </c>
      <c r="B46" s="67">
        <v>46059.399710648097</v>
      </c>
      <c r="C46" s="67">
        <v>46059.404594907399</v>
      </c>
      <c r="D46" s="62" t="s">
        <v>818</v>
      </c>
      <c r="E46" s="62" t="s">
        <v>819</v>
      </c>
      <c r="F46" s="62" t="s">
        <v>1453</v>
      </c>
      <c r="G46" s="62" t="s">
        <v>112</v>
      </c>
      <c r="H46" s="59" t="s">
        <v>113</v>
      </c>
      <c r="I46" s="59" t="s">
        <v>1454</v>
      </c>
      <c r="J46" s="84"/>
      <c r="K46" s="83"/>
      <c r="L46" s="59" t="s">
        <v>824</v>
      </c>
      <c r="M46" s="59"/>
      <c r="N46" s="59"/>
      <c r="O46" s="62" t="s">
        <v>823</v>
      </c>
      <c r="P46" s="87" t="s">
        <v>1455</v>
      </c>
      <c r="Q46" s="84"/>
      <c r="R46" s="59" t="s">
        <v>57</v>
      </c>
      <c r="S46" s="59"/>
      <c r="T46" s="59"/>
      <c r="U46" s="83"/>
      <c r="V46" s="68">
        <v>46188</v>
      </c>
      <c r="W46" s="70" t="s">
        <v>57</v>
      </c>
      <c r="X46" s="84"/>
      <c r="Y46" s="70" t="s">
        <v>1456</v>
      </c>
      <c r="Z46" s="70" t="s">
        <v>1457</v>
      </c>
      <c r="AA46" s="71" t="s">
        <v>1458</v>
      </c>
      <c r="AB46" s="70" t="s">
        <v>1459</v>
      </c>
      <c r="AC46" s="70" t="s">
        <v>1460</v>
      </c>
      <c r="AD46" s="71" t="s">
        <v>1461</v>
      </c>
      <c r="AE46" s="70" t="s">
        <v>1462</v>
      </c>
      <c r="AF46" s="70" t="s">
        <v>1463</v>
      </c>
      <c r="AG46" s="70" t="s">
        <v>1464</v>
      </c>
      <c r="AH46" s="62" t="s">
        <v>1070</v>
      </c>
      <c r="AI46" s="62" t="s">
        <v>64</v>
      </c>
      <c r="AJ46" s="62" t="s">
        <v>64</v>
      </c>
      <c r="AK46" s="70" t="s">
        <v>1465</v>
      </c>
      <c r="AL46" s="70" t="s">
        <v>1466</v>
      </c>
      <c r="AM46" s="74" t="s">
        <v>1467</v>
      </c>
      <c r="AU46" s="10" t="s">
        <v>1282</v>
      </c>
      <c r="AW46" s="10" t="s">
        <v>877</v>
      </c>
    </row>
    <row r="47" spans="1:50" s="10" customFormat="1" ht="409.5">
      <c r="A47" s="59">
        <v>47</v>
      </c>
      <c r="B47" s="67">
        <v>46059.417569444398</v>
      </c>
      <c r="C47" s="67">
        <v>46065.659872685203</v>
      </c>
      <c r="D47" s="62" t="s">
        <v>818</v>
      </c>
      <c r="E47" s="62" t="s">
        <v>819</v>
      </c>
      <c r="F47" s="62" t="s">
        <v>861</v>
      </c>
      <c r="G47" s="62" t="s">
        <v>112</v>
      </c>
      <c r="H47" s="59" t="s">
        <v>113</v>
      </c>
      <c r="I47" s="59" t="s">
        <v>863</v>
      </c>
      <c r="J47" s="84"/>
      <c r="K47" s="83"/>
      <c r="L47" s="59" t="s">
        <v>824</v>
      </c>
      <c r="M47" s="59"/>
      <c r="N47" s="59"/>
      <c r="O47" s="62" t="s">
        <v>823</v>
      </c>
      <c r="P47" s="84" t="s">
        <v>1468</v>
      </c>
      <c r="Q47" s="84"/>
      <c r="R47" s="59" t="s">
        <v>57</v>
      </c>
      <c r="S47" s="59"/>
      <c r="T47" s="59"/>
      <c r="U47" s="83"/>
      <c r="V47" s="68">
        <v>46447</v>
      </c>
      <c r="W47" s="62" t="s">
        <v>57</v>
      </c>
      <c r="X47" s="84"/>
      <c r="Y47" s="62" t="s">
        <v>864</v>
      </c>
      <c r="Z47" s="62" t="s">
        <v>865</v>
      </c>
      <c r="AA47" s="59" t="s">
        <v>867</v>
      </c>
      <c r="AB47" s="62" t="s">
        <v>866</v>
      </c>
      <c r="AC47" s="62" t="s">
        <v>868</v>
      </c>
      <c r="AD47" s="59" t="s">
        <v>870</v>
      </c>
      <c r="AE47" s="62" t="s">
        <v>869</v>
      </c>
      <c r="AF47" s="62" t="s">
        <v>871</v>
      </c>
      <c r="AG47" s="62" t="s">
        <v>862</v>
      </c>
      <c r="AH47" s="62" t="s">
        <v>872</v>
      </c>
      <c r="AI47" s="62" t="s">
        <v>64</v>
      </c>
      <c r="AJ47" s="62" t="s">
        <v>64</v>
      </c>
      <c r="AK47" s="62" t="s">
        <v>873</v>
      </c>
      <c r="AL47" s="62" t="s">
        <v>874</v>
      </c>
      <c r="AM47" s="62" t="s">
        <v>875</v>
      </c>
      <c r="AU47" s="10" t="s">
        <v>1282</v>
      </c>
      <c r="AW47" s="10" t="s">
        <v>877</v>
      </c>
    </row>
    <row r="48" spans="1:50" s="10" customFormat="1" ht="87">
      <c r="A48" s="59">
        <v>45</v>
      </c>
      <c r="B48" s="67">
        <v>46064.797696759299</v>
      </c>
      <c r="C48" s="67">
        <v>46064.828738425902</v>
      </c>
      <c r="D48" s="62" t="s">
        <v>1469</v>
      </c>
      <c r="E48" s="62" t="s">
        <v>1470</v>
      </c>
      <c r="F48" s="62" t="s">
        <v>1471</v>
      </c>
      <c r="G48" s="62" t="s">
        <v>52</v>
      </c>
      <c r="H48" s="59" t="s">
        <v>224</v>
      </c>
      <c r="I48" s="59" t="s">
        <v>1472</v>
      </c>
      <c r="J48" s="84"/>
      <c r="K48" s="83"/>
      <c r="L48" s="59"/>
      <c r="M48" s="59"/>
      <c r="N48" s="59" t="s">
        <v>296</v>
      </c>
      <c r="O48" s="62" t="s">
        <v>741</v>
      </c>
      <c r="P48" s="84" t="s">
        <v>1473</v>
      </c>
      <c r="Q48" s="84"/>
      <c r="R48" s="59" t="s">
        <v>57</v>
      </c>
      <c r="S48" s="59"/>
      <c r="T48" s="59"/>
      <c r="U48" s="83"/>
      <c r="V48" s="68">
        <v>46066</v>
      </c>
      <c r="W48" s="62" t="s">
        <v>1474</v>
      </c>
      <c r="X48" s="84"/>
      <c r="Y48" s="62" t="s">
        <v>1475</v>
      </c>
      <c r="Z48" s="62" t="s">
        <v>1476</v>
      </c>
      <c r="AA48" s="59" t="s">
        <v>1477</v>
      </c>
      <c r="AB48" s="62" t="s">
        <v>1478</v>
      </c>
      <c r="AC48" s="62" t="s">
        <v>1479</v>
      </c>
      <c r="AD48" s="59" t="s">
        <v>1480</v>
      </c>
      <c r="AE48" s="62" t="s">
        <v>1481</v>
      </c>
      <c r="AF48" s="62" t="s">
        <v>1482</v>
      </c>
      <c r="AG48" s="62" t="s">
        <v>1477</v>
      </c>
      <c r="AH48" s="62" t="s">
        <v>678</v>
      </c>
      <c r="AI48" s="62" t="s">
        <v>64</v>
      </c>
      <c r="AJ48" s="62" t="s">
        <v>260</v>
      </c>
      <c r="AK48" s="62" t="s">
        <v>1483</v>
      </c>
      <c r="AL48" s="62" t="s">
        <v>1484</v>
      </c>
      <c r="AM48" s="62" t="s">
        <v>1485</v>
      </c>
      <c r="AU48" s="10" t="s">
        <v>1282</v>
      </c>
      <c r="AW48" s="10" t="s">
        <v>756</v>
      </c>
    </row>
    <row r="49" spans="1:49" s="10" customFormat="1" ht="362.45">
      <c r="A49" s="59">
        <v>46</v>
      </c>
      <c r="B49" s="67">
        <v>46065.350011574097</v>
      </c>
      <c r="C49" s="67">
        <v>46065.393067129597</v>
      </c>
      <c r="D49" s="62" t="s">
        <v>878</v>
      </c>
      <c r="E49" s="62" t="s">
        <v>879</v>
      </c>
      <c r="F49" s="62" t="s">
        <v>880</v>
      </c>
      <c r="G49" s="62" t="s">
        <v>112</v>
      </c>
      <c r="H49" s="59" t="s">
        <v>113</v>
      </c>
      <c r="I49" s="59" t="s">
        <v>882</v>
      </c>
      <c r="J49" s="84"/>
      <c r="K49" s="83"/>
      <c r="L49" s="59" t="s">
        <v>226</v>
      </c>
      <c r="M49" s="59"/>
      <c r="N49" s="59"/>
      <c r="O49" s="62" t="s">
        <v>823</v>
      </c>
      <c r="P49" s="84" t="s">
        <v>1486</v>
      </c>
      <c r="Q49" s="84"/>
      <c r="R49" s="59" t="s">
        <v>57</v>
      </c>
      <c r="S49" s="59"/>
      <c r="T49" s="59"/>
      <c r="U49" s="83"/>
      <c r="V49" s="68">
        <v>46110</v>
      </c>
      <c r="W49" s="62" t="s">
        <v>883</v>
      </c>
      <c r="X49" s="84"/>
      <c r="Y49" s="62" t="s">
        <v>884</v>
      </c>
      <c r="Z49" s="62" t="s">
        <v>885</v>
      </c>
      <c r="AA49" s="59" t="s">
        <v>887</v>
      </c>
      <c r="AB49" s="62" t="s">
        <v>886</v>
      </c>
      <c r="AC49" s="62" t="s">
        <v>888</v>
      </c>
      <c r="AD49" s="59" t="s">
        <v>890</v>
      </c>
      <c r="AE49" s="62" t="s">
        <v>889</v>
      </c>
      <c r="AF49" s="62" t="s">
        <v>891</v>
      </c>
      <c r="AG49" s="62" t="s">
        <v>881</v>
      </c>
      <c r="AH49" s="62" t="s">
        <v>892</v>
      </c>
      <c r="AI49" s="62" t="s">
        <v>260</v>
      </c>
      <c r="AJ49" s="62" t="s">
        <v>64</v>
      </c>
      <c r="AK49" s="62" t="s">
        <v>893</v>
      </c>
      <c r="AL49" s="62" t="s">
        <v>894</v>
      </c>
      <c r="AM49" s="62"/>
      <c r="AU49" s="10" t="s">
        <v>1282</v>
      </c>
      <c r="AW49" s="10" t="s">
        <v>756</v>
      </c>
    </row>
    <row r="50" spans="1:49" s="10" customFormat="1" ht="409.5">
      <c r="A50" s="59">
        <v>51</v>
      </c>
      <c r="B50" s="67">
        <v>46069.480613425898</v>
      </c>
      <c r="C50" s="67">
        <v>46070.595509259299</v>
      </c>
      <c r="D50" s="62" t="s">
        <v>897</v>
      </c>
      <c r="E50" s="62" t="s">
        <v>898</v>
      </c>
      <c r="F50" s="62" t="s">
        <v>899</v>
      </c>
      <c r="G50" s="62" t="s">
        <v>112</v>
      </c>
      <c r="H50" s="59" t="s">
        <v>113</v>
      </c>
      <c r="I50" s="59" t="s">
        <v>901</v>
      </c>
      <c r="J50" s="84"/>
      <c r="K50" s="83"/>
      <c r="L50" s="59" t="s">
        <v>226</v>
      </c>
      <c r="M50" s="59"/>
      <c r="N50" s="59"/>
      <c r="O50" s="62" t="s">
        <v>823</v>
      </c>
      <c r="P50" s="84" t="s">
        <v>1487</v>
      </c>
      <c r="Q50" s="84"/>
      <c r="R50" s="59" t="s">
        <v>57</v>
      </c>
      <c r="S50" s="59"/>
      <c r="T50" s="59"/>
      <c r="U50" s="83"/>
      <c r="V50" s="68">
        <v>46104</v>
      </c>
      <c r="W50" s="62" t="s">
        <v>902</v>
      </c>
      <c r="X50" s="84"/>
      <c r="Y50" s="62" t="s">
        <v>903</v>
      </c>
      <c r="Z50" s="62" t="s">
        <v>904</v>
      </c>
      <c r="AA50" s="59" t="s">
        <v>906</v>
      </c>
      <c r="AB50" s="62" t="s">
        <v>905</v>
      </c>
      <c r="AC50" s="62" t="s">
        <v>907</v>
      </c>
      <c r="AD50" s="59" t="s">
        <v>909</v>
      </c>
      <c r="AE50" s="62" t="s">
        <v>908</v>
      </c>
      <c r="AF50" s="62" t="s">
        <v>910</v>
      </c>
      <c r="AG50" s="62" t="s">
        <v>900</v>
      </c>
      <c r="AH50" s="62" t="s">
        <v>911</v>
      </c>
      <c r="AI50" s="62" t="s">
        <v>64</v>
      </c>
      <c r="AJ50" s="62" t="s">
        <v>260</v>
      </c>
      <c r="AK50" s="62" t="s">
        <v>912</v>
      </c>
      <c r="AL50" s="62" t="s">
        <v>913</v>
      </c>
      <c r="AM50" s="62" t="s">
        <v>914</v>
      </c>
      <c r="AU50" s="10" t="s">
        <v>1282</v>
      </c>
      <c r="AW50" s="10" t="s">
        <v>756</v>
      </c>
    </row>
    <row r="51" spans="1:49" ht="144.94999999999999">
      <c r="A51" s="59">
        <v>49</v>
      </c>
      <c r="B51" s="67">
        <v>46069.613715277803</v>
      </c>
      <c r="C51" s="67">
        <v>46069.666886574101</v>
      </c>
      <c r="D51" s="62" t="s">
        <v>72</v>
      </c>
      <c r="E51" s="62" t="s">
        <v>73</v>
      </c>
      <c r="F51" s="62" t="s">
        <v>74</v>
      </c>
      <c r="G51" s="62" t="s">
        <v>1488</v>
      </c>
      <c r="H51" s="59" t="s">
        <v>77</v>
      </c>
      <c r="I51" s="59" t="s">
        <v>1489</v>
      </c>
      <c r="J51" s="84"/>
      <c r="K51" s="83"/>
      <c r="L51" s="59" t="s">
        <v>1024</v>
      </c>
      <c r="M51" s="59"/>
      <c r="N51" s="59"/>
      <c r="O51" s="62" t="s">
        <v>823</v>
      </c>
      <c r="P51" s="84"/>
      <c r="Q51" s="84"/>
      <c r="R51" s="59" t="s">
        <v>57</v>
      </c>
      <c r="S51" s="59"/>
      <c r="T51" s="59"/>
      <c r="U51" s="83"/>
      <c r="V51" s="68">
        <v>46295</v>
      </c>
      <c r="W51" s="62" t="s">
        <v>1490</v>
      </c>
      <c r="X51" s="84"/>
      <c r="Y51" s="62" t="s">
        <v>81</v>
      </c>
      <c r="Z51" s="62" t="s">
        <v>83</v>
      </c>
      <c r="AA51" s="59" t="s">
        <v>82</v>
      </c>
      <c r="AB51" s="62" t="s">
        <v>1491</v>
      </c>
      <c r="AC51" s="62" t="s">
        <v>1492</v>
      </c>
      <c r="AD51" s="59" t="s">
        <v>1493</v>
      </c>
      <c r="AE51" s="62" t="s">
        <v>1494</v>
      </c>
      <c r="AF51" s="62" t="s">
        <v>1495</v>
      </c>
      <c r="AG51" s="62" t="s">
        <v>75</v>
      </c>
      <c r="AH51" s="62" t="s">
        <v>85</v>
      </c>
      <c r="AI51" s="62" t="s">
        <v>64</v>
      </c>
      <c r="AJ51" s="62" t="s">
        <v>260</v>
      </c>
      <c r="AK51" s="62" t="s">
        <v>1496</v>
      </c>
      <c r="AL51" s="62" t="s">
        <v>87</v>
      </c>
      <c r="AM51" s="62" t="s">
        <v>88</v>
      </c>
      <c r="AP51" s="72"/>
      <c r="AT51" s="65" t="s">
        <v>106</v>
      </c>
      <c r="AU51" s="65" t="s">
        <v>192</v>
      </c>
    </row>
    <row r="52" spans="1:49" ht="409.5">
      <c r="A52" s="59">
        <v>50</v>
      </c>
      <c r="B52" s="67">
        <v>46070.484259259298</v>
      </c>
      <c r="C52" s="67">
        <v>46070.517523148097</v>
      </c>
      <c r="D52" s="62" t="s">
        <v>1497</v>
      </c>
      <c r="E52" s="62" t="s">
        <v>1498</v>
      </c>
      <c r="F52" s="62" t="s">
        <v>1499</v>
      </c>
      <c r="G52" s="62" t="s">
        <v>112</v>
      </c>
      <c r="H52" s="59" t="s">
        <v>204</v>
      </c>
      <c r="I52" s="59" t="s">
        <v>1500</v>
      </c>
      <c r="J52" s="84"/>
      <c r="K52" s="83"/>
      <c r="L52" s="59" t="s">
        <v>226</v>
      </c>
      <c r="M52" s="59"/>
      <c r="N52" s="59"/>
      <c r="O52" s="62" t="s">
        <v>823</v>
      </c>
      <c r="P52" s="84" t="s">
        <v>1501</v>
      </c>
      <c r="Q52" s="84"/>
      <c r="R52" s="59" t="s">
        <v>57</v>
      </c>
      <c r="S52" s="59"/>
      <c r="T52" s="59"/>
      <c r="U52" s="83"/>
      <c r="V52" s="68">
        <v>46146</v>
      </c>
      <c r="W52" s="62" t="s">
        <v>1502</v>
      </c>
      <c r="X52" s="84"/>
      <c r="Y52" s="62" t="s">
        <v>1503</v>
      </c>
      <c r="Z52" s="62" t="s">
        <v>1504</v>
      </c>
      <c r="AA52" s="59" t="s">
        <v>1505</v>
      </c>
      <c r="AB52" s="62" t="s">
        <v>1506</v>
      </c>
      <c r="AC52" s="62" t="s">
        <v>1507</v>
      </c>
      <c r="AD52" s="59" t="s">
        <v>1508</v>
      </c>
      <c r="AE52" s="62" t="s">
        <v>1509</v>
      </c>
      <c r="AF52" s="62" t="s">
        <v>1510</v>
      </c>
      <c r="AG52" s="62" t="s">
        <v>1511</v>
      </c>
      <c r="AH52" s="62" t="s">
        <v>1512</v>
      </c>
      <c r="AI52" s="62" t="s">
        <v>260</v>
      </c>
      <c r="AJ52" s="62" t="s">
        <v>64</v>
      </c>
      <c r="AK52" s="62" t="s">
        <v>1513</v>
      </c>
      <c r="AL52" s="62" t="s">
        <v>1514</v>
      </c>
      <c r="AM52" s="62" t="s">
        <v>1515</v>
      </c>
      <c r="AP52" s="72"/>
      <c r="AT52" s="65" t="s">
        <v>896</v>
      </c>
      <c r="AU52" s="65" t="s">
        <v>192</v>
      </c>
    </row>
    <row r="53" spans="1:49" ht="290.10000000000002">
      <c r="A53" s="59">
        <v>52</v>
      </c>
      <c r="B53" s="67">
        <v>46070.637604166703</v>
      </c>
      <c r="C53" s="67">
        <v>46070.674814814804</v>
      </c>
      <c r="D53" s="62" t="s">
        <v>799</v>
      </c>
      <c r="E53" s="62" t="s">
        <v>800</v>
      </c>
      <c r="F53" s="62" t="s">
        <v>1516</v>
      </c>
      <c r="G53" s="62" t="s">
        <v>430</v>
      </c>
      <c r="H53" s="59" t="s">
        <v>645</v>
      </c>
      <c r="I53" s="59" t="s">
        <v>1517</v>
      </c>
      <c r="J53" s="84"/>
      <c r="K53" s="83"/>
      <c r="L53" s="59"/>
      <c r="M53" s="59" t="s">
        <v>805</v>
      </c>
      <c r="N53" s="59"/>
      <c r="O53" s="62" t="s">
        <v>804</v>
      </c>
      <c r="P53" s="84" t="s">
        <v>1518</v>
      </c>
      <c r="Q53" s="84"/>
      <c r="R53" s="59" t="s">
        <v>57</v>
      </c>
      <c r="S53" s="59"/>
      <c r="T53" s="59"/>
      <c r="U53" s="83"/>
      <c r="V53" s="68">
        <v>46125</v>
      </c>
      <c r="W53" s="62" t="s">
        <v>1519</v>
      </c>
      <c r="X53" s="84"/>
      <c r="Y53" s="62" t="s">
        <v>1520</v>
      </c>
      <c r="Z53" s="62" t="s">
        <v>1521</v>
      </c>
      <c r="AA53" s="59" t="s">
        <v>1522</v>
      </c>
      <c r="AB53" s="62" t="s">
        <v>1523</v>
      </c>
      <c r="AC53" s="62" t="s">
        <v>1524</v>
      </c>
      <c r="AD53" s="59" t="s">
        <v>1525</v>
      </c>
      <c r="AE53" s="62" t="s">
        <v>1526</v>
      </c>
      <c r="AF53" s="62" t="s">
        <v>1527</v>
      </c>
      <c r="AG53" s="62" t="s">
        <v>1528</v>
      </c>
      <c r="AH53" s="62" t="s">
        <v>187</v>
      </c>
      <c r="AI53" s="62" t="s">
        <v>64</v>
      </c>
      <c r="AJ53" s="62" t="s">
        <v>64</v>
      </c>
      <c r="AK53" s="62" t="s">
        <v>1529</v>
      </c>
      <c r="AL53" s="62" t="s">
        <v>1529</v>
      </c>
      <c r="AM53" s="62" t="s">
        <v>1530</v>
      </c>
      <c r="AT53" s="65" t="s">
        <v>860</v>
      </c>
      <c r="AU53" s="65" t="s">
        <v>192</v>
      </c>
      <c r="AV53" s="65" t="s">
        <v>755</v>
      </c>
      <c r="AW53" s="65" t="s">
        <v>756</v>
      </c>
    </row>
    <row r="54" spans="1:49" ht="130.5">
      <c r="A54" s="59">
        <v>53</v>
      </c>
      <c r="B54" s="67">
        <v>46070.696863425903</v>
      </c>
      <c r="C54" s="67">
        <v>46070.718368055597</v>
      </c>
      <c r="D54" s="62" t="s">
        <v>799</v>
      </c>
      <c r="E54" s="62" t="s">
        <v>800</v>
      </c>
      <c r="F54" s="62" t="s">
        <v>915</v>
      </c>
      <c r="G54" s="62" t="s">
        <v>430</v>
      </c>
      <c r="H54" s="59" t="s">
        <v>645</v>
      </c>
      <c r="I54" s="59" t="s">
        <v>917</v>
      </c>
      <c r="J54" s="84"/>
      <c r="K54" s="83"/>
      <c r="L54" s="59"/>
      <c r="M54" s="59" t="s">
        <v>805</v>
      </c>
      <c r="N54" s="59"/>
      <c r="O54" s="62" t="s">
        <v>804</v>
      </c>
      <c r="P54" s="84" t="s">
        <v>1531</v>
      </c>
      <c r="Q54" s="84"/>
      <c r="R54" s="59" t="s">
        <v>57</v>
      </c>
      <c r="S54" s="59"/>
      <c r="T54" s="59"/>
      <c r="U54" s="83"/>
      <c r="V54" s="68">
        <v>46112</v>
      </c>
      <c r="W54" s="70" t="s">
        <v>806</v>
      </c>
      <c r="X54" s="84"/>
      <c r="Y54" s="62" t="s">
        <v>918</v>
      </c>
      <c r="Z54" s="62" t="s">
        <v>919</v>
      </c>
      <c r="AA54" s="59" t="s">
        <v>921</v>
      </c>
      <c r="AB54" s="62" t="s">
        <v>920</v>
      </c>
      <c r="AC54" s="62" t="s">
        <v>922</v>
      </c>
      <c r="AD54" s="59" t="s">
        <v>924</v>
      </c>
      <c r="AE54" s="62" t="s">
        <v>923</v>
      </c>
      <c r="AF54" s="62" t="s">
        <v>925</v>
      </c>
      <c r="AG54" s="62" t="s">
        <v>916</v>
      </c>
      <c r="AH54" s="62" t="s">
        <v>926</v>
      </c>
      <c r="AI54" s="62" t="s">
        <v>64</v>
      </c>
      <c r="AJ54" s="62" t="s">
        <v>64</v>
      </c>
      <c r="AK54" s="62" t="s">
        <v>927</v>
      </c>
      <c r="AL54" s="62" t="s">
        <v>928</v>
      </c>
      <c r="AM54" s="62" t="s">
        <v>929</v>
      </c>
      <c r="AT54" s="65" t="s">
        <v>754</v>
      </c>
      <c r="AU54" s="65" t="s">
        <v>192</v>
      </c>
    </row>
    <row r="55" spans="1:49" ht="217.5">
      <c r="A55" s="59">
        <v>54</v>
      </c>
      <c r="B55" s="67">
        <v>46070.903935185197</v>
      </c>
      <c r="C55" s="67">
        <v>46070.907430555599</v>
      </c>
      <c r="D55" s="62" t="s">
        <v>654</v>
      </c>
      <c r="E55" s="62" t="s">
        <v>655</v>
      </c>
      <c r="F55" s="62" t="s">
        <v>656</v>
      </c>
      <c r="G55" s="62" t="s">
        <v>430</v>
      </c>
      <c r="H55" s="59" t="s">
        <v>77</v>
      </c>
      <c r="I55" s="59" t="s">
        <v>658</v>
      </c>
      <c r="J55" s="84"/>
      <c r="K55" s="83"/>
      <c r="L55" s="59"/>
      <c r="M55" s="59" t="s">
        <v>805</v>
      </c>
      <c r="N55" s="59"/>
      <c r="O55" s="62" t="s">
        <v>804</v>
      </c>
      <c r="P55" s="84" t="s">
        <v>1532</v>
      </c>
      <c r="Q55" s="84"/>
      <c r="R55" s="59" t="s">
        <v>118</v>
      </c>
      <c r="S55" s="59" t="s">
        <v>207</v>
      </c>
      <c r="T55" s="59" t="s">
        <v>57</v>
      </c>
      <c r="U55" s="83"/>
      <c r="V55" s="68">
        <v>46203</v>
      </c>
      <c r="W55" s="70" t="s">
        <v>1533</v>
      </c>
      <c r="X55" s="84"/>
      <c r="Y55" s="62" t="s">
        <v>659</v>
      </c>
      <c r="Z55" s="70" t="s">
        <v>661</v>
      </c>
      <c r="AA55" s="59" t="s">
        <v>660</v>
      </c>
      <c r="AB55" s="62" t="s">
        <v>1534</v>
      </c>
      <c r="AC55" s="62" t="s">
        <v>1535</v>
      </c>
      <c r="AD55" s="59" t="s">
        <v>1536</v>
      </c>
      <c r="AE55" s="62" t="s">
        <v>1537</v>
      </c>
      <c r="AF55" s="62" t="s">
        <v>1538</v>
      </c>
      <c r="AG55" s="62" t="s">
        <v>657</v>
      </c>
      <c r="AH55" s="62" t="s">
        <v>637</v>
      </c>
      <c r="AI55" s="62" t="s">
        <v>64</v>
      </c>
      <c r="AJ55" s="62" t="s">
        <v>64</v>
      </c>
      <c r="AK55" s="62" t="s">
        <v>1539</v>
      </c>
      <c r="AL55" s="62" t="s">
        <v>662</v>
      </c>
      <c r="AM55" s="62" t="s">
        <v>663</v>
      </c>
      <c r="AT55" s="65" t="s">
        <v>1540</v>
      </c>
      <c r="AU55" s="65" t="s">
        <v>192</v>
      </c>
    </row>
    <row r="56" spans="1:49" ht="203.1">
      <c r="A56" s="59">
        <v>55</v>
      </c>
      <c r="B56" s="67">
        <v>46071.365555555603</v>
      </c>
      <c r="C56" s="67">
        <v>46071.394305555601</v>
      </c>
      <c r="D56" s="62" t="s">
        <v>930</v>
      </c>
      <c r="E56" s="62" t="s">
        <v>931</v>
      </c>
      <c r="F56" s="62" t="s">
        <v>932</v>
      </c>
      <c r="G56" s="62" t="s">
        <v>112</v>
      </c>
      <c r="H56" s="59" t="s">
        <v>113</v>
      </c>
      <c r="I56" s="59" t="s">
        <v>934</v>
      </c>
      <c r="J56" s="84"/>
      <c r="K56" s="83"/>
      <c r="L56" s="59" t="s">
        <v>226</v>
      </c>
      <c r="M56" s="59"/>
      <c r="N56" s="59"/>
      <c r="O56" s="62" t="s">
        <v>823</v>
      </c>
      <c r="P56" s="84" t="s">
        <v>1541</v>
      </c>
      <c r="Q56" s="84"/>
      <c r="R56" s="59" t="s">
        <v>57</v>
      </c>
      <c r="S56" s="59"/>
      <c r="T56" s="59"/>
      <c r="U56" s="83"/>
      <c r="V56" s="68">
        <v>46102</v>
      </c>
      <c r="W56" s="70" t="s">
        <v>935</v>
      </c>
      <c r="X56" s="84"/>
      <c r="Y56" s="62" t="s">
        <v>936</v>
      </c>
      <c r="Z56" s="70" t="s">
        <v>937</v>
      </c>
      <c r="AA56" s="59" t="s">
        <v>939</v>
      </c>
      <c r="AB56" s="62" t="s">
        <v>938</v>
      </c>
      <c r="AC56" s="62" t="s">
        <v>940</v>
      </c>
      <c r="AD56" s="59" t="s">
        <v>942</v>
      </c>
      <c r="AE56" s="62" t="s">
        <v>941</v>
      </c>
      <c r="AF56" s="62" t="s">
        <v>943</v>
      </c>
      <c r="AG56" s="62" t="s">
        <v>933</v>
      </c>
      <c r="AH56" s="62" t="s">
        <v>944</v>
      </c>
      <c r="AI56" s="62" t="s">
        <v>64</v>
      </c>
      <c r="AJ56" s="62" t="s">
        <v>64</v>
      </c>
      <c r="AK56" s="62" t="s">
        <v>945</v>
      </c>
      <c r="AL56" s="62" t="s">
        <v>946</v>
      </c>
      <c r="AM56" s="62" t="s">
        <v>947</v>
      </c>
      <c r="AT56" s="65" t="s">
        <v>106</v>
      </c>
      <c r="AU56" s="65" t="s">
        <v>192</v>
      </c>
    </row>
    <row r="57" spans="1:49" ht="101.45">
      <c r="A57" s="59">
        <v>57</v>
      </c>
      <c r="B57" s="67">
        <v>46071.778449074103</v>
      </c>
      <c r="C57" s="67">
        <v>46072.386608796303</v>
      </c>
      <c r="D57" s="62" t="s">
        <v>951</v>
      </c>
      <c r="E57" s="62" t="s">
        <v>952</v>
      </c>
      <c r="F57" s="62" t="s">
        <v>953</v>
      </c>
      <c r="G57" s="62" t="s">
        <v>52</v>
      </c>
      <c r="H57" s="59" t="s">
        <v>224</v>
      </c>
      <c r="I57" s="92" t="s">
        <v>955</v>
      </c>
      <c r="J57" s="84"/>
      <c r="K57" s="83"/>
      <c r="L57" s="59"/>
      <c r="M57" s="59"/>
      <c r="N57" s="59" t="s">
        <v>296</v>
      </c>
      <c r="O57" s="62" t="s">
        <v>741</v>
      </c>
      <c r="P57" s="84"/>
      <c r="Q57" s="89"/>
      <c r="R57" s="59" t="s">
        <v>57</v>
      </c>
      <c r="S57" s="59"/>
      <c r="T57" s="59"/>
      <c r="U57" s="83"/>
      <c r="V57" s="68">
        <v>46081</v>
      </c>
      <c r="W57" s="62" t="s">
        <v>956</v>
      </c>
      <c r="X57" s="84"/>
      <c r="Y57" s="62" t="s">
        <v>957</v>
      </c>
      <c r="Z57" s="62" t="s">
        <v>958</v>
      </c>
      <c r="AA57" s="59" t="s">
        <v>960</v>
      </c>
      <c r="AB57" s="62" t="s">
        <v>959</v>
      </c>
      <c r="AC57" s="62" t="s">
        <v>961</v>
      </c>
      <c r="AD57" s="59" t="s">
        <v>963</v>
      </c>
      <c r="AE57" s="62" t="s">
        <v>962</v>
      </c>
      <c r="AF57" s="62" t="s">
        <v>964</v>
      </c>
      <c r="AG57" s="62" t="s">
        <v>954</v>
      </c>
      <c r="AH57" s="62" t="s">
        <v>187</v>
      </c>
      <c r="AI57" s="62" t="s">
        <v>64</v>
      </c>
      <c r="AJ57" s="62" t="s">
        <v>64</v>
      </c>
      <c r="AK57" s="62" t="s">
        <v>965</v>
      </c>
      <c r="AL57" s="62" t="s">
        <v>966</v>
      </c>
      <c r="AM57" s="62" t="s">
        <v>967</v>
      </c>
      <c r="AO57" s="65" t="s">
        <v>1542</v>
      </c>
      <c r="AP57" s="65">
        <v>45000</v>
      </c>
      <c r="AR57" s="65"/>
      <c r="AS57" s="65" t="s">
        <v>628</v>
      </c>
      <c r="AT57" s="65" t="s">
        <v>1543</v>
      </c>
      <c r="AU57" s="65" t="s">
        <v>1282</v>
      </c>
      <c r="AV57" s="65" t="s">
        <v>1544</v>
      </c>
      <c r="AW57" s="65" t="s">
        <v>756</v>
      </c>
    </row>
    <row r="58" spans="1:49" ht="159.6">
      <c r="A58" s="59">
        <v>56</v>
      </c>
      <c r="B58" s="67">
        <v>46071.782685185201</v>
      </c>
      <c r="C58" s="67">
        <v>46071.784108796302</v>
      </c>
      <c r="D58" s="62" t="s">
        <v>930</v>
      </c>
      <c r="E58" s="62" t="s">
        <v>931</v>
      </c>
      <c r="F58" s="62" t="s">
        <v>971</v>
      </c>
      <c r="G58" s="62" t="s">
        <v>112</v>
      </c>
      <c r="H58" s="59" t="s">
        <v>113</v>
      </c>
      <c r="I58" s="92" t="s">
        <v>973</v>
      </c>
      <c r="J58" s="84"/>
      <c r="K58" s="83"/>
      <c r="L58" s="59" t="s">
        <v>226</v>
      </c>
      <c r="M58" s="59" t="s">
        <v>805</v>
      </c>
      <c r="N58" s="59" t="s">
        <v>56</v>
      </c>
      <c r="O58" s="62" t="s">
        <v>823</v>
      </c>
      <c r="P58" s="84"/>
      <c r="Q58" s="89"/>
      <c r="R58" s="59" t="s">
        <v>57</v>
      </c>
      <c r="S58" s="59"/>
      <c r="T58" s="59"/>
      <c r="U58" s="83"/>
      <c r="V58" s="68">
        <v>46101</v>
      </c>
      <c r="W58" s="62" t="s">
        <v>974</v>
      </c>
      <c r="X58" s="84"/>
      <c r="Y58" s="62" t="s">
        <v>975</v>
      </c>
      <c r="Z58" s="62" t="s">
        <v>976</v>
      </c>
      <c r="AA58" s="59" t="s">
        <v>978</v>
      </c>
      <c r="AB58" s="62" t="s">
        <v>977</v>
      </c>
      <c r="AC58" s="62" t="s">
        <v>979</v>
      </c>
      <c r="AD58" s="59" t="s">
        <v>981</v>
      </c>
      <c r="AE58" s="62" t="s">
        <v>980</v>
      </c>
      <c r="AF58" s="62" t="s">
        <v>982</v>
      </c>
      <c r="AG58" s="62" t="s">
        <v>972</v>
      </c>
      <c r="AH58" s="62" t="s">
        <v>983</v>
      </c>
      <c r="AI58" s="62" t="s">
        <v>64</v>
      </c>
      <c r="AJ58" s="62" t="s">
        <v>64</v>
      </c>
      <c r="AK58" s="62" t="s">
        <v>984</v>
      </c>
      <c r="AL58" s="62" t="s">
        <v>985</v>
      </c>
      <c r="AM58" s="62" t="s">
        <v>986</v>
      </c>
      <c r="AR58" s="65"/>
      <c r="AU58" s="65" t="s">
        <v>192</v>
      </c>
      <c r="AW58" s="65" t="s">
        <v>756</v>
      </c>
    </row>
    <row r="59" spans="1:49" ht="72.599999999999994">
      <c r="A59" s="59"/>
      <c r="B59" s="67"/>
      <c r="C59" s="67"/>
      <c r="D59" s="62"/>
      <c r="E59" s="62"/>
      <c r="F59" s="62" t="s">
        <v>1545</v>
      </c>
      <c r="G59" s="62" t="s">
        <v>52</v>
      </c>
      <c r="H59" s="59"/>
      <c r="I59" s="10" t="s">
        <v>1546</v>
      </c>
      <c r="J59" s="84" t="s">
        <v>1012</v>
      </c>
      <c r="K59" s="83"/>
      <c r="L59" s="59"/>
      <c r="M59" s="59"/>
      <c r="N59" s="59" t="s">
        <v>56</v>
      </c>
      <c r="O59" s="62" t="s">
        <v>741</v>
      </c>
      <c r="P59" s="86" t="s">
        <v>1547</v>
      </c>
      <c r="Q59" s="89"/>
      <c r="R59" s="59" t="s">
        <v>57</v>
      </c>
      <c r="S59" s="59"/>
      <c r="T59" s="59"/>
      <c r="U59" s="83"/>
      <c r="V59" s="61">
        <v>46064</v>
      </c>
      <c r="W59" s="62"/>
      <c r="X59" s="84"/>
      <c r="Y59" s="59" t="s">
        <v>1548</v>
      </c>
      <c r="Z59" s="62"/>
      <c r="AA59" s="59"/>
      <c r="AB59" s="62"/>
      <c r="AC59" s="62"/>
      <c r="AD59" s="59"/>
      <c r="AE59" s="62"/>
      <c r="AF59" s="62"/>
      <c r="AG59" s="62"/>
      <c r="AH59" s="62"/>
      <c r="AI59" s="62"/>
      <c r="AJ59" s="62"/>
      <c r="AK59" s="62"/>
      <c r="AL59" s="62"/>
      <c r="AM59" s="62"/>
      <c r="AR59" s="65"/>
      <c r="AU59" s="65" t="s">
        <v>192</v>
      </c>
      <c r="AV59" s="65" t="s">
        <v>755</v>
      </c>
      <c r="AW59" s="65" t="s">
        <v>756</v>
      </c>
    </row>
    <row r="60" spans="1:49" ht="43.5">
      <c r="A60" s="59"/>
      <c r="B60" s="67"/>
      <c r="C60" s="67"/>
      <c r="D60" s="62"/>
      <c r="E60" s="62"/>
      <c r="F60" s="62" t="s">
        <v>1549</v>
      </c>
      <c r="G60" s="62" t="s">
        <v>52</v>
      </c>
      <c r="H60" s="59"/>
      <c r="I60" s="10" t="s">
        <v>1546</v>
      </c>
      <c r="J60" s="84" t="s">
        <v>1012</v>
      </c>
      <c r="K60" s="83"/>
      <c r="L60" s="59"/>
      <c r="M60" s="59"/>
      <c r="N60" s="59" t="s">
        <v>56</v>
      </c>
      <c r="O60" s="62" t="s">
        <v>741</v>
      </c>
      <c r="P60" s="86" t="s">
        <v>1550</v>
      </c>
      <c r="Q60" s="89"/>
      <c r="R60" s="59" t="s">
        <v>57</v>
      </c>
      <c r="S60" s="59"/>
      <c r="T60" s="59"/>
      <c r="U60" s="83"/>
      <c r="V60" s="61">
        <v>46065</v>
      </c>
      <c r="W60" s="62"/>
      <c r="X60" s="84"/>
      <c r="Y60" s="80" t="s">
        <v>1551</v>
      </c>
      <c r="Z60" s="62"/>
      <c r="AA60" s="59"/>
      <c r="AB60" s="62"/>
      <c r="AC60" s="62"/>
      <c r="AD60" s="59"/>
      <c r="AE60" s="62"/>
      <c r="AF60" s="62"/>
      <c r="AG60" s="62"/>
      <c r="AH60" s="62"/>
      <c r="AI60" s="62"/>
      <c r="AJ60" s="62"/>
      <c r="AK60" s="62"/>
      <c r="AL60" s="62"/>
      <c r="AM60" s="62"/>
      <c r="AR60" s="65"/>
      <c r="AU60" s="65" t="s">
        <v>192</v>
      </c>
    </row>
    <row r="61" spans="1:49" ht="72.599999999999994">
      <c r="A61" s="59"/>
      <c r="B61" s="67"/>
      <c r="C61" s="67"/>
      <c r="D61" s="62"/>
      <c r="E61" s="62"/>
      <c r="F61" s="62" t="s">
        <v>1552</v>
      </c>
      <c r="G61" s="62" t="s">
        <v>52</v>
      </c>
      <c r="H61" s="59"/>
      <c r="I61" s="10" t="s">
        <v>1546</v>
      </c>
      <c r="J61" s="84" t="s">
        <v>1012</v>
      </c>
      <c r="K61" s="83"/>
      <c r="L61" s="59"/>
      <c r="M61" s="59"/>
      <c r="N61" s="59" t="s">
        <v>56</v>
      </c>
      <c r="O61" s="62" t="s">
        <v>741</v>
      </c>
      <c r="P61" s="86" t="s">
        <v>1553</v>
      </c>
      <c r="Q61" s="89"/>
      <c r="R61" s="59" t="s">
        <v>57</v>
      </c>
      <c r="S61" s="59"/>
      <c r="T61" s="59"/>
      <c r="U61" s="83"/>
      <c r="V61" s="61">
        <v>46080</v>
      </c>
      <c r="W61" s="62"/>
      <c r="X61" s="84"/>
      <c r="Y61" s="81" t="s">
        <v>1554</v>
      </c>
      <c r="Z61" s="62"/>
      <c r="AA61" s="59"/>
      <c r="AB61" s="62"/>
      <c r="AC61" s="62"/>
      <c r="AD61" s="59"/>
      <c r="AE61" s="62"/>
      <c r="AF61" s="62"/>
      <c r="AG61" s="62"/>
      <c r="AH61" s="62"/>
      <c r="AI61" s="62"/>
      <c r="AJ61" s="62"/>
      <c r="AK61" s="62"/>
      <c r="AL61" s="62"/>
      <c r="AM61" s="62"/>
      <c r="AR61" s="65"/>
      <c r="AU61" s="65" t="s">
        <v>192</v>
      </c>
    </row>
    <row r="62" spans="1:49" ht="14.45">
      <c r="A62" s="59"/>
      <c r="B62" s="67"/>
      <c r="C62" s="67"/>
      <c r="D62" s="62"/>
      <c r="E62" s="62"/>
      <c r="F62" s="62" t="s">
        <v>1555</v>
      </c>
      <c r="G62" s="10" t="s">
        <v>52</v>
      </c>
      <c r="H62" s="59"/>
      <c r="I62" s="93" t="s">
        <v>1275</v>
      </c>
      <c r="J62" s="84" t="s">
        <v>1012</v>
      </c>
      <c r="K62" s="83"/>
      <c r="L62" s="59"/>
      <c r="M62" s="59"/>
      <c r="N62" s="59"/>
      <c r="O62" s="62" t="s">
        <v>741</v>
      </c>
      <c r="P62" s="86" t="s">
        <v>1556</v>
      </c>
      <c r="Q62" s="89"/>
      <c r="R62" s="59" t="s">
        <v>118</v>
      </c>
      <c r="S62" s="59" t="s">
        <v>350</v>
      </c>
      <c r="T62" s="59"/>
      <c r="U62" s="83"/>
      <c r="V62" s="60">
        <v>46070</v>
      </c>
      <c r="W62" s="62"/>
      <c r="X62" s="84"/>
      <c r="Y62" s="62"/>
      <c r="Z62" s="10" t="s">
        <v>1557</v>
      </c>
      <c r="AA62" s="59"/>
      <c r="AB62" s="62"/>
      <c r="AC62" s="62"/>
      <c r="AD62" s="59"/>
      <c r="AE62" s="62"/>
      <c r="AF62" s="62"/>
      <c r="AG62" s="62"/>
      <c r="AH62" s="62"/>
      <c r="AI62" s="62"/>
      <c r="AJ62" s="62"/>
      <c r="AK62" s="62"/>
      <c r="AL62" s="62"/>
      <c r="AM62" s="62"/>
      <c r="AR62" s="65"/>
      <c r="AT62" s="65" t="s">
        <v>214</v>
      </c>
      <c r="AU62" s="65" t="s">
        <v>192</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5D0BD-2921-4A0C-AE02-5518AA1B285C}">
  <dimension ref="A1:AK6"/>
  <sheetViews>
    <sheetView topLeftCell="A2" zoomScale="60" zoomScaleNormal="60" workbookViewId="0">
      <selection activeCell="F2" sqref="F2"/>
    </sheetView>
  </sheetViews>
  <sheetFormatPr defaultColWidth="8.85546875" defaultRowHeight="14.45"/>
  <cols>
    <col min="1" max="7" width="20" bestFit="1" customWidth="1"/>
    <col min="8" max="9" width="19" customWidth="1"/>
    <col min="10" max="11" width="18.140625" customWidth="1"/>
    <col min="12" max="12" width="26.140625" customWidth="1"/>
    <col min="13" max="13" width="18.140625" customWidth="1"/>
    <col min="14" max="14" width="50" customWidth="1"/>
    <col min="15" max="17" width="20" bestFit="1" customWidth="1"/>
    <col min="18" max="19" width="19" customWidth="1"/>
    <col min="20" max="20" width="46.85546875" customWidth="1"/>
    <col min="21" max="21" width="39.42578125" customWidth="1"/>
    <col min="22" max="26" width="20" bestFit="1" customWidth="1"/>
    <col min="27" max="27" width="26.85546875" customWidth="1"/>
    <col min="28" max="28" width="30.85546875" customWidth="1"/>
    <col min="29" max="29" width="39.42578125" customWidth="1"/>
    <col min="30" max="30" width="21.42578125" customWidth="1"/>
    <col min="31" max="31" width="30.42578125" customWidth="1"/>
    <col min="32" max="32" width="32.140625" customWidth="1"/>
    <col min="33" max="33" width="68.42578125" customWidth="1"/>
    <col min="34" max="34" width="41.42578125" customWidth="1"/>
    <col min="35" max="35" width="56.140625" customWidth="1"/>
    <col min="36" max="36" width="9.140625" bestFit="1" customWidth="1"/>
    <col min="37" max="37" width="43" customWidth="1"/>
  </cols>
  <sheetData>
    <row r="1" spans="1:37" s="7" customFormat="1" ht="57.95">
      <c r="A1" s="7" t="s">
        <v>5</v>
      </c>
      <c r="B1" s="7" t="s">
        <v>6</v>
      </c>
      <c r="C1" s="7" t="s">
        <v>7</v>
      </c>
      <c r="D1" s="7" t="s">
        <v>8</v>
      </c>
      <c r="E1" s="7" t="s">
        <v>9</v>
      </c>
      <c r="F1" s="7" t="s">
        <v>10</v>
      </c>
      <c r="G1" s="7" t="s">
        <v>12</v>
      </c>
      <c r="H1" s="7" t="s">
        <v>13</v>
      </c>
      <c r="I1" s="7" t="s">
        <v>590</v>
      </c>
      <c r="J1" s="7" t="s">
        <v>1558</v>
      </c>
      <c r="K1" s="7" t="s">
        <v>1559</v>
      </c>
      <c r="L1" s="7" t="s">
        <v>714</v>
      </c>
      <c r="M1" s="7" t="s">
        <v>715</v>
      </c>
      <c r="N1" s="7" t="s">
        <v>716</v>
      </c>
      <c r="O1" s="7" t="s">
        <v>713</v>
      </c>
      <c r="P1" s="7" t="s">
        <v>1560</v>
      </c>
      <c r="Q1" s="7" t="s">
        <v>1561</v>
      </c>
      <c r="R1" s="7" t="s">
        <v>18</v>
      </c>
      <c r="S1" s="7" t="s">
        <v>1562</v>
      </c>
      <c r="T1" s="11" t="s">
        <v>717</v>
      </c>
      <c r="U1" s="7" t="s">
        <v>718</v>
      </c>
      <c r="V1" s="7" t="s">
        <v>1563</v>
      </c>
      <c r="W1" s="7" t="s">
        <v>22</v>
      </c>
      <c r="X1" s="7" t="s">
        <v>721</v>
      </c>
      <c r="Y1" s="7" t="s">
        <v>23</v>
      </c>
      <c r="Z1" s="7" t="s">
        <v>722</v>
      </c>
      <c r="AA1" s="7" t="s">
        <v>723</v>
      </c>
      <c r="AB1" s="7" t="s">
        <v>725</v>
      </c>
      <c r="AC1" s="7" t="s">
        <v>724</v>
      </c>
      <c r="AD1" s="7" t="s">
        <v>726</v>
      </c>
      <c r="AE1" s="7" t="s">
        <v>11</v>
      </c>
      <c r="AF1" s="7" t="s">
        <v>26</v>
      </c>
      <c r="AG1" s="7" t="s">
        <v>27</v>
      </c>
      <c r="AH1" s="7" t="s">
        <v>727</v>
      </c>
      <c r="AI1" s="7" t="s">
        <v>591</v>
      </c>
      <c r="AJ1" s="7" t="s">
        <v>29</v>
      </c>
      <c r="AK1" s="7" t="s">
        <v>728</v>
      </c>
    </row>
    <row r="2" spans="1:37" s="51" customFormat="1" ht="409.5">
      <c r="A2" s="46">
        <v>6</v>
      </c>
      <c r="B2" s="46">
        <v>45992.778298611098</v>
      </c>
      <c r="C2" s="46">
        <v>45992.802268518499</v>
      </c>
      <c r="D2" s="47" t="s">
        <v>757</v>
      </c>
      <c r="E2" s="47" t="s">
        <v>758</v>
      </c>
      <c r="F2" s="47" t="s">
        <v>1564</v>
      </c>
      <c r="G2" s="47" t="s">
        <v>52</v>
      </c>
      <c r="H2" s="46" t="s">
        <v>1565</v>
      </c>
      <c r="I2" s="46" t="s">
        <v>1566</v>
      </c>
      <c r="J2" s="47"/>
      <c r="K2" s="46"/>
      <c r="L2" s="46"/>
      <c r="M2" s="46"/>
      <c r="N2" s="46" t="s">
        <v>206</v>
      </c>
      <c r="O2" s="47" t="s">
        <v>741</v>
      </c>
      <c r="P2" s="48" t="s">
        <v>1567</v>
      </c>
      <c r="Q2" s="47"/>
      <c r="R2" s="46"/>
      <c r="S2" s="46"/>
      <c r="T2" s="49">
        <v>46081</v>
      </c>
      <c r="U2" s="48" t="s">
        <v>1568</v>
      </c>
      <c r="V2" s="47" t="s">
        <v>64</v>
      </c>
      <c r="W2" s="48" t="s">
        <v>1569</v>
      </c>
      <c r="X2" s="48" t="s">
        <v>435</v>
      </c>
      <c r="Y2" s="50" t="s">
        <v>1570</v>
      </c>
      <c r="Z2" s="48" t="s">
        <v>1571</v>
      </c>
      <c r="AA2" s="48" t="s">
        <v>1572</v>
      </c>
      <c r="AB2" s="50" t="s">
        <v>1573</v>
      </c>
      <c r="AC2" s="48" t="s">
        <v>1574</v>
      </c>
      <c r="AD2" s="48" t="s">
        <v>1575</v>
      </c>
      <c r="AE2" s="48" t="s">
        <v>1576</v>
      </c>
      <c r="AF2" s="47" t="s">
        <v>750</v>
      </c>
      <c r="AG2" s="47" t="s">
        <v>64</v>
      </c>
      <c r="AH2" s="47" t="s">
        <v>260</v>
      </c>
      <c r="AI2" s="48" t="s">
        <v>1577</v>
      </c>
      <c r="AJ2" s="48" t="s">
        <v>1578</v>
      </c>
      <c r="AK2" s="47" t="s">
        <v>1579</v>
      </c>
    </row>
    <row r="3" spans="1:37" s="51" customFormat="1" ht="409.5">
      <c r="A3" s="46">
        <v>7</v>
      </c>
      <c r="B3" s="46">
        <v>45992.629131944399</v>
      </c>
      <c r="C3" s="46">
        <v>45992.831435185202</v>
      </c>
      <c r="D3" s="47" t="s">
        <v>989</v>
      </c>
      <c r="E3" s="47" t="s">
        <v>49</v>
      </c>
      <c r="F3" s="47" t="s">
        <v>1580</v>
      </c>
      <c r="G3" s="47" t="s">
        <v>52</v>
      </c>
      <c r="H3" s="46" t="s">
        <v>1581</v>
      </c>
      <c r="I3" s="46" t="s">
        <v>1582</v>
      </c>
      <c r="J3" s="47"/>
      <c r="K3" s="46"/>
      <c r="L3" s="46"/>
      <c r="M3" s="46"/>
      <c r="N3" s="46" t="s">
        <v>56</v>
      </c>
      <c r="O3" s="47" t="s">
        <v>741</v>
      </c>
      <c r="P3" s="48" t="s">
        <v>1583</v>
      </c>
      <c r="Q3" s="47"/>
      <c r="R3" s="46"/>
      <c r="S3" s="46"/>
      <c r="T3" s="49">
        <v>46000</v>
      </c>
      <c r="U3" s="48" t="s">
        <v>1584</v>
      </c>
      <c r="V3" s="47" t="s">
        <v>64</v>
      </c>
      <c r="W3" s="48" t="s">
        <v>1585</v>
      </c>
      <c r="X3" s="48" t="s">
        <v>1586</v>
      </c>
      <c r="Y3" s="50" t="s">
        <v>1587</v>
      </c>
      <c r="Z3" s="48" t="s">
        <v>1588</v>
      </c>
      <c r="AA3" s="48" t="s">
        <v>1589</v>
      </c>
      <c r="AB3" s="50" t="s">
        <v>1590</v>
      </c>
      <c r="AC3" s="48" t="s">
        <v>1591</v>
      </c>
      <c r="AD3" s="48" t="s">
        <v>1592</v>
      </c>
      <c r="AE3" s="48" t="s">
        <v>1593</v>
      </c>
      <c r="AF3" s="47" t="s">
        <v>926</v>
      </c>
      <c r="AG3" s="47" t="s">
        <v>64</v>
      </c>
      <c r="AH3" s="47" t="s">
        <v>64</v>
      </c>
      <c r="AI3" s="48" t="s">
        <v>1594</v>
      </c>
      <c r="AJ3" s="48" t="s">
        <v>1595</v>
      </c>
      <c r="AK3" s="47" t="s">
        <v>1596</v>
      </c>
    </row>
    <row r="4" spans="1:37" s="51" customFormat="1" ht="409.5">
      <c r="A4" s="46">
        <v>8</v>
      </c>
      <c r="B4" s="46">
        <v>45992.597858796304</v>
      </c>
      <c r="C4" s="46">
        <v>45992.9631828704</v>
      </c>
      <c r="D4" s="47" t="s">
        <v>1597</v>
      </c>
      <c r="E4" s="47" t="s">
        <v>221</v>
      </c>
      <c r="F4" s="47" t="s">
        <v>1598</v>
      </c>
      <c r="G4" s="47" t="s">
        <v>112</v>
      </c>
      <c r="H4" s="46" t="s">
        <v>1581</v>
      </c>
      <c r="I4" s="46" t="s">
        <v>1599</v>
      </c>
      <c r="J4" s="47"/>
      <c r="K4" s="46"/>
      <c r="L4" s="46" t="s">
        <v>226</v>
      </c>
      <c r="M4" s="46"/>
      <c r="N4" s="46"/>
      <c r="O4" s="47" t="s">
        <v>823</v>
      </c>
      <c r="P4" s="48" t="s">
        <v>1600</v>
      </c>
      <c r="Q4" s="47"/>
      <c r="R4" s="46"/>
      <c r="S4" s="46"/>
      <c r="T4" s="49">
        <v>46094</v>
      </c>
      <c r="U4" s="48" t="s">
        <v>1601</v>
      </c>
      <c r="V4" s="47" t="s">
        <v>260</v>
      </c>
      <c r="W4" s="48" t="s">
        <v>1602</v>
      </c>
      <c r="X4" s="48" t="s">
        <v>1603</v>
      </c>
      <c r="Y4" s="50" t="s">
        <v>1604</v>
      </c>
      <c r="Z4" s="48" t="s">
        <v>1605</v>
      </c>
      <c r="AA4" s="48" t="s">
        <v>1606</v>
      </c>
      <c r="AB4" s="50" t="s">
        <v>1607</v>
      </c>
      <c r="AC4" s="48" t="s">
        <v>1608</v>
      </c>
      <c r="AD4" s="48" t="s">
        <v>1609</v>
      </c>
      <c r="AE4" s="48" t="s">
        <v>1610</v>
      </c>
      <c r="AF4" s="47" t="s">
        <v>1611</v>
      </c>
      <c r="AG4" s="47" t="s">
        <v>260</v>
      </c>
      <c r="AH4" s="47" t="s">
        <v>64</v>
      </c>
      <c r="AI4" s="48" t="s">
        <v>1612</v>
      </c>
      <c r="AJ4" s="48" t="s">
        <v>1613</v>
      </c>
      <c r="AK4" s="47" t="s">
        <v>1614</v>
      </c>
    </row>
    <row r="5" spans="1:37" s="51" customFormat="1" ht="333.6">
      <c r="A5" s="46">
        <v>9</v>
      </c>
      <c r="B5" s="46">
        <v>45993.171666666698</v>
      </c>
      <c r="C5" s="46">
        <v>45993.229699074102</v>
      </c>
      <c r="D5" s="47" t="s">
        <v>757</v>
      </c>
      <c r="E5" s="47" t="s">
        <v>758</v>
      </c>
      <c r="F5" s="47" t="s">
        <v>1615</v>
      </c>
      <c r="G5" s="47" t="s">
        <v>52</v>
      </c>
      <c r="H5" s="46" t="s">
        <v>1581</v>
      </c>
      <c r="I5" s="46" t="s">
        <v>1616</v>
      </c>
      <c r="J5" s="47"/>
      <c r="K5" s="46"/>
      <c r="L5" s="46"/>
      <c r="M5" s="46"/>
      <c r="N5" s="46" t="s">
        <v>206</v>
      </c>
      <c r="O5" s="47" t="s">
        <v>741</v>
      </c>
      <c r="P5" s="48" t="s">
        <v>1617</v>
      </c>
      <c r="Q5" s="47"/>
      <c r="R5" s="46"/>
      <c r="S5" s="46"/>
      <c r="T5" s="49">
        <v>46052</v>
      </c>
      <c r="U5" s="48" t="s">
        <v>1618</v>
      </c>
      <c r="V5" s="47" t="s">
        <v>64</v>
      </c>
      <c r="W5" s="48" t="s">
        <v>1619</v>
      </c>
      <c r="X5" s="48" t="s">
        <v>1620</v>
      </c>
      <c r="Y5" s="50" t="s">
        <v>1621</v>
      </c>
      <c r="Z5" s="48" t="s">
        <v>1622</v>
      </c>
      <c r="AA5" s="48" t="s">
        <v>1623</v>
      </c>
      <c r="AB5" s="50" t="s">
        <v>1624</v>
      </c>
      <c r="AC5" s="48" t="s">
        <v>1625</v>
      </c>
      <c r="AD5" s="48" t="s">
        <v>1626</v>
      </c>
      <c r="AE5" s="48" t="s">
        <v>1627</v>
      </c>
      <c r="AF5" s="47" t="s">
        <v>1628</v>
      </c>
      <c r="AG5" s="47" t="s">
        <v>64</v>
      </c>
      <c r="AH5" s="47" t="s">
        <v>64</v>
      </c>
      <c r="AI5" s="48" t="s">
        <v>1629</v>
      </c>
      <c r="AJ5" s="48" t="s">
        <v>1630</v>
      </c>
      <c r="AK5" s="47" t="s">
        <v>1631</v>
      </c>
    </row>
    <row r="6" spans="1:37" s="51" customFormat="1" ht="275.45">
      <c r="A6" s="46">
        <v>10</v>
      </c>
      <c r="B6" s="46">
        <v>45993.379872685196</v>
      </c>
      <c r="C6" s="46">
        <v>45993.407812500001</v>
      </c>
      <c r="D6" s="47" t="s">
        <v>1597</v>
      </c>
      <c r="E6" s="47" t="s">
        <v>221</v>
      </c>
      <c r="F6" s="47" t="s">
        <v>1632</v>
      </c>
      <c r="G6" s="47" t="s">
        <v>112</v>
      </c>
      <c r="H6" s="46" t="s">
        <v>1581</v>
      </c>
      <c r="I6" s="46" t="s">
        <v>1633</v>
      </c>
      <c r="J6" s="47"/>
      <c r="K6" s="46"/>
      <c r="L6" s="46" t="s">
        <v>226</v>
      </c>
      <c r="M6" s="46"/>
      <c r="N6" s="46"/>
      <c r="O6" s="47" t="s">
        <v>823</v>
      </c>
      <c r="P6" s="48" t="s">
        <v>1600</v>
      </c>
      <c r="Q6" s="47"/>
      <c r="R6" s="46"/>
      <c r="S6" s="46"/>
      <c r="T6" s="49">
        <v>46009</v>
      </c>
      <c r="U6" s="48" t="s">
        <v>1634</v>
      </c>
      <c r="V6" s="47" t="s">
        <v>64</v>
      </c>
      <c r="W6" s="48" t="s">
        <v>1635</v>
      </c>
      <c r="X6" s="48" t="s">
        <v>1636</v>
      </c>
      <c r="Y6" s="50" t="s">
        <v>1637</v>
      </c>
      <c r="Z6" s="48" t="s">
        <v>1638</v>
      </c>
      <c r="AA6" s="48" t="s">
        <v>1639</v>
      </c>
      <c r="AB6" s="50" t="s">
        <v>1640</v>
      </c>
      <c r="AC6" s="48" t="s">
        <v>1641</v>
      </c>
      <c r="AD6" s="48" t="s">
        <v>1642</v>
      </c>
      <c r="AE6" s="48" t="s">
        <v>1643</v>
      </c>
      <c r="AF6" s="47" t="s">
        <v>187</v>
      </c>
      <c r="AG6" s="47" t="s">
        <v>260</v>
      </c>
      <c r="AH6" s="47" t="s">
        <v>260</v>
      </c>
      <c r="AI6" s="48" t="s">
        <v>1644</v>
      </c>
      <c r="AJ6" s="48" t="s">
        <v>1645</v>
      </c>
      <c r="AK6" s="52" t="s">
        <v>1646</v>
      </c>
    </row>
  </sheetData>
  <hyperlinks>
    <hyperlink ref="AK6" r:id="rId1" display="https://educorpperu-my.sharepoint.com/personal/diana_zapata_laureate_pe1/_layouts/15/Doc.aspx?sourcedoc=%7B1182D8E1-CAEE-4FFB-A8A2-B813699EFD86%7D&amp;file=DP-02-Formato_Petici%C3%B3n_de_cambio_Tr%C3%A1mite%20Tras_Angela%20Lucano%20Carran.docx&amp;action=default&amp;mobileredirect=true" xr:uid="{ACC74E17-9051-423C-9731-4B7827003DA0}"/>
  </hyperlinks>
  <pageMargins left="0.7" right="0.7" top="0.75" bottom="0.75" header="0.3" footer="0.3"/>
  <pageSetup paperSize="9" orientation="portrait" r:id="rId2"/>
  <headerFooter>
    <oddFooter>&amp;C_x000D_&amp;1#&amp;"Aptos"&amp;7&amp;K000000 Uso Público de Laureate Perú — Se compartir externamente, información no sensible.</oddFooter>
  </headerFooter>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4.45"/>
  <cols>
    <col min="2" max="2" width="4" style="21" customWidth="1"/>
    <col min="3" max="3" width="27.140625" customWidth="1"/>
    <col min="4" max="4" width="36.140625" customWidth="1"/>
    <col min="5" max="5" width="27.42578125" customWidth="1"/>
  </cols>
  <sheetData>
    <row r="2" spans="2:5">
      <c r="B2" s="20" t="s">
        <v>1647</v>
      </c>
      <c r="C2" s="390" t="s">
        <v>1648</v>
      </c>
      <c r="D2" s="390"/>
      <c r="E2" s="20" t="s">
        <v>1649</v>
      </c>
    </row>
    <row r="3" spans="2:5" ht="31.5">
      <c r="B3" s="22">
        <v>1</v>
      </c>
      <c r="C3" s="23" t="s">
        <v>1650</v>
      </c>
      <c r="D3" s="24" t="s">
        <v>1651</v>
      </c>
      <c r="E3" s="25" t="s">
        <v>1652</v>
      </c>
    </row>
    <row r="4" spans="2:5" ht="21">
      <c r="B4" s="401">
        <v>2</v>
      </c>
      <c r="C4" s="392" t="s">
        <v>11</v>
      </c>
      <c r="D4" s="28" t="s">
        <v>1653</v>
      </c>
      <c r="E4" s="398" t="s">
        <v>1654</v>
      </c>
    </row>
    <row r="5" spans="2:5">
      <c r="B5" s="401"/>
      <c r="C5" s="392"/>
      <c r="D5" s="28" t="s">
        <v>1655</v>
      </c>
      <c r="E5" s="398"/>
    </row>
    <row r="6" spans="2:5">
      <c r="B6" s="401"/>
      <c r="C6" s="392"/>
      <c r="D6" s="28" t="s">
        <v>1656</v>
      </c>
      <c r="E6" s="398"/>
    </row>
    <row r="7" spans="2:5">
      <c r="B7" s="401"/>
      <c r="C7" s="392"/>
      <c r="D7" s="28" t="s">
        <v>1657</v>
      </c>
      <c r="E7" s="398"/>
    </row>
    <row r="8" spans="2:5">
      <c r="B8" s="401"/>
      <c r="C8" s="392"/>
      <c r="D8" s="28" t="s">
        <v>1658</v>
      </c>
      <c r="E8" s="398"/>
    </row>
    <row r="9" spans="2:5">
      <c r="B9" s="26">
        <v>3</v>
      </c>
      <c r="C9" s="27" t="s">
        <v>12</v>
      </c>
      <c r="D9" s="28" t="s">
        <v>1659</v>
      </c>
      <c r="E9" s="37" t="s">
        <v>1660</v>
      </c>
    </row>
    <row r="10" spans="2:5">
      <c r="B10" s="26">
        <v>4</v>
      </c>
      <c r="C10" s="27" t="s">
        <v>13</v>
      </c>
      <c r="D10" s="28" t="s">
        <v>1661</v>
      </c>
      <c r="E10" s="29" t="s">
        <v>1662</v>
      </c>
    </row>
    <row r="11" spans="2:5">
      <c r="B11" s="26">
        <v>5</v>
      </c>
      <c r="C11" s="27" t="s">
        <v>1663</v>
      </c>
      <c r="D11" s="28" t="s">
        <v>1664</v>
      </c>
      <c r="E11" s="29" t="s">
        <v>1665</v>
      </c>
    </row>
    <row r="12" spans="2:5" ht="21">
      <c r="B12" s="26">
        <v>6</v>
      </c>
      <c r="C12" s="27" t="s">
        <v>1666</v>
      </c>
      <c r="D12" s="28" t="s">
        <v>1667</v>
      </c>
      <c r="E12" s="29"/>
    </row>
    <row r="13" spans="2:5">
      <c r="B13" s="26">
        <v>7</v>
      </c>
      <c r="C13" s="27" t="s">
        <v>1668</v>
      </c>
      <c r="D13" s="28" t="s">
        <v>1669</v>
      </c>
      <c r="E13" s="29"/>
    </row>
    <row r="14" spans="2:5">
      <c r="B14" s="26">
        <v>8</v>
      </c>
      <c r="C14" s="27" t="s">
        <v>717</v>
      </c>
      <c r="D14" s="28" t="s">
        <v>1670</v>
      </c>
      <c r="E14" s="29" t="s">
        <v>1671</v>
      </c>
    </row>
    <row r="15" spans="2:5">
      <c r="B15" s="26">
        <v>9</v>
      </c>
      <c r="C15" s="27" t="s">
        <v>1672</v>
      </c>
      <c r="D15" s="28" t="s">
        <v>1673</v>
      </c>
      <c r="E15" s="29" t="s">
        <v>1674</v>
      </c>
    </row>
    <row r="16" spans="2:5">
      <c r="B16" s="26">
        <v>10</v>
      </c>
      <c r="C16" s="30" t="s">
        <v>18</v>
      </c>
      <c r="D16" s="28" t="s">
        <v>1675</v>
      </c>
      <c r="E16" s="29" t="s">
        <v>57</v>
      </c>
    </row>
    <row r="17" spans="2:5">
      <c r="B17" s="31">
        <v>11</v>
      </c>
      <c r="C17" s="32" t="s">
        <v>1676</v>
      </c>
      <c r="D17" s="33" t="s">
        <v>1677</v>
      </c>
      <c r="E17" s="34"/>
    </row>
    <row r="18" spans="2:5">
      <c r="B18" s="399" t="s">
        <v>1678</v>
      </c>
      <c r="C18" s="399"/>
      <c r="D18" s="399"/>
      <c r="E18" s="20" t="s">
        <v>1649</v>
      </c>
    </row>
    <row r="19" spans="2:5" ht="21">
      <c r="B19" s="400">
        <v>12</v>
      </c>
      <c r="C19" s="391" t="s">
        <v>1679</v>
      </c>
      <c r="D19" s="24" t="s">
        <v>1680</v>
      </c>
      <c r="E19" s="397" t="s">
        <v>1681</v>
      </c>
    </row>
    <row r="20" spans="2:5">
      <c r="B20" s="401"/>
      <c r="C20" s="392"/>
      <c r="D20" s="28" t="s">
        <v>1682</v>
      </c>
      <c r="E20" s="398"/>
    </row>
    <row r="21" spans="2:5">
      <c r="B21" s="26">
        <v>13</v>
      </c>
      <c r="C21" s="27" t="s">
        <v>721</v>
      </c>
      <c r="D21" s="28" t="s">
        <v>1683</v>
      </c>
      <c r="E21" s="29" t="s">
        <v>1684</v>
      </c>
    </row>
    <row r="22" spans="2:5" ht="52.5">
      <c r="B22" s="26">
        <v>14</v>
      </c>
      <c r="C22" s="27" t="s">
        <v>722</v>
      </c>
      <c r="D22" s="28" t="s">
        <v>1685</v>
      </c>
      <c r="E22" s="29" t="s">
        <v>1686</v>
      </c>
    </row>
    <row r="23" spans="2:5" ht="21">
      <c r="B23" s="26">
        <v>15</v>
      </c>
      <c r="C23" s="27" t="s">
        <v>23</v>
      </c>
      <c r="D23" s="28" t="s">
        <v>1687</v>
      </c>
      <c r="E23" s="29"/>
    </row>
    <row r="24" spans="2:5" ht="31.5">
      <c r="B24" s="26">
        <v>16</v>
      </c>
      <c r="C24" s="27" t="s">
        <v>723</v>
      </c>
      <c r="D24" s="28" t="s">
        <v>1688</v>
      </c>
      <c r="E24" s="29" t="s">
        <v>1689</v>
      </c>
    </row>
    <row r="25" spans="2:5" ht="21">
      <c r="B25" s="26">
        <v>17</v>
      </c>
      <c r="C25" s="27" t="s">
        <v>724</v>
      </c>
      <c r="D25" s="28" t="s">
        <v>1690</v>
      </c>
      <c r="E25" s="29" t="s">
        <v>1691</v>
      </c>
    </row>
    <row r="26" spans="2:5">
      <c r="B26" s="26">
        <v>18</v>
      </c>
      <c r="C26" s="27" t="s">
        <v>1692</v>
      </c>
      <c r="D26" s="28" t="s">
        <v>1693</v>
      </c>
      <c r="E26" s="29"/>
    </row>
    <row r="27" spans="2:5" ht="52.5">
      <c r="B27" s="26">
        <v>19</v>
      </c>
      <c r="C27" s="27" t="s">
        <v>726</v>
      </c>
      <c r="D27" s="28" t="s">
        <v>1694</v>
      </c>
      <c r="E27" s="29" t="s">
        <v>1695</v>
      </c>
    </row>
    <row r="28" spans="2:5">
      <c r="B28" s="384" t="s">
        <v>1696</v>
      </c>
      <c r="C28" s="384"/>
      <c r="D28" s="384"/>
      <c r="E28" s="20" t="s">
        <v>1649</v>
      </c>
    </row>
    <row r="29" spans="2:5" ht="21">
      <c r="B29" s="22">
        <v>20</v>
      </c>
      <c r="C29" s="23" t="s">
        <v>26</v>
      </c>
      <c r="D29" s="24" t="s">
        <v>1697</v>
      </c>
      <c r="E29" s="36"/>
    </row>
    <row r="30" spans="2:5" ht="21">
      <c r="B30" s="26">
        <v>21</v>
      </c>
      <c r="C30" s="28" t="s">
        <v>1698</v>
      </c>
      <c r="D30" s="28" t="s">
        <v>1699</v>
      </c>
      <c r="E30" s="37"/>
    </row>
    <row r="31" spans="2:5">
      <c r="B31" s="31">
        <v>22</v>
      </c>
      <c r="C31" s="35" t="s">
        <v>727</v>
      </c>
      <c r="D31" s="33" t="s">
        <v>1700</v>
      </c>
      <c r="E31" s="34"/>
    </row>
    <row r="32" spans="2:5">
      <c r="B32" s="384" t="s">
        <v>1701</v>
      </c>
      <c r="C32" s="384"/>
      <c r="D32" s="384"/>
      <c r="E32" s="20" t="s">
        <v>1649</v>
      </c>
    </row>
    <row r="33" spans="2:5" ht="21">
      <c r="B33" s="385">
        <v>23</v>
      </c>
      <c r="C33" s="391" t="s">
        <v>591</v>
      </c>
      <c r="D33" s="393" t="s">
        <v>1702</v>
      </c>
      <c r="E33" s="25" t="s">
        <v>1703</v>
      </c>
    </row>
    <row r="34" spans="2:5">
      <c r="B34" s="386"/>
      <c r="C34" s="392"/>
      <c r="D34" s="394"/>
      <c r="E34" s="29" t="s">
        <v>1704</v>
      </c>
    </row>
    <row r="35" spans="2:5">
      <c r="B35" s="387"/>
      <c r="C35" s="392"/>
      <c r="D35" s="394"/>
      <c r="E35" s="29" t="s">
        <v>1705</v>
      </c>
    </row>
    <row r="36" spans="2:5">
      <c r="B36" s="388">
        <v>24</v>
      </c>
      <c r="C36" s="392" t="s">
        <v>29</v>
      </c>
      <c r="D36" s="394" t="s">
        <v>1706</v>
      </c>
      <c r="E36" s="29" t="s">
        <v>1707</v>
      </c>
    </row>
    <row r="37" spans="2:5">
      <c r="B37" s="386"/>
      <c r="C37" s="392"/>
      <c r="D37" s="394"/>
      <c r="E37" s="29" t="s">
        <v>1708</v>
      </c>
    </row>
    <row r="38" spans="2:5">
      <c r="B38" s="389"/>
      <c r="C38" s="395"/>
      <c r="D38" s="396"/>
      <c r="E38" s="38" t="s">
        <v>1709</v>
      </c>
    </row>
  </sheetData>
  <mergeCells count="16">
    <mergeCell ref="E19:E20"/>
    <mergeCell ref="C4:C8"/>
    <mergeCell ref="E4:E8"/>
    <mergeCell ref="B18:D18"/>
    <mergeCell ref="B19:B20"/>
    <mergeCell ref="B4:B8"/>
    <mergeCell ref="B28:D28"/>
    <mergeCell ref="B33:B35"/>
    <mergeCell ref="B36:B38"/>
    <mergeCell ref="C2:D2"/>
    <mergeCell ref="C19:C20"/>
    <mergeCell ref="C33:C35"/>
    <mergeCell ref="D33:D35"/>
    <mergeCell ref="C36:C38"/>
    <mergeCell ref="D36:D38"/>
    <mergeCell ref="B32:D32"/>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10" customWidth="1"/>
    <col min="9" max="9" width="8" customWidth="1"/>
  </cols>
  <sheetData>
    <row r="1" spans="2:12" ht="14.45">
      <c r="D1"/>
    </row>
    <row r="2" spans="2:12" ht="14.45">
      <c r="B2" s="412" t="s">
        <v>1710</v>
      </c>
      <c r="C2" s="412"/>
      <c r="D2" s="412"/>
      <c r="E2" s="412"/>
      <c r="F2" s="53"/>
      <c r="G2" s="1"/>
      <c r="H2" s="9"/>
    </row>
    <row r="3" spans="2:12" ht="14.45">
      <c r="B3" s="45" t="s">
        <v>1711</v>
      </c>
      <c r="C3" s="13"/>
      <c r="D3" s="13"/>
      <c r="E3" s="13"/>
      <c r="F3" s="13"/>
      <c r="G3" s="1"/>
      <c r="H3" s="402" t="s">
        <v>1712</v>
      </c>
      <c r="I3" s="402"/>
      <c r="J3" s="402"/>
      <c r="K3" s="402"/>
      <c r="L3" s="402"/>
    </row>
    <row r="4" spans="2:12" ht="14.45">
      <c r="B4" s="5" t="s">
        <v>1713</v>
      </c>
      <c r="C4" s="5" t="s">
        <v>1714</v>
      </c>
      <c r="D4" s="3" t="s">
        <v>1715</v>
      </c>
      <c r="E4" s="2" t="s">
        <v>1716</v>
      </c>
      <c r="F4" s="3" t="s">
        <v>1717</v>
      </c>
      <c r="G4" s="2" t="s">
        <v>1718</v>
      </c>
      <c r="H4" s="12">
        <v>15</v>
      </c>
      <c r="I4" s="12">
        <v>16</v>
      </c>
      <c r="J4" s="12">
        <v>22</v>
      </c>
      <c r="K4" s="12">
        <v>23</v>
      </c>
      <c r="L4" s="12">
        <v>24</v>
      </c>
    </row>
    <row r="5" spans="2:12" ht="14.45">
      <c r="B5" s="43" t="s">
        <v>1719</v>
      </c>
      <c r="C5" s="44" t="s">
        <v>1720</v>
      </c>
      <c r="D5" s="15">
        <v>0.3</v>
      </c>
      <c r="E5" s="14" t="s">
        <v>1721</v>
      </c>
      <c r="F5" s="55">
        <v>5</v>
      </c>
      <c r="G5" s="57" t="s">
        <v>1012</v>
      </c>
      <c r="H5" s="56" t="s">
        <v>57</v>
      </c>
      <c r="I5" s="16" t="s">
        <v>57</v>
      </c>
      <c r="J5" s="16" t="s">
        <v>118</v>
      </c>
      <c r="K5" s="16" t="s">
        <v>57</v>
      </c>
      <c r="L5" s="16" t="s">
        <v>57</v>
      </c>
    </row>
    <row r="6" spans="2:12" ht="14.45">
      <c r="B6" s="409" t="s">
        <v>1722</v>
      </c>
      <c r="C6" s="406" t="s">
        <v>1723</v>
      </c>
      <c r="D6" s="404">
        <v>0.2</v>
      </c>
      <c r="E6" s="54" t="s">
        <v>1724</v>
      </c>
      <c r="F6" s="55">
        <v>5</v>
      </c>
      <c r="G6" s="57"/>
      <c r="H6" s="405" t="s">
        <v>241</v>
      </c>
      <c r="I6" s="403" t="s">
        <v>1725</v>
      </c>
      <c r="J6" s="403" t="s">
        <v>1726</v>
      </c>
      <c r="K6" s="403" t="s">
        <v>241</v>
      </c>
      <c r="L6" s="403" t="s">
        <v>1726</v>
      </c>
    </row>
    <row r="7" spans="2:12" ht="21">
      <c r="B7" s="410"/>
      <c r="C7" s="407"/>
      <c r="D7" s="404"/>
      <c r="E7" s="54" t="s">
        <v>1727</v>
      </c>
      <c r="F7" s="55">
        <v>2.5</v>
      </c>
      <c r="G7" s="57" t="s">
        <v>1728</v>
      </c>
      <c r="H7" s="405"/>
      <c r="I7" s="403"/>
      <c r="J7" s="403"/>
      <c r="K7" s="403"/>
      <c r="L7" s="403"/>
    </row>
    <row r="8" spans="2:12" ht="14.45">
      <c r="B8" s="411"/>
      <c r="C8" s="408"/>
      <c r="D8" s="404"/>
      <c r="E8" s="54" t="s">
        <v>1729</v>
      </c>
      <c r="F8" s="55">
        <v>0</v>
      </c>
      <c r="G8" s="57"/>
      <c r="H8" s="405"/>
      <c r="I8" s="403"/>
      <c r="J8" s="403"/>
      <c r="K8" s="403"/>
      <c r="L8" s="403"/>
    </row>
    <row r="9" spans="2:12" ht="21" customHeight="1">
      <c r="B9" s="409" t="s">
        <v>1730</v>
      </c>
      <c r="C9" s="406" t="s">
        <v>1731</v>
      </c>
      <c r="D9" s="404">
        <v>0.15</v>
      </c>
      <c r="E9" s="54" t="s">
        <v>1732</v>
      </c>
      <c r="F9" s="55">
        <v>5</v>
      </c>
      <c r="G9" s="57"/>
      <c r="H9" s="405" t="s">
        <v>1726</v>
      </c>
      <c r="I9" s="403" t="s">
        <v>1726</v>
      </c>
      <c r="J9" s="403" t="s">
        <v>241</v>
      </c>
      <c r="K9" s="403" t="s">
        <v>1726</v>
      </c>
      <c r="L9" s="403" t="s">
        <v>1726</v>
      </c>
    </row>
    <row r="10" spans="2:12" ht="14.45">
      <c r="B10" s="410"/>
      <c r="C10" s="407"/>
      <c r="D10" s="404"/>
      <c r="E10" s="54" t="s">
        <v>1733</v>
      </c>
      <c r="F10" s="55">
        <v>2.5</v>
      </c>
      <c r="G10" s="57" t="s">
        <v>1734</v>
      </c>
      <c r="H10" s="405"/>
      <c r="I10" s="403"/>
      <c r="J10" s="403"/>
      <c r="K10" s="403"/>
      <c r="L10" s="403"/>
    </row>
    <row r="11" spans="2:12" ht="14.45">
      <c r="B11" s="411"/>
      <c r="C11" s="408"/>
      <c r="D11" s="404"/>
      <c r="E11" s="54" t="s">
        <v>1735</v>
      </c>
      <c r="F11" s="55">
        <v>0</v>
      </c>
      <c r="G11" s="57"/>
      <c r="H11" s="405"/>
      <c r="I11" s="403"/>
      <c r="J11" s="403"/>
      <c r="K11" s="403"/>
      <c r="L11" s="403"/>
    </row>
    <row r="12" spans="2:12" ht="21" customHeight="1">
      <c r="B12" s="409" t="s">
        <v>1736</v>
      </c>
      <c r="C12" s="406" t="s">
        <v>1737</v>
      </c>
      <c r="D12" s="404">
        <v>0.15</v>
      </c>
      <c r="E12" s="54" t="s">
        <v>1738</v>
      </c>
      <c r="F12" s="55">
        <v>5</v>
      </c>
      <c r="G12" s="57"/>
      <c r="H12" s="405" t="s">
        <v>1725</v>
      </c>
      <c r="I12" s="403" t="s">
        <v>1725</v>
      </c>
      <c r="J12" s="403" t="s">
        <v>1725</v>
      </c>
      <c r="K12" s="403" t="s">
        <v>1725</v>
      </c>
      <c r="L12" s="403" t="s">
        <v>1725</v>
      </c>
    </row>
    <row r="13" spans="2:12" ht="14.45">
      <c r="B13" s="410"/>
      <c r="C13" s="407"/>
      <c r="D13" s="404"/>
      <c r="E13" s="54" t="s">
        <v>1739</v>
      </c>
      <c r="F13" s="55">
        <v>2.5</v>
      </c>
      <c r="G13" s="57" t="s">
        <v>1740</v>
      </c>
      <c r="H13" s="405"/>
      <c r="I13" s="403"/>
      <c r="J13" s="403"/>
      <c r="K13" s="403"/>
      <c r="L13" s="403"/>
    </row>
    <row r="14" spans="2:12" ht="14.45">
      <c r="B14" s="411"/>
      <c r="C14" s="408"/>
      <c r="D14" s="404"/>
      <c r="E14" s="54" t="s">
        <v>1741</v>
      </c>
      <c r="F14" s="55">
        <v>0</v>
      </c>
      <c r="G14" s="57"/>
      <c r="H14" s="405"/>
      <c r="I14" s="403"/>
      <c r="J14" s="403"/>
      <c r="K14" s="403"/>
      <c r="L14" s="403"/>
    </row>
    <row r="15" spans="2:12" ht="14.45">
      <c r="B15" s="409" t="s">
        <v>1742</v>
      </c>
      <c r="C15" s="406" t="s">
        <v>1743</v>
      </c>
      <c r="D15" s="404">
        <v>0.1</v>
      </c>
      <c r="E15" s="54" t="s">
        <v>1744</v>
      </c>
      <c r="F15" s="55">
        <v>5</v>
      </c>
      <c r="G15" s="57"/>
      <c r="H15" s="405" t="s">
        <v>1726</v>
      </c>
      <c r="I15" s="403" t="s">
        <v>1725</v>
      </c>
      <c r="J15" s="403" t="s">
        <v>1725</v>
      </c>
      <c r="K15" s="403" t="s">
        <v>1725</v>
      </c>
      <c r="L15" s="403" t="s">
        <v>1725</v>
      </c>
    </row>
    <row r="16" spans="2:12" ht="14.45">
      <c r="B16" s="410"/>
      <c r="C16" s="407"/>
      <c r="D16" s="404"/>
      <c r="E16" s="54" t="s">
        <v>1745</v>
      </c>
      <c r="F16" s="55">
        <v>2.5</v>
      </c>
      <c r="G16" s="57" t="s">
        <v>1746</v>
      </c>
      <c r="H16" s="405"/>
      <c r="I16" s="403"/>
      <c r="J16" s="403"/>
      <c r="K16" s="403"/>
      <c r="L16" s="403"/>
    </row>
    <row r="17" spans="2:12" ht="14.45">
      <c r="B17" s="411"/>
      <c r="C17" s="408"/>
      <c r="D17" s="404"/>
      <c r="E17" s="54" t="s">
        <v>1747</v>
      </c>
      <c r="F17" s="55">
        <v>0</v>
      </c>
      <c r="G17" s="57"/>
      <c r="H17" s="405"/>
      <c r="I17" s="403"/>
      <c r="J17" s="403"/>
      <c r="K17" s="403"/>
      <c r="L17" s="403"/>
    </row>
    <row r="18" spans="2:12" ht="14.45">
      <c r="B18" s="409" t="s">
        <v>1748</v>
      </c>
      <c r="C18" s="406" t="s">
        <v>1749</v>
      </c>
      <c r="D18" s="404">
        <v>0.1</v>
      </c>
      <c r="E18" s="54" t="s">
        <v>1750</v>
      </c>
      <c r="F18" s="55">
        <v>5</v>
      </c>
      <c r="G18" s="57"/>
      <c r="H18" s="405" t="s">
        <v>1726</v>
      </c>
      <c r="I18" s="403" t="s">
        <v>1726</v>
      </c>
      <c r="J18" s="403" t="s">
        <v>1726</v>
      </c>
      <c r="K18" s="403" t="s">
        <v>1726</v>
      </c>
      <c r="L18" s="403" t="s">
        <v>1726</v>
      </c>
    </row>
    <row r="19" spans="2:12" ht="29.25" customHeight="1">
      <c r="B19" s="410"/>
      <c r="C19" s="407"/>
      <c r="D19" s="404"/>
      <c r="E19" s="54" t="s">
        <v>1751</v>
      </c>
      <c r="F19" s="55">
        <v>2.5</v>
      </c>
      <c r="G19" s="57" t="s">
        <v>1752</v>
      </c>
      <c r="H19" s="405"/>
      <c r="I19" s="403"/>
      <c r="J19" s="403"/>
      <c r="K19" s="403"/>
      <c r="L19" s="403"/>
    </row>
    <row r="20" spans="2:12" ht="14.45">
      <c r="B20" s="411"/>
      <c r="C20" s="408"/>
      <c r="D20" s="404"/>
      <c r="E20" s="54" t="s">
        <v>1753</v>
      </c>
      <c r="F20" s="55">
        <v>0</v>
      </c>
      <c r="G20" s="57"/>
      <c r="H20" s="405"/>
      <c r="I20" s="403"/>
      <c r="J20" s="403"/>
      <c r="K20" s="403"/>
      <c r="L20" s="403"/>
    </row>
    <row r="21" spans="2:12" ht="14.45">
      <c r="D21" s="17">
        <f>SUM(D5:D20)</f>
        <v>1</v>
      </c>
      <c r="F21" s="18">
        <f>SUM(F5:F20)</f>
        <v>42.5</v>
      </c>
      <c r="H21" s="19">
        <f>(IF(H12="Alto",$F$12,IF(H12="Medio",$F$13,IF(H12="Bajo",$F$14,"")))*$D$12)+
IF(H5="Si",$F$5,0)*$D$5+
(IF(H6="Alto",$F$6,IF(H6="Medio",$F7,IF(H6="Bajo",$F$8,"")))*$D$6)+
(IF(H15="Alto",$F$15,IF(H15="Medio",$F$16,IF(H15="Bajo",$F$17,"")))*$D$15)+
(IF(H18="Alto",$F$18,IF(H18="Medio",$F$19,IF(H18="Bajo",$F$20,"")))*$D$18)+
(IF(H9="Alto",$F9,IF(H9="Medio",$F$10,IF(H9="Bajo",$F$11,"")))*$D$9)</f>
        <v>1.375</v>
      </c>
      <c r="I21" s="19">
        <f>(IF(I12="Alto",$F$12,IF(I12="Medio",$F$13,IF(I12="Bajo",$F$14,"")))*$D$12)+
IF(I5="Si",$F$5,0)*$D$5+
(IF(I6="Alto",$F$6,IF(I6="Medio",$F7,IF(I6="Bajo",$F$8,"")))*$D$6)+
(IF(I15="Alto",$F$15,IF(I15="Medio",$F$16,IF(I15="Bajo",$F$17,"")))*$D$15)+
(IF(I18="Alto",$F$18,IF(I18="Medio",$F$19,IF(I18="Bajo",$F$20,"")))*$D$18)+
(IF(I9="Alto",$F9,IF(I9="Medio",$F$10,IF(I9="Bajo",$F$11,"")))*$D$9)</f>
        <v>1.125</v>
      </c>
      <c r="J21" s="19">
        <f>(IF(J12="Alto",$F$12,IF(J12="Medio",$F$13,IF(J12="Bajo",$F$14,"")))*$D$12)+
IF(J5="Si",$F$5,0)*$D$5+
(IF(J6="Alto",$F$6,IF(J6="Medio",$F7,IF(J6="Bajo",$F$8,"")))*$D$6)+
(IF(J15="Alto",$F$15,IF(J15="Medio",$F$16,IF(J15="Bajo",$F$17,"")))*$D$15)+
(IF(J18="Alto",$F$18,IF(J18="Medio",$F$19,IF(J18="Bajo",$F$20,"")))*$D$18)+
(IF(J9="Alto",$F9,IF(J9="Medio",$F$10,IF(J9="Bajo",$F$11,"")))*$D$9)</f>
        <v>2.875</v>
      </c>
      <c r="K21" s="19">
        <f t="shared" ref="K21:L21" si="0">(IF(K12="Alto",$F$12,IF(K12="Medio",$F$13,IF(K12="Bajo",$F$14,"")))*$D$12)+
IF(K5="Si",$F$5,0)*$D$5+
(IF(K6="Alto",$F$6,IF(K6="Medio",$F7,IF(K6="Bajo",$F$8,"")))*$D$6)+
(IF(K15="Alto",$F$15,IF(K15="Medio",$F$16,IF(K15="Bajo",$F$17,"")))*$D$15)+
(IF(K18="Alto",$F$18,IF(K18="Medio",$F$19,IF(K18="Bajo",$F$20,"")))*$D$18)+
(IF(K9="Alto",$F9,IF(K9="Medio",$F$10,IF(K9="Bajo",$F$11,"")))*$D$9)</f>
        <v>1.625</v>
      </c>
      <c r="L21" s="19">
        <f t="shared" si="0"/>
        <v>0.625</v>
      </c>
    </row>
    <row r="22" spans="2:12" ht="14.45">
      <c r="D22"/>
    </row>
    <row r="23" spans="2:12" ht="14.45">
      <c r="D23"/>
    </row>
    <row r="24" spans="2:12" ht="14.45">
      <c r="B24" s="6"/>
      <c r="C24" s="6"/>
      <c r="D24"/>
      <c r="E24" s="1"/>
      <c r="G24" s="1"/>
    </row>
    <row r="25" spans="2:12" ht="14.45">
      <c r="D25"/>
    </row>
    <row r="26" spans="2:12" ht="45" customHeight="1">
      <c r="B26" s="8"/>
      <c r="D26"/>
    </row>
  </sheetData>
  <mergeCells count="42">
    <mergeCell ref="B2:E2"/>
    <mergeCell ref="C6:C8"/>
    <mergeCell ref="C9:C11"/>
    <mergeCell ref="C12:C14"/>
    <mergeCell ref="C15:C17"/>
    <mergeCell ref="D12:D14"/>
    <mergeCell ref="D6:D8"/>
    <mergeCell ref="D15:D17"/>
    <mergeCell ref="C18:C20"/>
    <mergeCell ref="B6:B8"/>
    <mergeCell ref="B9:B11"/>
    <mergeCell ref="B12:B14"/>
    <mergeCell ref="B15:B17"/>
    <mergeCell ref="B18:B20"/>
    <mergeCell ref="D18:D20"/>
    <mergeCell ref="D9:D11"/>
    <mergeCell ref="H12:H14"/>
    <mergeCell ref="H6:H8"/>
    <mergeCell ref="H15:H17"/>
    <mergeCell ref="H18:H20"/>
    <mergeCell ref="H9:H11"/>
    <mergeCell ref="I6:I8"/>
    <mergeCell ref="I9:I11"/>
    <mergeCell ref="I12:I14"/>
    <mergeCell ref="I15:I17"/>
    <mergeCell ref="I18:I20"/>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4.45"/>
  <cols>
    <col min="1" max="1" width="6.42578125" customWidth="1"/>
    <col min="2" max="2" width="7" customWidth="1"/>
    <col min="4" max="4" width="23.85546875" customWidth="1"/>
    <col min="5" max="6" width="13.140625" style="39" customWidth="1"/>
    <col min="7" max="7" width="11.42578125" style="40" customWidth="1"/>
    <col min="8" max="11" width="10.85546875" style="40"/>
  </cols>
  <sheetData>
    <row r="3" spans="1:20">
      <c r="F3" s="39" t="s">
        <v>1754</v>
      </c>
      <c r="G3" s="40">
        <v>100</v>
      </c>
      <c r="H3" s="40">
        <v>100</v>
      </c>
      <c r="I3" s="40">
        <v>100</v>
      </c>
      <c r="J3" s="40">
        <v>100</v>
      </c>
      <c r="K3" s="40">
        <v>100</v>
      </c>
      <c r="N3" s="39"/>
      <c r="O3" s="41" t="s">
        <v>1754</v>
      </c>
      <c r="P3" s="42">
        <v>100</v>
      </c>
      <c r="Q3" s="42">
        <v>100</v>
      </c>
      <c r="R3" s="42">
        <v>100</v>
      </c>
      <c r="S3" s="42">
        <v>100</v>
      </c>
      <c r="T3" s="42">
        <v>100</v>
      </c>
    </row>
    <row r="4" spans="1:20" ht="29.1">
      <c r="E4" s="39" t="s">
        <v>1717</v>
      </c>
      <c r="F4" s="40" t="s">
        <v>1755</v>
      </c>
      <c r="G4" s="40" t="s">
        <v>1015</v>
      </c>
      <c r="H4" s="40" t="s">
        <v>1756</v>
      </c>
      <c r="I4" s="40" t="s">
        <v>1757</v>
      </c>
      <c r="J4" s="40" t="s">
        <v>1758</v>
      </c>
      <c r="K4" s="40" t="s">
        <v>1759</v>
      </c>
      <c r="N4" s="39" t="s">
        <v>1717</v>
      </c>
      <c r="O4" s="40" t="s">
        <v>1755</v>
      </c>
      <c r="P4" s="40" t="s">
        <v>1015</v>
      </c>
      <c r="Q4" s="40" t="s">
        <v>1756</v>
      </c>
      <c r="R4" s="40" t="s">
        <v>1757</v>
      </c>
      <c r="S4" s="40" t="s">
        <v>1758</v>
      </c>
      <c r="T4" s="40" t="s">
        <v>1759</v>
      </c>
    </row>
    <row r="5" spans="1:20">
      <c r="B5">
        <v>3</v>
      </c>
      <c r="C5" t="s">
        <v>1760</v>
      </c>
      <c r="D5" t="s">
        <v>1761</v>
      </c>
      <c r="E5" s="39">
        <v>5</v>
      </c>
      <c r="F5" s="39" t="s">
        <v>1762</v>
      </c>
      <c r="G5" s="40">
        <v>100</v>
      </c>
      <c r="J5" s="40">
        <v>100</v>
      </c>
      <c r="M5" t="s">
        <v>1761</v>
      </c>
      <c r="N5" s="39">
        <v>5</v>
      </c>
      <c r="O5" s="39" t="s">
        <v>1762</v>
      </c>
      <c r="P5" s="40">
        <v>100</v>
      </c>
      <c r="Q5" s="40"/>
      <c r="R5" s="40"/>
      <c r="S5" s="40">
        <v>80</v>
      </c>
      <c r="T5" s="40"/>
    </row>
    <row r="6" spans="1:20">
      <c r="A6">
        <v>1</v>
      </c>
      <c r="D6" t="s">
        <v>1763</v>
      </c>
      <c r="E6" s="39">
        <v>5</v>
      </c>
      <c r="F6" s="39" t="s">
        <v>1764</v>
      </c>
      <c r="H6" s="40">
        <v>100</v>
      </c>
      <c r="I6" s="40">
        <v>100</v>
      </c>
      <c r="M6" t="s">
        <v>1763</v>
      </c>
      <c r="N6" s="39">
        <v>5</v>
      </c>
      <c r="O6" s="39" t="s">
        <v>1764</v>
      </c>
      <c r="P6" s="40"/>
      <c r="Q6" s="40">
        <v>100</v>
      </c>
      <c r="R6" s="40">
        <v>100</v>
      </c>
      <c r="S6" s="40"/>
      <c r="T6" s="40"/>
    </row>
    <row r="7" spans="1:20">
      <c r="D7" t="s">
        <v>1765</v>
      </c>
      <c r="E7" s="39">
        <v>5</v>
      </c>
      <c r="G7" s="40" t="s">
        <v>1766</v>
      </c>
      <c r="K7" s="40" t="s">
        <v>1766</v>
      </c>
      <c r="M7" t="s">
        <v>1767</v>
      </c>
      <c r="N7" s="39">
        <v>4</v>
      </c>
      <c r="O7" s="39" t="s">
        <v>1764</v>
      </c>
      <c r="P7" s="40"/>
      <c r="Q7" s="40"/>
      <c r="R7" s="40"/>
      <c r="S7" s="40"/>
      <c r="T7" s="40">
        <v>100</v>
      </c>
    </row>
    <row r="8" spans="1:20">
      <c r="D8" t="s">
        <v>1768</v>
      </c>
      <c r="E8" s="39">
        <v>4</v>
      </c>
      <c r="F8" s="39" t="s">
        <v>1762</v>
      </c>
      <c r="G8" s="40" t="s">
        <v>1766</v>
      </c>
      <c r="K8" s="40" t="s">
        <v>1766</v>
      </c>
      <c r="M8" t="s">
        <v>1769</v>
      </c>
      <c r="N8" s="39">
        <v>4</v>
      </c>
      <c r="O8" s="39" t="s">
        <v>1764</v>
      </c>
      <c r="P8" s="40"/>
      <c r="Q8" s="40"/>
      <c r="R8" s="40"/>
      <c r="S8" s="40"/>
      <c r="T8" s="40"/>
    </row>
    <row r="9" spans="1:20">
      <c r="B9">
        <v>2</v>
      </c>
      <c r="C9" t="s">
        <v>1760</v>
      </c>
      <c r="D9" t="s">
        <v>1770</v>
      </c>
      <c r="E9" s="39">
        <v>4</v>
      </c>
      <c r="H9" s="40" t="s">
        <v>1766</v>
      </c>
      <c r="M9" t="s">
        <v>1771</v>
      </c>
      <c r="N9" s="39">
        <v>3</v>
      </c>
      <c r="O9" s="39" t="s">
        <v>1764</v>
      </c>
      <c r="P9" s="40"/>
      <c r="Q9" s="40"/>
      <c r="R9" s="40"/>
      <c r="S9" s="40"/>
      <c r="T9" s="40"/>
    </row>
    <row r="10" spans="1:20">
      <c r="A10">
        <v>2</v>
      </c>
      <c r="D10" t="s">
        <v>1772</v>
      </c>
      <c r="E10" s="39">
        <v>4</v>
      </c>
      <c r="F10" s="39" t="s">
        <v>1762</v>
      </c>
      <c r="G10" s="40" t="s">
        <v>1766</v>
      </c>
      <c r="M10" t="s">
        <v>1773</v>
      </c>
      <c r="N10" s="39">
        <v>3</v>
      </c>
      <c r="O10" s="39" t="s">
        <v>1764</v>
      </c>
      <c r="P10" s="40"/>
      <c r="Q10" s="40"/>
      <c r="R10" s="40"/>
      <c r="S10" s="40"/>
      <c r="T10" s="40"/>
    </row>
    <row r="11" spans="1:20">
      <c r="D11" t="s">
        <v>1774</v>
      </c>
      <c r="E11" s="39">
        <v>4</v>
      </c>
      <c r="G11" s="40" t="s">
        <v>1766</v>
      </c>
      <c r="H11" s="40" t="s">
        <v>1766</v>
      </c>
      <c r="M11" t="s">
        <v>1775</v>
      </c>
      <c r="N11" s="39">
        <v>2</v>
      </c>
      <c r="O11" s="39" t="s">
        <v>1758</v>
      </c>
      <c r="P11" s="40"/>
      <c r="Q11" s="40"/>
      <c r="R11" s="40"/>
      <c r="S11" s="40">
        <v>20</v>
      </c>
      <c r="T11" s="40"/>
    </row>
    <row r="12" spans="1:20">
      <c r="B12">
        <v>1</v>
      </c>
      <c r="C12" t="s">
        <v>1760</v>
      </c>
      <c r="D12" t="s">
        <v>1776</v>
      </c>
      <c r="E12" s="39">
        <v>4</v>
      </c>
      <c r="F12" s="39" t="s">
        <v>1762</v>
      </c>
      <c r="I12" s="40" t="s">
        <v>1766</v>
      </c>
      <c r="N12" s="39"/>
      <c r="O12" s="39"/>
      <c r="P12" s="40"/>
      <c r="Q12" s="40"/>
      <c r="R12" s="40"/>
      <c r="S12" s="40"/>
      <c r="T12" s="40"/>
    </row>
    <row r="13" spans="1:20">
      <c r="D13" t="s">
        <v>1777</v>
      </c>
      <c r="E13" s="39">
        <v>4</v>
      </c>
      <c r="G13" s="40" t="s">
        <v>1766</v>
      </c>
      <c r="N13" s="39"/>
      <c r="O13" s="39"/>
      <c r="P13" s="40"/>
      <c r="Q13" s="40"/>
      <c r="R13" s="40"/>
      <c r="S13" s="40"/>
      <c r="T13" s="40"/>
    </row>
    <row r="14" spans="1:20">
      <c r="A14">
        <v>10</v>
      </c>
      <c r="D14" t="s">
        <v>1767</v>
      </c>
      <c r="E14" s="39">
        <v>4</v>
      </c>
      <c r="K14" s="40">
        <v>100</v>
      </c>
    </row>
    <row r="15" spans="1:20">
      <c r="D15" t="s">
        <v>1769</v>
      </c>
      <c r="E15" s="39">
        <v>4</v>
      </c>
      <c r="K15" s="40" t="s">
        <v>1766</v>
      </c>
    </row>
    <row r="16" spans="1:20">
      <c r="D16" t="s">
        <v>1771</v>
      </c>
      <c r="E16" s="39">
        <v>3</v>
      </c>
      <c r="H16" s="40" t="s">
        <v>1766</v>
      </c>
      <c r="K16" s="40" t="s">
        <v>1766</v>
      </c>
    </row>
    <row r="17" spans="1:10">
      <c r="D17" t="s">
        <v>1773</v>
      </c>
      <c r="E17" s="39">
        <v>3</v>
      </c>
      <c r="G17" s="40" t="s">
        <v>1766</v>
      </c>
    </row>
    <row r="18" spans="1:10">
      <c r="D18" t="s">
        <v>1775</v>
      </c>
      <c r="E18" s="39">
        <v>3</v>
      </c>
      <c r="H18" s="40" t="s">
        <v>1766</v>
      </c>
    </row>
    <row r="19" spans="1:10">
      <c r="D19" t="s">
        <v>1778</v>
      </c>
      <c r="E19" s="39">
        <v>3</v>
      </c>
      <c r="G19" s="40" t="s">
        <v>1766</v>
      </c>
    </row>
    <row r="20" spans="1:10">
      <c r="A20">
        <v>3</v>
      </c>
      <c r="D20" t="s">
        <v>1779</v>
      </c>
      <c r="E20" s="39">
        <v>2</v>
      </c>
      <c r="G20" s="40" t="s">
        <v>1766</v>
      </c>
    </row>
    <row r="21" spans="1:10">
      <c r="D21" t="s">
        <v>1780</v>
      </c>
      <c r="E21" s="39">
        <v>2</v>
      </c>
      <c r="H21" s="40" t="s">
        <v>1766</v>
      </c>
    </row>
    <row r="22" spans="1:10">
      <c r="D22" t="s">
        <v>1781</v>
      </c>
      <c r="E22" s="39">
        <v>2</v>
      </c>
      <c r="H22" s="40" t="s">
        <v>1766</v>
      </c>
    </row>
    <row r="23" spans="1:10">
      <c r="D23" t="s">
        <v>1782</v>
      </c>
      <c r="E23" s="39">
        <v>2</v>
      </c>
      <c r="G23" s="40" t="s">
        <v>1766</v>
      </c>
    </row>
    <row r="24" spans="1:10">
      <c r="D24" t="s">
        <v>1783</v>
      </c>
      <c r="E24" s="39">
        <v>2</v>
      </c>
      <c r="J24" s="40" t="s">
        <v>1766</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4.45"/>
  <cols>
    <col min="2" max="2" width="14.140625" bestFit="1" customWidth="1"/>
  </cols>
  <sheetData>
    <row r="2" spans="2:3">
      <c r="B2" t="s">
        <v>1784</v>
      </c>
      <c r="C2" s="164">
        <v>3.55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tabColor theme="4" tint="-0.249977111117893"/>
  </sheetPr>
  <dimension ref="A1:XEU14"/>
  <sheetViews>
    <sheetView tabSelected="1" zoomScale="80" zoomScaleNormal="80" workbookViewId="0">
      <pane xSplit="6" ySplit="1" topLeftCell="I5" activePane="bottomRight" state="frozen"/>
      <selection pane="bottomRight" activeCell="N9" sqref="N9"/>
      <selection pane="bottomLeft"/>
      <selection pane="topRight"/>
    </sheetView>
  </sheetViews>
  <sheetFormatPr defaultColWidth="115.42578125" defaultRowHeight="15" customHeight="1"/>
  <cols>
    <col min="1" max="1" width="6.140625" style="10" customWidth="1"/>
    <col min="2" max="2" width="13.5703125" style="94" customWidth="1"/>
    <col min="3" max="3" width="19.42578125" style="94" customWidth="1"/>
    <col min="4" max="4" width="8.28515625" style="10" customWidth="1"/>
    <col min="5" max="5" width="17" style="10" customWidth="1"/>
    <col min="6" max="6" width="31.140625" style="10" customWidth="1"/>
    <col min="7" max="7" width="51" style="184" customWidth="1"/>
    <col min="8" max="8" width="17.42578125" style="10" customWidth="1"/>
    <col min="9" max="9" width="32.85546875" style="10" customWidth="1"/>
    <col min="10" max="11" width="42" style="10" customWidth="1"/>
    <col min="12" max="12" width="19" style="10" customWidth="1"/>
    <col min="13" max="13" width="19" style="58" customWidth="1"/>
    <col min="14" max="14" width="22.140625" style="10" customWidth="1"/>
    <col min="15" max="16" width="20.85546875" style="10" customWidth="1"/>
    <col min="17" max="17" width="19" style="10" customWidth="1"/>
    <col min="18" max="19" width="61.42578125" style="10" customWidth="1"/>
    <col min="20" max="20" width="54.140625" style="10" customWidth="1"/>
    <col min="21" max="21" width="66" style="10" customWidth="1"/>
    <col min="22" max="22" width="25.140625" style="10" customWidth="1"/>
    <col min="23" max="23" width="16.85546875" style="10" customWidth="1"/>
    <col min="24" max="24" width="44.28515625" style="10" customWidth="1"/>
    <col min="25" max="25" width="60.7109375" style="10" customWidth="1"/>
    <col min="26" max="26" width="63.140625" style="65" customWidth="1"/>
    <col min="27" max="27" width="13.7109375" style="65" customWidth="1"/>
    <col min="28" max="29" width="13.42578125" style="10" customWidth="1"/>
    <col min="30" max="30" width="20" style="10" customWidth="1"/>
    <col min="31" max="31" width="16.42578125" style="10" customWidth="1"/>
    <col min="32" max="33" width="17.140625" style="10" customWidth="1"/>
    <col min="34" max="34" width="18.28515625" style="59" customWidth="1"/>
    <col min="35" max="35" width="21.85546875" style="10" bestFit="1" customWidth="1"/>
    <col min="36" max="36" width="21.85546875" style="10" customWidth="1"/>
    <col min="37" max="37" width="54" style="10" customWidth="1"/>
    <col min="38" max="38" width="17.42578125" style="10" customWidth="1"/>
    <col min="39" max="41" width="20.85546875" style="10" customWidth="1"/>
    <col min="42" max="42" width="31.42578125" style="10" customWidth="1"/>
    <col min="43" max="44" width="39.42578125" style="10" customWidth="1"/>
    <col min="45" max="46" width="39.42578125" style="65" customWidth="1"/>
    <col min="47" max="47" width="39.42578125" style="10" customWidth="1"/>
    <col min="48" max="16384" width="115.42578125" style="10"/>
  </cols>
  <sheetData>
    <row r="1" spans="1:16375" s="59" customFormat="1" ht="43.5">
      <c r="A1" s="159" t="s">
        <v>5</v>
      </c>
      <c r="B1" s="160" t="s">
        <v>6</v>
      </c>
      <c r="C1" s="160" t="s">
        <v>7</v>
      </c>
      <c r="D1" s="159" t="s">
        <v>8</v>
      </c>
      <c r="E1" s="159" t="s">
        <v>9</v>
      </c>
      <c r="F1" s="159" t="s">
        <v>10</v>
      </c>
      <c r="G1" s="159" t="s">
        <v>11</v>
      </c>
      <c r="H1" s="159" t="s">
        <v>12</v>
      </c>
      <c r="I1" s="159" t="s">
        <v>13</v>
      </c>
      <c r="J1" s="277" t="s">
        <v>14</v>
      </c>
      <c r="K1" s="159" t="s">
        <v>171</v>
      </c>
      <c r="L1" s="277" t="s">
        <v>16</v>
      </c>
      <c r="M1" s="277" t="s">
        <v>17</v>
      </c>
      <c r="N1" s="159" t="s">
        <v>18</v>
      </c>
      <c r="O1" s="159" t="s">
        <v>172</v>
      </c>
      <c r="P1" s="159" t="s">
        <v>20</v>
      </c>
      <c r="Q1" s="277" t="s">
        <v>21</v>
      </c>
      <c r="R1" s="159" t="s">
        <v>22</v>
      </c>
      <c r="S1" s="159" t="s">
        <v>23</v>
      </c>
      <c r="T1" s="277" t="s">
        <v>24</v>
      </c>
      <c r="U1" s="277" t="s">
        <v>25</v>
      </c>
      <c r="V1" s="159" t="s">
        <v>26</v>
      </c>
      <c r="W1" s="159" t="s">
        <v>174</v>
      </c>
      <c r="X1" s="159" t="s">
        <v>591</v>
      </c>
      <c r="Y1" s="159" t="s">
        <v>29</v>
      </c>
      <c r="Z1" s="177" t="s">
        <v>175</v>
      </c>
      <c r="AA1" s="177" t="s">
        <v>31</v>
      </c>
      <c r="AB1" s="175" t="s">
        <v>33</v>
      </c>
      <c r="AC1" s="175" t="s">
        <v>34</v>
      </c>
      <c r="AD1" s="225" t="s">
        <v>35</v>
      </c>
      <c r="AE1" s="208" t="s">
        <v>36</v>
      </c>
      <c r="AF1" s="176" t="s">
        <v>37</v>
      </c>
      <c r="AG1" s="176" t="s">
        <v>38</v>
      </c>
      <c r="AH1" s="208" t="s">
        <v>39</v>
      </c>
      <c r="AI1" s="210" t="s">
        <v>40</v>
      </c>
      <c r="AJ1" s="211" t="s">
        <v>41</v>
      </c>
      <c r="AK1" s="208" t="s">
        <v>42</v>
      </c>
      <c r="AL1" s="208" t="s">
        <v>43</v>
      </c>
      <c r="AM1" s="208" t="s">
        <v>1785</v>
      </c>
      <c r="AN1" s="166" t="s">
        <v>178</v>
      </c>
      <c r="AO1" s="208" t="s">
        <v>45</v>
      </c>
      <c r="AP1" s="208" t="s">
        <v>46</v>
      </c>
      <c r="AQ1" s="218" t="s">
        <v>593</v>
      </c>
      <c r="AR1" s="218" t="s">
        <v>46</v>
      </c>
      <c r="AS1" s="278" t="s">
        <v>1786</v>
      </c>
      <c r="AT1" s="278" t="s">
        <v>1787</v>
      </c>
    </row>
    <row r="2" spans="1:16375" s="198" customFormat="1" ht="101.45">
      <c r="A2" s="244">
        <v>29</v>
      </c>
      <c r="B2" s="253">
        <v>46048.633969907401</v>
      </c>
      <c r="C2" s="253">
        <v>46048.662210648203</v>
      </c>
      <c r="D2" s="244" t="s">
        <v>735</v>
      </c>
      <c r="E2" s="244" t="s">
        <v>736</v>
      </c>
      <c r="F2" s="244" t="s">
        <v>1788</v>
      </c>
      <c r="G2" s="244" t="s">
        <v>1340</v>
      </c>
      <c r="H2" s="244" t="s">
        <v>52</v>
      </c>
      <c r="I2" s="244" t="s">
        <v>739</v>
      </c>
      <c r="J2" s="279" t="s">
        <v>1789</v>
      </c>
      <c r="K2" s="244"/>
      <c r="L2" s="253" t="s">
        <v>56</v>
      </c>
      <c r="M2" s="253">
        <v>46113</v>
      </c>
      <c r="N2" s="244" t="s">
        <v>57</v>
      </c>
      <c r="O2" s="244">
        <v>76553</v>
      </c>
      <c r="P2" s="244"/>
      <c r="Q2" s="279" t="s">
        <v>58</v>
      </c>
      <c r="R2" s="244" t="s">
        <v>1333</v>
      </c>
      <c r="S2" s="244"/>
      <c r="T2" s="244" t="s">
        <v>1334</v>
      </c>
      <c r="U2" s="279" t="s">
        <v>62</v>
      </c>
      <c r="V2" s="244" t="s">
        <v>750</v>
      </c>
      <c r="W2" s="244" t="s">
        <v>64</v>
      </c>
      <c r="X2" s="281" t="s">
        <v>86</v>
      </c>
      <c r="Y2" s="244" t="s">
        <v>1341</v>
      </c>
      <c r="Z2" s="244" t="s">
        <v>1342</v>
      </c>
      <c r="AA2" s="244"/>
      <c r="AB2" s="267" t="s">
        <v>860</v>
      </c>
      <c r="AC2" s="267"/>
      <c r="AD2" s="267"/>
      <c r="AE2" s="267"/>
      <c r="AF2" s="267"/>
      <c r="AG2" s="267"/>
      <c r="AH2" s="267">
        <v>1</v>
      </c>
      <c r="AI2" s="268">
        <v>8500</v>
      </c>
      <c r="AJ2" s="269">
        <f>AI2*3.55</f>
        <v>30175</v>
      </c>
      <c r="AK2" s="270" t="s">
        <v>1164</v>
      </c>
      <c r="AL2" s="269"/>
      <c r="AM2" s="267"/>
      <c r="AN2" s="267"/>
      <c r="AO2" s="267" t="s">
        <v>605</v>
      </c>
      <c r="AP2" s="267"/>
      <c r="AQ2" s="271"/>
      <c r="AR2" s="267"/>
      <c r="AS2" s="282"/>
      <c r="AT2" s="358"/>
      <c r="AU2" s="276"/>
      <c r="AV2" s="161"/>
      <c r="AW2" s="161"/>
      <c r="AX2" s="194"/>
      <c r="AY2" s="161"/>
      <c r="AZ2" s="193"/>
      <c r="BA2" s="194"/>
      <c r="BB2" s="161"/>
      <c r="BC2" s="161"/>
      <c r="BD2" s="161"/>
      <c r="BE2" s="194"/>
      <c r="BF2" s="194"/>
      <c r="BG2" s="194"/>
      <c r="BH2" s="161"/>
      <c r="BI2" s="194"/>
      <c r="BJ2" s="194"/>
      <c r="BK2" s="161"/>
      <c r="BL2" s="194"/>
      <c r="BM2" s="194"/>
      <c r="BN2" s="194"/>
      <c r="BO2" s="194"/>
      <c r="BP2" s="194"/>
      <c r="BQ2" s="194"/>
      <c r="BR2" s="161"/>
      <c r="BS2" s="195"/>
      <c r="BT2" s="195"/>
      <c r="BU2" s="161"/>
      <c r="BV2" s="161"/>
      <c r="BW2" s="161"/>
      <c r="BX2" s="161"/>
      <c r="BY2" s="196"/>
      <c r="BZ2" s="196"/>
      <c r="CA2" s="192"/>
      <c r="CB2" s="181"/>
      <c r="CC2" s="180"/>
      <c r="CD2" s="197"/>
      <c r="CE2" s="179"/>
      <c r="CF2" s="196"/>
      <c r="CG2" s="179"/>
      <c r="CH2" s="196"/>
      <c r="CI2" s="196"/>
      <c r="CJ2" s="161"/>
      <c r="CK2" s="193"/>
      <c r="CL2" s="193"/>
      <c r="CM2" s="194"/>
      <c r="CN2" s="194"/>
      <c r="CO2" s="194"/>
      <c r="CP2" s="194"/>
      <c r="CQ2" s="194"/>
      <c r="CR2" s="161"/>
      <c r="CS2" s="161"/>
      <c r="CT2" s="194"/>
      <c r="CU2" s="161"/>
      <c r="CV2" s="193"/>
      <c r="CW2" s="194"/>
      <c r="CX2" s="161"/>
      <c r="CY2" s="161"/>
      <c r="CZ2" s="161"/>
      <c r="DA2" s="194"/>
      <c r="DB2" s="194"/>
      <c r="DC2" s="194"/>
      <c r="DD2" s="161"/>
      <c r="DE2" s="194"/>
      <c r="DF2" s="194"/>
      <c r="DG2" s="161"/>
      <c r="DH2" s="194"/>
      <c r="DI2" s="194"/>
      <c r="DJ2" s="194"/>
      <c r="DK2" s="194"/>
      <c r="DL2" s="194"/>
      <c r="DM2" s="194"/>
      <c r="DN2" s="161"/>
      <c r="DO2" s="195"/>
      <c r="DP2" s="195"/>
      <c r="DQ2" s="161"/>
      <c r="DR2" s="161"/>
      <c r="DS2" s="161"/>
      <c r="DT2" s="161"/>
      <c r="DU2" s="196"/>
      <c r="DV2" s="196"/>
      <c r="DW2" s="192"/>
      <c r="DX2" s="181"/>
      <c r="DY2" s="180"/>
      <c r="DZ2" s="197"/>
      <c r="EA2" s="179"/>
      <c r="EB2" s="196"/>
      <c r="EC2" s="179"/>
      <c r="ED2" s="196"/>
      <c r="EE2" s="196"/>
      <c r="EF2" s="161"/>
      <c r="EG2" s="193"/>
      <c r="EH2" s="193"/>
      <c r="EI2" s="194"/>
      <c r="EJ2" s="194"/>
      <c r="EK2" s="194"/>
      <c r="EL2" s="194"/>
      <c r="EM2" s="194"/>
      <c r="EN2" s="161"/>
      <c r="EO2" s="161"/>
      <c r="EP2" s="194"/>
      <c r="EQ2" s="161"/>
      <c r="ER2" s="193"/>
      <c r="ES2" s="194"/>
      <c r="ET2" s="161"/>
      <c r="EU2" s="161"/>
      <c r="EV2" s="161"/>
      <c r="EW2" s="194"/>
      <c r="EX2" s="194"/>
      <c r="EY2" s="194"/>
      <c r="EZ2" s="161"/>
      <c r="FA2" s="194"/>
      <c r="FB2" s="194"/>
      <c r="FC2" s="161"/>
      <c r="FD2" s="194"/>
      <c r="FE2" s="194"/>
      <c r="FF2" s="194"/>
      <c r="FG2" s="194"/>
      <c r="FH2" s="194"/>
      <c r="FI2" s="194"/>
      <c r="FJ2" s="161"/>
      <c r="FK2" s="195"/>
      <c r="FL2" s="195"/>
      <c r="FM2" s="161"/>
      <c r="FN2" s="161"/>
      <c r="FO2" s="161"/>
      <c r="FP2" s="161"/>
      <c r="FQ2" s="196"/>
      <c r="FR2" s="196"/>
      <c r="FS2" s="192"/>
      <c r="FT2" s="181"/>
      <c r="FU2" s="180"/>
      <c r="FV2" s="197"/>
      <c r="FW2" s="179"/>
      <c r="FX2" s="196"/>
      <c r="FY2" s="179"/>
      <c r="FZ2" s="196"/>
      <c r="GA2" s="196"/>
      <c r="GB2" s="161"/>
      <c r="GC2" s="193"/>
      <c r="GD2" s="193"/>
      <c r="GE2" s="194"/>
      <c r="GF2" s="194"/>
      <c r="GG2" s="194"/>
      <c r="GH2" s="194"/>
      <c r="GI2" s="194"/>
      <c r="GJ2" s="161"/>
      <c r="GK2" s="161"/>
      <c r="GL2" s="194"/>
      <c r="GM2" s="161"/>
      <c r="GN2" s="193"/>
      <c r="GO2" s="194"/>
      <c r="GP2" s="161"/>
      <c r="GQ2" s="161"/>
      <c r="GR2" s="161"/>
      <c r="GS2" s="194"/>
      <c r="GT2" s="194"/>
      <c r="GU2" s="194"/>
      <c r="GV2" s="161"/>
      <c r="GW2" s="194"/>
      <c r="GX2" s="194"/>
      <c r="GY2" s="161"/>
      <c r="GZ2" s="194"/>
      <c r="HA2" s="194"/>
      <c r="HB2" s="194"/>
      <c r="HC2" s="194"/>
      <c r="HD2" s="194"/>
      <c r="HE2" s="194"/>
      <c r="HF2" s="161"/>
      <c r="HG2" s="195"/>
      <c r="HH2" s="195"/>
      <c r="HI2" s="161"/>
      <c r="HJ2" s="161"/>
      <c r="HK2" s="161"/>
      <c r="HL2" s="161"/>
      <c r="HM2" s="196"/>
      <c r="HN2" s="196"/>
      <c r="HO2" s="192"/>
      <c r="HP2" s="181"/>
      <c r="HQ2" s="180"/>
      <c r="HR2" s="197"/>
      <c r="HS2" s="179"/>
      <c r="HT2" s="196"/>
      <c r="HU2" s="179"/>
      <c r="HV2" s="196"/>
      <c r="HW2" s="196"/>
      <c r="HX2" s="161"/>
      <c r="HY2" s="193"/>
      <c r="HZ2" s="193"/>
      <c r="IA2" s="194"/>
      <c r="IB2" s="194"/>
      <c r="IC2" s="194"/>
      <c r="ID2" s="194"/>
      <c r="IE2" s="194"/>
      <c r="IF2" s="161"/>
      <c r="IG2" s="161"/>
      <c r="IH2" s="194"/>
      <c r="II2" s="161"/>
      <c r="IJ2" s="193"/>
      <c r="IK2" s="194"/>
      <c r="IL2" s="161"/>
      <c r="IM2" s="161"/>
      <c r="IN2" s="161"/>
      <c r="IO2" s="194"/>
      <c r="IP2" s="194"/>
      <c r="IQ2" s="194"/>
      <c r="IR2" s="161"/>
      <c r="IS2" s="194"/>
      <c r="IT2" s="194"/>
      <c r="IU2" s="161"/>
      <c r="IV2" s="194"/>
      <c r="IW2" s="194"/>
      <c r="IX2" s="194"/>
      <c r="IY2" s="194"/>
      <c r="IZ2" s="194"/>
      <c r="JA2" s="194"/>
      <c r="JB2" s="161"/>
      <c r="JC2" s="195"/>
      <c r="JD2" s="195"/>
      <c r="JE2" s="161"/>
      <c r="JF2" s="161"/>
      <c r="JG2" s="161"/>
      <c r="JH2" s="161"/>
      <c r="JI2" s="196"/>
      <c r="JJ2" s="196"/>
      <c r="JK2" s="192"/>
      <c r="JL2" s="181"/>
      <c r="JM2" s="180"/>
      <c r="JN2" s="197"/>
      <c r="JO2" s="179"/>
      <c r="JP2" s="196"/>
      <c r="JQ2" s="179"/>
      <c r="JR2" s="196"/>
      <c r="JS2" s="196"/>
      <c r="JT2" s="161"/>
      <c r="JU2" s="193"/>
      <c r="JV2" s="193"/>
      <c r="JW2" s="194"/>
      <c r="JX2" s="194"/>
      <c r="JY2" s="194"/>
      <c r="JZ2" s="194"/>
      <c r="KA2" s="194"/>
      <c r="KB2" s="161"/>
      <c r="KC2" s="161"/>
      <c r="KD2" s="194"/>
      <c r="KE2" s="161"/>
      <c r="KF2" s="193"/>
      <c r="KG2" s="194"/>
      <c r="KH2" s="161"/>
      <c r="KI2" s="161"/>
      <c r="KJ2" s="161"/>
      <c r="KK2" s="194"/>
      <c r="KL2" s="194"/>
      <c r="KM2" s="194"/>
      <c r="KN2" s="161"/>
      <c r="KO2" s="194"/>
      <c r="KP2" s="194"/>
      <c r="KQ2" s="161"/>
      <c r="KR2" s="194"/>
      <c r="KS2" s="194"/>
      <c r="KT2" s="194"/>
      <c r="KU2" s="194"/>
      <c r="KV2" s="194"/>
      <c r="KW2" s="194"/>
      <c r="KX2" s="161"/>
      <c r="KY2" s="195"/>
      <c r="KZ2" s="195"/>
      <c r="LA2" s="161"/>
      <c r="LB2" s="161"/>
      <c r="LC2" s="161"/>
      <c r="LD2" s="161"/>
      <c r="LE2" s="196"/>
      <c r="LF2" s="196"/>
      <c r="LG2" s="192"/>
      <c r="LH2" s="181"/>
      <c r="LI2" s="180"/>
      <c r="LJ2" s="197"/>
      <c r="LK2" s="179"/>
      <c r="LL2" s="196"/>
      <c r="LM2" s="179"/>
      <c r="LN2" s="196"/>
      <c r="LO2" s="196"/>
      <c r="LP2" s="161"/>
      <c r="LQ2" s="193"/>
      <c r="LR2" s="193"/>
      <c r="LS2" s="194"/>
      <c r="LT2" s="194"/>
      <c r="LU2" s="194"/>
      <c r="LV2" s="194"/>
      <c r="LW2" s="194"/>
      <c r="LX2" s="161"/>
      <c r="LY2" s="161"/>
      <c r="LZ2" s="194"/>
      <c r="MA2" s="161"/>
      <c r="MB2" s="193"/>
      <c r="MC2" s="194"/>
      <c r="MD2" s="161"/>
      <c r="ME2" s="161"/>
      <c r="MF2" s="161"/>
      <c r="MG2" s="194"/>
      <c r="MH2" s="194"/>
      <c r="MI2" s="194"/>
      <c r="MJ2" s="161"/>
      <c r="MK2" s="194"/>
      <c r="ML2" s="194"/>
      <c r="MM2" s="161"/>
      <c r="MN2" s="194"/>
      <c r="MO2" s="194"/>
      <c r="MP2" s="194"/>
      <c r="MQ2" s="194"/>
      <c r="MR2" s="194"/>
      <c r="MS2" s="194"/>
      <c r="MT2" s="161"/>
      <c r="MU2" s="195"/>
      <c r="MV2" s="195"/>
      <c r="MW2" s="161"/>
      <c r="MX2" s="161"/>
      <c r="MY2" s="161"/>
      <c r="MZ2" s="161"/>
      <c r="NA2" s="196"/>
      <c r="NB2" s="196"/>
      <c r="NC2" s="192"/>
      <c r="ND2" s="181"/>
      <c r="NE2" s="180"/>
      <c r="NF2" s="197"/>
      <c r="NG2" s="179"/>
      <c r="NH2" s="196"/>
      <c r="NI2" s="179"/>
      <c r="NJ2" s="196"/>
      <c r="NK2" s="196"/>
      <c r="NL2" s="161"/>
      <c r="NM2" s="193"/>
      <c r="NN2" s="193"/>
      <c r="NO2" s="194"/>
      <c r="NP2" s="194"/>
      <c r="NQ2" s="194"/>
      <c r="NR2" s="194"/>
      <c r="NS2" s="194"/>
      <c r="NT2" s="161"/>
      <c r="NU2" s="161"/>
      <c r="NV2" s="194"/>
      <c r="NW2" s="161"/>
      <c r="NX2" s="193"/>
      <c r="NY2" s="194"/>
      <c r="NZ2" s="161"/>
      <c r="OA2" s="161"/>
      <c r="OB2" s="161"/>
      <c r="OC2" s="194"/>
      <c r="OD2" s="194"/>
      <c r="OE2" s="194"/>
      <c r="OF2" s="161"/>
      <c r="OG2" s="194"/>
      <c r="OH2" s="194"/>
      <c r="OI2" s="161"/>
      <c r="OJ2" s="194"/>
      <c r="OK2" s="194"/>
      <c r="OL2" s="194"/>
      <c r="OM2" s="194"/>
      <c r="ON2" s="194"/>
      <c r="OO2" s="194"/>
      <c r="OP2" s="161"/>
      <c r="OQ2" s="195"/>
      <c r="OR2" s="195"/>
      <c r="OS2" s="161"/>
      <c r="OT2" s="161"/>
      <c r="OU2" s="161"/>
      <c r="OV2" s="161"/>
      <c r="OW2" s="196"/>
      <c r="OX2" s="196"/>
      <c r="OY2" s="192"/>
      <c r="OZ2" s="181"/>
      <c r="PA2" s="180"/>
      <c r="PB2" s="197"/>
      <c r="PC2" s="179"/>
      <c r="PD2" s="196"/>
      <c r="PE2" s="179"/>
      <c r="PF2" s="196"/>
      <c r="PG2" s="196"/>
      <c r="PH2" s="161"/>
      <c r="PI2" s="193"/>
      <c r="PJ2" s="193"/>
      <c r="PK2" s="194"/>
      <c r="PL2" s="194"/>
      <c r="PM2" s="194"/>
      <c r="PN2" s="194"/>
      <c r="PO2" s="194"/>
      <c r="PP2" s="161"/>
      <c r="PQ2" s="161"/>
      <c r="PR2" s="194"/>
      <c r="PS2" s="161"/>
      <c r="PT2" s="193"/>
      <c r="PU2" s="194"/>
      <c r="PV2" s="161"/>
      <c r="PW2" s="161"/>
      <c r="PX2" s="161"/>
      <c r="PY2" s="194"/>
      <c r="PZ2" s="194"/>
      <c r="QA2" s="194"/>
      <c r="QB2" s="161"/>
      <c r="QC2" s="194"/>
      <c r="QD2" s="194"/>
      <c r="QE2" s="161"/>
      <c r="QF2" s="194"/>
      <c r="QG2" s="194"/>
      <c r="QH2" s="194"/>
      <c r="QI2" s="194"/>
      <c r="QJ2" s="194"/>
      <c r="QK2" s="194"/>
      <c r="QL2" s="161"/>
      <c r="QM2" s="195"/>
      <c r="QN2" s="195"/>
      <c r="QO2" s="161"/>
      <c r="QP2" s="161"/>
      <c r="QQ2" s="161"/>
      <c r="QR2" s="161"/>
      <c r="QS2" s="196"/>
      <c r="QT2" s="196"/>
      <c r="QU2" s="192"/>
      <c r="QV2" s="181"/>
      <c r="QW2" s="180"/>
      <c r="QX2" s="197"/>
      <c r="QY2" s="179"/>
      <c r="QZ2" s="196"/>
      <c r="RA2" s="179"/>
      <c r="RB2" s="196"/>
      <c r="RC2" s="196"/>
      <c r="RD2" s="161"/>
      <c r="RE2" s="193"/>
      <c r="RF2" s="193"/>
      <c r="RG2" s="194"/>
      <c r="RH2" s="194"/>
      <c r="RI2" s="194"/>
      <c r="RJ2" s="194"/>
      <c r="RK2" s="194"/>
      <c r="RL2" s="161"/>
      <c r="RM2" s="161"/>
      <c r="RN2" s="194"/>
      <c r="RO2" s="161"/>
      <c r="RP2" s="193"/>
      <c r="RQ2" s="194"/>
      <c r="RR2" s="161"/>
      <c r="RS2" s="161"/>
      <c r="RT2" s="161"/>
      <c r="RU2" s="194"/>
      <c r="RV2" s="194"/>
      <c r="RW2" s="194"/>
      <c r="RX2" s="161"/>
      <c r="RY2" s="194"/>
      <c r="RZ2" s="194"/>
      <c r="SA2" s="161"/>
      <c r="SB2" s="194"/>
      <c r="SC2" s="194"/>
      <c r="SD2" s="194"/>
      <c r="SE2" s="194"/>
      <c r="SF2" s="194"/>
      <c r="SG2" s="194"/>
      <c r="SH2" s="161"/>
      <c r="SI2" s="195"/>
      <c r="SJ2" s="195"/>
      <c r="SK2" s="161"/>
      <c r="SL2" s="161"/>
      <c r="SM2" s="161"/>
      <c r="SN2" s="161"/>
      <c r="SO2" s="196"/>
      <c r="SP2" s="196"/>
      <c r="SQ2" s="192"/>
      <c r="SR2" s="181"/>
      <c r="SS2" s="180"/>
      <c r="ST2" s="197"/>
      <c r="SU2" s="179"/>
      <c r="SV2" s="196"/>
      <c r="SW2" s="179"/>
      <c r="SX2" s="196"/>
      <c r="SY2" s="196"/>
      <c r="SZ2" s="161"/>
      <c r="TA2" s="193"/>
      <c r="TB2" s="193"/>
      <c r="TC2" s="194"/>
      <c r="TD2" s="194"/>
      <c r="TE2" s="194"/>
      <c r="TF2" s="194"/>
      <c r="TG2" s="194"/>
      <c r="TH2" s="161"/>
      <c r="TI2" s="161"/>
      <c r="TJ2" s="194"/>
      <c r="TK2" s="161"/>
      <c r="TL2" s="193"/>
      <c r="TM2" s="194"/>
      <c r="TN2" s="161"/>
      <c r="TO2" s="161"/>
      <c r="TP2" s="161"/>
      <c r="TQ2" s="194"/>
      <c r="TR2" s="194"/>
      <c r="TS2" s="194"/>
      <c r="TT2" s="161"/>
      <c r="TU2" s="194"/>
      <c r="TV2" s="194"/>
      <c r="TW2" s="161"/>
      <c r="TX2" s="194"/>
      <c r="TY2" s="194"/>
      <c r="TZ2" s="194"/>
      <c r="UA2" s="194"/>
      <c r="UB2" s="194"/>
      <c r="UC2" s="194"/>
      <c r="UD2" s="161"/>
      <c r="UE2" s="195"/>
      <c r="UF2" s="195"/>
      <c r="UG2" s="161"/>
      <c r="UH2" s="161"/>
      <c r="UI2" s="161"/>
      <c r="UJ2" s="161"/>
      <c r="UK2" s="196"/>
      <c r="UL2" s="196"/>
      <c r="UM2" s="192"/>
      <c r="UN2" s="181"/>
      <c r="UO2" s="180"/>
      <c r="UP2" s="197"/>
      <c r="UQ2" s="179"/>
      <c r="UR2" s="196"/>
      <c r="US2" s="179"/>
      <c r="UT2" s="196"/>
      <c r="UU2" s="196"/>
      <c r="UV2" s="161"/>
      <c r="UW2" s="193"/>
      <c r="UX2" s="193"/>
      <c r="UY2" s="194"/>
      <c r="UZ2" s="194"/>
      <c r="VA2" s="194"/>
      <c r="VB2" s="194"/>
      <c r="VC2" s="194"/>
      <c r="VD2" s="161"/>
      <c r="VE2" s="161"/>
      <c r="VF2" s="194"/>
      <c r="VG2" s="161"/>
      <c r="VH2" s="193"/>
      <c r="VI2" s="194"/>
      <c r="VJ2" s="161"/>
      <c r="VK2" s="161"/>
      <c r="VL2" s="161"/>
      <c r="VM2" s="194"/>
      <c r="VN2" s="194"/>
      <c r="VO2" s="194"/>
      <c r="VP2" s="161"/>
      <c r="VQ2" s="194"/>
      <c r="VR2" s="194"/>
      <c r="VS2" s="161"/>
      <c r="VT2" s="194"/>
      <c r="VU2" s="194"/>
      <c r="VV2" s="194"/>
      <c r="VW2" s="194"/>
      <c r="VX2" s="194"/>
      <c r="VY2" s="194"/>
      <c r="VZ2" s="161"/>
      <c r="WA2" s="195"/>
      <c r="WB2" s="195"/>
      <c r="WC2" s="161"/>
      <c r="WD2" s="161"/>
      <c r="WE2" s="161"/>
      <c r="WF2" s="161"/>
      <c r="WG2" s="196"/>
      <c r="WH2" s="196"/>
      <c r="WI2" s="192"/>
      <c r="WJ2" s="181"/>
      <c r="WK2" s="180"/>
      <c r="WL2" s="197"/>
      <c r="WM2" s="179"/>
      <c r="WN2" s="196"/>
      <c r="WO2" s="179"/>
      <c r="WP2" s="196"/>
      <c r="WQ2" s="196"/>
      <c r="WR2" s="161"/>
      <c r="WS2" s="193"/>
      <c r="WT2" s="193"/>
      <c r="WU2" s="194"/>
      <c r="WV2" s="194"/>
      <c r="WW2" s="194"/>
      <c r="WX2" s="194"/>
      <c r="WY2" s="194"/>
      <c r="WZ2" s="161"/>
      <c r="XA2" s="161"/>
      <c r="XB2" s="194"/>
      <c r="XC2" s="161"/>
      <c r="XD2" s="193"/>
      <c r="XE2" s="194"/>
      <c r="XF2" s="161"/>
      <c r="XG2" s="161"/>
      <c r="XH2" s="161"/>
      <c r="XI2" s="194"/>
      <c r="XJ2" s="194"/>
      <c r="XK2" s="194"/>
      <c r="XL2" s="161"/>
      <c r="XM2" s="194"/>
      <c r="XN2" s="194"/>
      <c r="XO2" s="161"/>
      <c r="XP2" s="194"/>
      <c r="XQ2" s="194"/>
      <c r="XR2" s="194"/>
      <c r="XS2" s="194"/>
      <c r="XT2" s="194"/>
      <c r="XU2" s="194"/>
      <c r="XV2" s="161"/>
      <c r="XW2" s="195"/>
      <c r="XX2" s="195"/>
      <c r="XY2" s="161"/>
      <c r="XZ2" s="161"/>
      <c r="YA2" s="161"/>
      <c r="YB2" s="161"/>
      <c r="YC2" s="196"/>
      <c r="YD2" s="196"/>
      <c r="YE2" s="192"/>
      <c r="YF2" s="181"/>
      <c r="YG2" s="180"/>
      <c r="YH2" s="197"/>
      <c r="YI2" s="179"/>
      <c r="YJ2" s="196"/>
      <c r="YK2" s="179"/>
      <c r="YL2" s="196"/>
      <c r="YM2" s="196"/>
      <c r="YN2" s="161"/>
      <c r="YO2" s="193"/>
      <c r="YP2" s="193"/>
      <c r="YQ2" s="194"/>
      <c r="YR2" s="194"/>
      <c r="YS2" s="194"/>
      <c r="YT2" s="194"/>
      <c r="YU2" s="194"/>
      <c r="YV2" s="161"/>
      <c r="YW2" s="161"/>
      <c r="YX2" s="194"/>
      <c r="YY2" s="161"/>
      <c r="YZ2" s="193"/>
      <c r="ZA2" s="194"/>
      <c r="ZB2" s="161"/>
      <c r="ZC2" s="161"/>
      <c r="ZD2" s="161"/>
      <c r="ZE2" s="194"/>
      <c r="ZF2" s="194"/>
      <c r="ZG2" s="194"/>
      <c r="ZH2" s="161"/>
      <c r="ZI2" s="194"/>
      <c r="ZJ2" s="194"/>
      <c r="ZK2" s="161"/>
      <c r="ZL2" s="194"/>
      <c r="ZM2" s="194"/>
      <c r="ZN2" s="194"/>
      <c r="ZO2" s="194"/>
      <c r="ZP2" s="194"/>
      <c r="ZQ2" s="194"/>
      <c r="ZR2" s="161"/>
      <c r="ZS2" s="195"/>
      <c r="ZT2" s="195"/>
      <c r="ZU2" s="161"/>
      <c r="ZV2" s="161"/>
      <c r="ZW2" s="161"/>
      <c r="ZX2" s="161"/>
      <c r="ZY2" s="196"/>
      <c r="ZZ2" s="196"/>
      <c r="AAA2" s="192"/>
      <c r="AAB2" s="181"/>
      <c r="AAC2" s="180"/>
      <c r="AAD2" s="197"/>
      <c r="AAE2" s="179"/>
      <c r="AAF2" s="196"/>
      <c r="AAG2" s="179"/>
      <c r="AAH2" s="196"/>
      <c r="AAI2" s="196"/>
      <c r="AAJ2" s="161"/>
      <c r="AAK2" s="193"/>
      <c r="AAL2" s="193"/>
      <c r="AAM2" s="194"/>
      <c r="AAN2" s="194"/>
      <c r="AAO2" s="194"/>
      <c r="AAP2" s="194"/>
      <c r="AAQ2" s="194"/>
      <c r="AAR2" s="161"/>
      <c r="AAS2" s="161"/>
      <c r="AAT2" s="194"/>
      <c r="AAU2" s="161"/>
      <c r="AAV2" s="193"/>
      <c r="AAW2" s="194"/>
      <c r="AAX2" s="161"/>
      <c r="AAY2" s="161"/>
      <c r="AAZ2" s="161"/>
      <c r="ABA2" s="194"/>
      <c r="ABB2" s="194"/>
      <c r="ABC2" s="194"/>
      <c r="ABD2" s="161"/>
      <c r="ABE2" s="194"/>
      <c r="ABF2" s="194"/>
      <c r="ABG2" s="161"/>
      <c r="ABH2" s="194"/>
      <c r="ABI2" s="194"/>
      <c r="ABJ2" s="194"/>
      <c r="ABK2" s="194"/>
      <c r="ABL2" s="194"/>
      <c r="ABM2" s="194"/>
      <c r="ABN2" s="161"/>
      <c r="ABO2" s="195"/>
      <c r="ABP2" s="195"/>
      <c r="ABQ2" s="161"/>
      <c r="ABR2" s="161"/>
      <c r="ABS2" s="161"/>
      <c r="ABT2" s="161"/>
      <c r="ABU2" s="196"/>
      <c r="ABV2" s="196"/>
      <c r="ABW2" s="192"/>
      <c r="ABX2" s="181"/>
      <c r="ABY2" s="180"/>
      <c r="ABZ2" s="197"/>
      <c r="ACA2" s="179"/>
      <c r="ACB2" s="196"/>
      <c r="ACC2" s="179"/>
      <c r="ACD2" s="196"/>
      <c r="ACE2" s="196"/>
      <c r="ACF2" s="161"/>
      <c r="ACG2" s="193"/>
      <c r="ACH2" s="193"/>
      <c r="ACI2" s="194"/>
      <c r="ACJ2" s="194"/>
      <c r="ACK2" s="194"/>
      <c r="ACL2" s="194"/>
      <c r="ACM2" s="194"/>
      <c r="ACN2" s="161"/>
      <c r="ACO2" s="161"/>
      <c r="ACP2" s="194"/>
      <c r="ACQ2" s="161"/>
      <c r="ACR2" s="193"/>
      <c r="ACS2" s="194"/>
      <c r="ACT2" s="161"/>
      <c r="ACU2" s="161"/>
      <c r="ACV2" s="161"/>
      <c r="ACW2" s="194"/>
      <c r="ACX2" s="194"/>
      <c r="ACY2" s="194"/>
      <c r="ACZ2" s="161"/>
      <c r="ADA2" s="194"/>
      <c r="ADB2" s="194"/>
      <c r="ADC2" s="161"/>
      <c r="ADD2" s="194"/>
      <c r="ADE2" s="194"/>
      <c r="ADF2" s="194"/>
      <c r="ADG2" s="194"/>
      <c r="ADH2" s="194"/>
      <c r="ADI2" s="194"/>
      <c r="ADJ2" s="161"/>
      <c r="ADK2" s="195"/>
      <c r="ADL2" s="195"/>
      <c r="ADM2" s="161"/>
      <c r="ADN2" s="161"/>
      <c r="ADO2" s="161"/>
      <c r="ADP2" s="161"/>
      <c r="ADQ2" s="196"/>
      <c r="ADR2" s="196"/>
      <c r="ADS2" s="192"/>
      <c r="ADT2" s="181"/>
      <c r="ADU2" s="180"/>
      <c r="ADV2" s="197"/>
      <c r="ADW2" s="179"/>
      <c r="ADX2" s="196"/>
      <c r="ADY2" s="179"/>
      <c r="ADZ2" s="196"/>
      <c r="AEA2" s="196"/>
      <c r="AEB2" s="161"/>
      <c r="AEC2" s="193"/>
      <c r="AED2" s="193"/>
      <c r="AEE2" s="194"/>
      <c r="AEF2" s="194"/>
      <c r="AEG2" s="194"/>
      <c r="AEH2" s="194"/>
      <c r="AEI2" s="194"/>
      <c r="AEJ2" s="161"/>
      <c r="AEK2" s="161"/>
      <c r="AEL2" s="194"/>
      <c r="AEM2" s="161"/>
      <c r="AEN2" s="193"/>
      <c r="AEO2" s="194"/>
      <c r="AEP2" s="161"/>
      <c r="AEQ2" s="161"/>
      <c r="AER2" s="161"/>
      <c r="AES2" s="194"/>
      <c r="AET2" s="194"/>
      <c r="AEU2" s="194"/>
      <c r="AEV2" s="161"/>
      <c r="AEW2" s="194"/>
      <c r="AEX2" s="194"/>
      <c r="AEY2" s="161"/>
      <c r="AEZ2" s="194"/>
      <c r="AFA2" s="194"/>
      <c r="AFB2" s="194"/>
      <c r="AFC2" s="194"/>
      <c r="AFD2" s="194"/>
      <c r="AFE2" s="194"/>
      <c r="AFF2" s="161"/>
      <c r="AFG2" s="195"/>
      <c r="AFH2" s="195"/>
      <c r="AFI2" s="161"/>
      <c r="AFJ2" s="161"/>
      <c r="AFK2" s="161"/>
      <c r="AFL2" s="161"/>
      <c r="AFM2" s="196"/>
      <c r="AFN2" s="196"/>
      <c r="AFO2" s="192"/>
      <c r="AFP2" s="181"/>
      <c r="AFQ2" s="180"/>
      <c r="AFR2" s="197"/>
      <c r="AFS2" s="179"/>
      <c r="AFT2" s="196"/>
      <c r="AFU2" s="179"/>
      <c r="AFV2" s="196"/>
      <c r="AFW2" s="196"/>
      <c r="AFX2" s="161"/>
      <c r="AFY2" s="193"/>
      <c r="AFZ2" s="193"/>
      <c r="AGA2" s="194"/>
      <c r="AGB2" s="194"/>
      <c r="AGC2" s="194"/>
      <c r="AGD2" s="194"/>
      <c r="AGE2" s="194"/>
      <c r="AGF2" s="161"/>
      <c r="AGG2" s="161"/>
      <c r="AGH2" s="194"/>
      <c r="AGI2" s="161"/>
      <c r="AGJ2" s="193"/>
      <c r="AGK2" s="194"/>
      <c r="AGL2" s="161"/>
      <c r="AGM2" s="161"/>
      <c r="AGN2" s="161"/>
      <c r="AGO2" s="194"/>
      <c r="AGP2" s="194"/>
      <c r="AGQ2" s="194"/>
      <c r="AGR2" s="161"/>
      <c r="AGS2" s="194"/>
      <c r="AGT2" s="194"/>
      <c r="AGU2" s="161"/>
      <c r="AGV2" s="194"/>
      <c r="AGW2" s="194"/>
      <c r="AGX2" s="194"/>
      <c r="AGY2" s="194"/>
      <c r="AGZ2" s="194"/>
      <c r="AHA2" s="194"/>
      <c r="AHB2" s="161"/>
      <c r="AHC2" s="195"/>
      <c r="AHD2" s="195"/>
      <c r="AHE2" s="161"/>
      <c r="AHF2" s="161"/>
      <c r="AHG2" s="161"/>
      <c r="AHH2" s="161"/>
      <c r="AHI2" s="196"/>
      <c r="AHJ2" s="196"/>
      <c r="AHK2" s="192"/>
      <c r="AHL2" s="181"/>
      <c r="AHM2" s="180"/>
      <c r="AHN2" s="197"/>
      <c r="AHO2" s="179"/>
      <c r="AHP2" s="196"/>
      <c r="AHQ2" s="179"/>
      <c r="AHR2" s="196"/>
      <c r="AHS2" s="196"/>
      <c r="AHT2" s="161"/>
      <c r="AHU2" s="193"/>
      <c r="AHV2" s="193"/>
      <c r="AHW2" s="194"/>
      <c r="AHX2" s="194"/>
      <c r="AHY2" s="194"/>
      <c r="AHZ2" s="194"/>
      <c r="AIA2" s="194"/>
      <c r="AIB2" s="161"/>
      <c r="AIC2" s="161"/>
      <c r="AID2" s="194"/>
      <c r="AIE2" s="161"/>
      <c r="AIF2" s="193"/>
      <c r="AIG2" s="194"/>
      <c r="AIH2" s="161"/>
      <c r="AII2" s="161"/>
      <c r="AIJ2" s="161"/>
      <c r="AIK2" s="194"/>
      <c r="AIL2" s="194"/>
      <c r="AIM2" s="194"/>
      <c r="AIN2" s="161"/>
      <c r="AIO2" s="194"/>
      <c r="AIP2" s="194"/>
      <c r="AIQ2" s="161"/>
      <c r="AIR2" s="194"/>
      <c r="AIS2" s="194"/>
      <c r="AIT2" s="194"/>
      <c r="AIU2" s="194"/>
      <c r="AIV2" s="194"/>
      <c r="AIW2" s="194"/>
      <c r="AIX2" s="161"/>
      <c r="AIY2" s="195"/>
      <c r="AIZ2" s="195"/>
      <c r="AJA2" s="161"/>
      <c r="AJB2" s="161"/>
      <c r="AJC2" s="161"/>
      <c r="AJD2" s="161"/>
      <c r="AJE2" s="196"/>
      <c r="AJF2" s="196"/>
      <c r="AJG2" s="192"/>
      <c r="AJH2" s="181"/>
      <c r="AJI2" s="180"/>
      <c r="AJJ2" s="197"/>
      <c r="AJK2" s="179"/>
      <c r="AJL2" s="196"/>
      <c r="AJM2" s="179"/>
      <c r="AJN2" s="196"/>
      <c r="AJO2" s="196"/>
      <c r="AJP2" s="161"/>
      <c r="AJQ2" s="193"/>
      <c r="AJR2" s="193"/>
      <c r="AJS2" s="194"/>
      <c r="AJT2" s="194"/>
      <c r="AJU2" s="194"/>
      <c r="AJV2" s="194"/>
      <c r="AJW2" s="194"/>
      <c r="AJX2" s="161"/>
      <c r="AJY2" s="161"/>
      <c r="AJZ2" s="194"/>
      <c r="AKA2" s="161"/>
      <c r="AKB2" s="193"/>
      <c r="AKC2" s="194"/>
      <c r="AKD2" s="161"/>
      <c r="AKE2" s="161"/>
      <c r="AKF2" s="161"/>
      <c r="AKG2" s="194"/>
      <c r="AKH2" s="194"/>
      <c r="AKI2" s="194"/>
      <c r="AKJ2" s="161"/>
      <c r="AKK2" s="194"/>
      <c r="AKL2" s="194"/>
      <c r="AKM2" s="161"/>
      <c r="AKN2" s="194"/>
      <c r="AKO2" s="194"/>
      <c r="AKP2" s="194"/>
      <c r="AKQ2" s="194"/>
      <c r="AKR2" s="194"/>
      <c r="AKS2" s="194"/>
      <c r="AKT2" s="161"/>
      <c r="AKU2" s="195"/>
      <c r="AKV2" s="195"/>
      <c r="AKW2" s="161"/>
      <c r="AKX2" s="161"/>
      <c r="AKY2" s="161"/>
      <c r="AKZ2" s="161"/>
      <c r="ALA2" s="196"/>
      <c r="ALB2" s="196"/>
      <c r="ALC2" s="192"/>
      <c r="ALD2" s="181"/>
      <c r="ALE2" s="180"/>
      <c r="ALF2" s="197"/>
      <c r="ALG2" s="179"/>
      <c r="ALH2" s="196"/>
      <c r="ALI2" s="179"/>
      <c r="ALJ2" s="196"/>
      <c r="ALK2" s="196"/>
      <c r="ALL2" s="161"/>
      <c r="ALM2" s="193"/>
      <c r="ALN2" s="193"/>
      <c r="ALO2" s="194"/>
      <c r="ALP2" s="194"/>
      <c r="ALQ2" s="194"/>
      <c r="ALR2" s="194"/>
      <c r="ALS2" s="194"/>
      <c r="ALT2" s="161"/>
      <c r="ALU2" s="161"/>
      <c r="ALV2" s="194"/>
      <c r="ALW2" s="161"/>
      <c r="ALX2" s="193"/>
      <c r="ALY2" s="194"/>
      <c r="ALZ2" s="161"/>
      <c r="AMA2" s="161"/>
      <c r="AMB2" s="161"/>
      <c r="AMC2" s="194"/>
      <c r="AMD2" s="194"/>
      <c r="AME2" s="194"/>
      <c r="AMF2" s="161"/>
      <c r="AMG2" s="194"/>
      <c r="AMH2" s="194"/>
      <c r="AMI2" s="161"/>
      <c r="AMJ2" s="194"/>
      <c r="AMK2" s="194"/>
      <c r="AML2" s="194"/>
      <c r="AMM2" s="194"/>
      <c r="AMN2" s="194"/>
      <c r="AMO2" s="194"/>
      <c r="AMP2" s="161"/>
      <c r="AMQ2" s="195"/>
      <c r="AMR2" s="195"/>
      <c r="AMS2" s="161"/>
      <c r="AMT2" s="161"/>
      <c r="AMU2" s="161"/>
      <c r="AMV2" s="161"/>
      <c r="AMW2" s="196"/>
      <c r="AMX2" s="196"/>
      <c r="AMY2" s="192"/>
      <c r="AMZ2" s="181"/>
      <c r="ANA2" s="180"/>
      <c r="ANB2" s="197"/>
      <c r="ANC2" s="179"/>
      <c r="AND2" s="196"/>
      <c r="ANE2" s="179"/>
      <c r="ANF2" s="196"/>
      <c r="ANG2" s="196"/>
      <c r="ANH2" s="161"/>
      <c r="ANI2" s="193"/>
      <c r="ANJ2" s="193"/>
      <c r="ANK2" s="194"/>
      <c r="ANL2" s="194"/>
      <c r="ANM2" s="194"/>
      <c r="ANN2" s="194"/>
      <c r="ANO2" s="194"/>
      <c r="ANP2" s="161"/>
      <c r="ANQ2" s="161"/>
      <c r="ANR2" s="194"/>
      <c r="ANS2" s="161"/>
      <c r="ANT2" s="193"/>
      <c r="ANU2" s="194"/>
      <c r="ANV2" s="161"/>
      <c r="ANW2" s="161"/>
      <c r="ANX2" s="161"/>
      <c r="ANY2" s="194"/>
      <c r="ANZ2" s="194"/>
      <c r="AOA2" s="194"/>
      <c r="AOB2" s="161"/>
      <c r="AOC2" s="194"/>
      <c r="AOD2" s="194"/>
      <c r="AOE2" s="161"/>
      <c r="AOF2" s="194"/>
      <c r="AOG2" s="194"/>
      <c r="AOH2" s="194"/>
      <c r="AOI2" s="194"/>
      <c r="AOJ2" s="194"/>
      <c r="AOK2" s="194"/>
      <c r="AOL2" s="161"/>
      <c r="AOM2" s="195"/>
      <c r="AON2" s="195"/>
      <c r="AOO2" s="161"/>
      <c r="AOP2" s="161"/>
      <c r="AOQ2" s="161"/>
      <c r="AOR2" s="161"/>
      <c r="AOS2" s="196"/>
      <c r="AOT2" s="196"/>
      <c r="AOU2" s="192"/>
      <c r="AOV2" s="181"/>
      <c r="AOW2" s="180"/>
      <c r="AOX2" s="197"/>
      <c r="AOY2" s="179"/>
      <c r="AOZ2" s="196"/>
      <c r="APA2" s="179"/>
      <c r="APB2" s="196"/>
      <c r="APC2" s="196"/>
      <c r="APD2" s="161"/>
      <c r="APE2" s="193"/>
      <c r="APF2" s="193"/>
      <c r="APG2" s="194"/>
      <c r="APH2" s="194"/>
      <c r="API2" s="194"/>
      <c r="APJ2" s="194"/>
      <c r="APK2" s="194"/>
      <c r="APL2" s="161"/>
      <c r="APM2" s="161"/>
      <c r="APN2" s="194"/>
      <c r="APO2" s="161"/>
      <c r="APP2" s="193"/>
      <c r="APQ2" s="194"/>
      <c r="APR2" s="161"/>
      <c r="APS2" s="161"/>
      <c r="APT2" s="161"/>
      <c r="APU2" s="194"/>
      <c r="APV2" s="194"/>
      <c r="APW2" s="194"/>
      <c r="APX2" s="161"/>
      <c r="APY2" s="194"/>
      <c r="APZ2" s="194"/>
      <c r="AQA2" s="161"/>
      <c r="AQB2" s="194"/>
      <c r="AQC2" s="194"/>
      <c r="AQD2" s="194"/>
      <c r="AQE2" s="194"/>
      <c r="AQF2" s="194"/>
      <c r="AQG2" s="194"/>
      <c r="AQH2" s="161"/>
      <c r="AQI2" s="195"/>
      <c r="AQJ2" s="195"/>
      <c r="AQK2" s="161"/>
      <c r="AQL2" s="161"/>
      <c r="AQM2" s="161"/>
      <c r="AQN2" s="161"/>
      <c r="AQO2" s="196"/>
      <c r="AQP2" s="196"/>
      <c r="AQQ2" s="192"/>
      <c r="AQR2" s="181"/>
      <c r="AQS2" s="180"/>
      <c r="AQT2" s="197"/>
      <c r="AQU2" s="179"/>
      <c r="AQV2" s="196"/>
      <c r="AQW2" s="179"/>
      <c r="AQX2" s="196"/>
      <c r="AQY2" s="196"/>
      <c r="AQZ2" s="161"/>
      <c r="ARA2" s="193"/>
      <c r="ARB2" s="193"/>
      <c r="ARC2" s="194"/>
      <c r="ARD2" s="194"/>
      <c r="ARE2" s="194"/>
      <c r="ARF2" s="194"/>
      <c r="ARG2" s="194"/>
      <c r="ARH2" s="161"/>
      <c r="ARI2" s="161"/>
      <c r="ARJ2" s="194"/>
      <c r="ARK2" s="161"/>
      <c r="ARL2" s="193"/>
      <c r="ARM2" s="194"/>
      <c r="ARN2" s="161"/>
      <c r="ARO2" s="161"/>
      <c r="ARP2" s="161"/>
      <c r="ARQ2" s="194"/>
      <c r="ARR2" s="194"/>
      <c r="ARS2" s="194"/>
      <c r="ART2" s="161"/>
      <c r="ARU2" s="194"/>
      <c r="ARV2" s="194"/>
      <c r="ARW2" s="161"/>
      <c r="ARX2" s="194"/>
      <c r="ARY2" s="194"/>
      <c r="ARZ2" s="194"/>
      <c r="ASA2" s="194"/>
      <c r="ASB2" s="194"/>
      <c r="ASC2" s="194"/>
      <c r="ASD2" s="161"/>
      <c r="ASE2" s="195"/>
      <c r="ASF2" s="195"/>
      <c r="ASG2" s="161"/>
      <c r="ASH2" s="161"/>
      <c r="ASI2" s="161"/>
      <c r="ASJ2" s="161"/>
      <c r="ASK2" s="196"/>
      <c r="ASL2" s="196"/>
      <c r="ASM2" s="192"/>
      <c r="ASN2" s="181"/>
      <c r="ASO2" s="180"/>
      <c r="ASP2" s="197"/>
      <c r="ASQ2" s="179"/>
      <c r="ASR2" s="196"/>
      <c r="ASS2" s="179"/>
      <c r="AST2" s="196"/>
      <c r="ASU2" s="196"/>
      <c r="ASV2" s="161"/>
      <c r="ASW2" s="193"/>
      <c r="ASX2" s="193"/>
      <c r="ASY2" s="194"/>
      <c r="ASZ2" s="194"/>
      <c r="ATA2" s="194"/>
      <c r="ATB2" s="194"/>
      <c r="ATC2" s="194"/>
      <c r="ATD2" s="161"/>
      <c r="ATE2" s="161"/>
      <c r="ATF2" s="194"/>
      <c r="ATG2" s="161"/>
      <c r="ATH2" s="193"/>
      <c r="ATI2" s="194"/>
      <c r="ATJ2" s="161"/>
      <c r="ATK2" s="161"/>
      <c r="ATL2" s="161"/>
      <c r="ATM2" s="194"/>
      <c r="ATN2" s="194"/>
      <c r="ATO2" s="194"/>
      <c r="ATP2" s="161"/>
      <c r="ATQ2" s="194"/>
      <c r="ATR2" s="194"/>
      <c r="ATS2" s="161"/>
      <c r="ATT2" s="194"/>
      <c r="ATU2" s="194"/>
      <c r="ATV2" s="194"/>
      <c r="ATW2" s="194"/>
      <c r="ATX2" s="194"/>
      <c r="ATY2" s="194"/>
      <c r="ATZ2" s="161"/>
      <c r="AUA2" s="195"/>
      <c r="AUB2" s="195"/>
      <c r="AUC2" s="161"/>
      <c r="AUD2" s="161"/>
      <c r="AUE2" s="161"/>
      <c r="AUF2" s="161"/>
      <c r="AUG2" s="196"/>
      <c r="AUH2" s="196"/>
      <c r="AUI2" s="192"/>
      <c r="AUJ2" s="181"/>
      <c r="AUK2" s="180"/>
      <c r="AUL2" s="197"/>
      <c r="AUM2" s="179"/>
      <c r="AUN2" s="196"/>
      <c r="AUO2" s="179"/>
      <c r="AUP2" s="196"/>
      <c r="AUQ2" s="196"/>
      <c r="AUR2" s="161"/>
      <c r="AUS2" s="193"/>
      <c r="AUT2" s="193"/>
      <c r="AUU2" s="194"/>
      <c r="AUV2" s="194"/>
      <c r="AUW2" s="194"/>
      <c r="AUX2" s="194"/>
      <c r="AUY2" s="194"/>
      <c r="AUZ2" s="161"/>
      <c r="AVA2" s="161"/>
      <c r="AVB2" s="194"/>
      <c r="AVC2" s="161"/>
      <c r="AVD2" s="193"/>
      <c r="AVE2" s="194"/>
      <c r="AVF2" s="161"/>
      <c r="AVG2" s="161"/>
      <c r="AVH2" s="161"/>
      <c r="AVI2" s="194"/>
      <c r="AVJ2" s="194"/>
      <c r="AVK2" s="194"/>
      <c r="AVL2" s="161"/>
      <c r="AVM2" s="194"/>
      <c r="AVN2" s="194"/>
      <c r="AVO2" s="161"/>
      <c r="AVP2" s="194"/>
      <c r="AVQ2" s="194"/>
      <c r="AVR2" s="194"/>
      <c r="AVS2" s="194"/>
      <c r="AVT2" s="194"/>
      <c r="AVU2" s="194"/>
      <c r="AVV2" s="161"/>
      <c r="AVW2" s="195"/>
      <c r="AVX2" s="195"/>
      <c r="AVY2" s="161"/>
      <c r="AVZ2" s="161"/>
      <c r="AWA2" s="161"/>
      <c r="AWB2" s="161"/>
      <c r="AWC2" s="196"/>
      <c r="AWD2" s="196"/>
      <c r="AWE2" s="192"/>
      <c r="AWF2" s="181"/>
      <c r="AWG2" s="180"/>
      <c r="AWH2" s="197"/>
      <c r="AWI2" s="179"/>
      <c r="AWJ2" s="196"/>
      <c r="AWK2" s="179"/>
      <c r="AWL2" s="196"/>
      <c r="AWM2" s="196"/>
      <c r="AWN2" s="161"/>
      <c r="AWO2" s="193"/>
      <c r="AWP2" s="193"/>
      <c r="AWQ2" s="194"/>
      <c r="AWR2" s="194"/>
      <c r="AWS2" s="194"/>
      <c r="AWT2" s="194"/>
      <c r="AWU2" s="194"/>
      <c r="AWV2" s="161"/>
      <c r="AWW2" s="161"/>
      <c r="AWX2" s="194"/>
      <c r="AWY2" s="161"/>
      <c r="AWZ2" s="193"/>
      <c r="AXA2" s="194"/>
      <c r="AXB2" s="161"/>
      <c r="AXC2" s="161"/>
      <c r="AXD2" s="161"/>
      <c r="AXE2" s="194"/>
      <c r="AXF2" s="194"/>
      <c r="AXG2" s="194"/>
      <c r="AXH2" s="161"/>
      <c r="AXI2" s="194"/>
      <c r="AXJ2" s="194"/>
      <c r="AXK2" s="161"/>
      <c r="AXL2" s="194"/>
      <c r="AXM2" s="194"/>
      <c r="AXN2" s="194"/>
      <c r="AXO2" s="194"/>
      <c r="AXP2" s="194"/>
      <c r="AXQ2" s="194"/>
      <c r="AXR2" s="161"/>
      <c r="AXS2" s="195"/>
      <c r="AXT2" s="195"/>
      <c r="AXU2" s="161"/>
      <c r="AXV2" s="161"/>
      <c r="AXW2" s="161"/>
      <c r="AXX2" s="161"/>
      <c r="AXY2" s="196"/>
      <c r="AXZ2" s="196"/>
      <c r="AYA2" s="192"/>
      <c r="AYB2" s="181"/>
      <c r="AYC2" s="180"/>
      <c r="AYD2" s="197"/>
      <c r="AYE2" s="179"/>
      <c r="AYF2" s="196"/>
      <c r="AYG2" s="179"/>
      <c r="AYH2" s="196"/>
      <c r="AYI2" s="196"/>
      <c r="AYJ2" s="161"/>
      <c r="AYK2" s="193"/>
      <c r="AYL2" s="193"/>
      <c r="AYM2" s="194"/>
      <c r="AYN2" s="194"/>
      <c r="AYO2" s="194"/>
      <c r="AYP2" s="194"/>
      <c r="AYQ2" s="194"/>
      <c r="AYR2" s="161"/>
      <c r="AYS2" s="161"/>
      <c r="AYT2" s="194"/>
      <c r="AYU2" s="161"/>
      <c r="AYV2" s="193"/>
      <c r="AYW2" s="194"/>
      <c r="AYX2" s="161"/>
      <c r="AYY2" s="161"/>
      <c r="AYZ2" s="161"/>
      <c r="AZA2" s="194"/>
      <c r="AZB2" s="194"/>
      <c r="AZC2" s="194"/>
      <c r="AZD2" s="161"/>
      <c r="AZE2" s="194"/>
      <c r="AZF2" s="194"/>
      <c r="AZG2" s="161"/>
      <c r="AZH2" s="194"/>
      <c r="AZI2" s="194"/>
      <c r="AZJ2" s="194"/>
      <c r="AZK2" s="194"/>
      <c r="AZL2" s="194"/>
      <c r="AZM2" s="194"/>
      <c r="AZN2" s="161"/>
      <c r="AZO2" s="195"/>
      <c r="AZP2" s="195"/>
      <c r="AZQ2" s="161"/>
      <c r="AZR2" s="161"/>
      <c r="AZS2" s="161"/>
      <c r="AZT2" s="161"/>
      <c r="AZU2" s="196"/>
      <c r="AZV2" s="196"/>
      <c r="AZW2" s="192"/>
      <c r="AZX2" s="181"/>
      <c r="AZY2" s="180"/>
      <c r="AZZ2" s="197"/>
      <c r="BAA2" s="179"/>
      <c r="BAB2" s="196"/>
      <c r="BAC2" s="179"/>
      <c r="BAD2" s="196"/>
      <c r="BAE2" s="196"/>
      <c r="BAF2" s="161"/>
      <c r="BAG2" s="193"/>
      <c r="BAH2" s="193"/>
      <c r="BAI2" s="194"/>
      <c r="BAJ2" s="194"/>
      <c r="BAK2" s="194"/>
      <c r="BAL2" s="194"/>
      <c r="BAM2" s="194"/>
      <c r="BAN2" s="161"/>
      <c r="BAO2" s="161"/>
      <c r="BAP2" s="194"/>
      <c r="BAQ2" s="161"/>
      <c r="BAR2" s="193"/>
      <c r="BAS2" s="194"/>
      <c r="BAT2" s="161"/>
      <c r="BAU2" s="161"/>
      <c r="BAV2" s="161"/>
      <c r="BAW2" s="194"/>
      <c r="BAX2" s="194"/>
      <c r="BAY2" s="194"/>
      <c r="BAZ2" s="161"/>
      <c r="BBA2" s="194"/>
      <c r="BBB2" s="194"/>
      <c r="BBC2" s="161"/>
      <c r="BBD2" s="194"/>
      <c r="BBE2" s="194"/>
      <c r="BBF2" s="194"/>
      <c r="BBG2" s="194"/>
      <c r="BBH2" s="194"/>
      <c r="BBI2" s="194"/>
      <c r="BBJ2" s="161"/>
      <c r="BBK2" s="195"/>
      <c r="BBL2" s="195"/>
      <c r="BBM2" s="161"/>
      <c r="BBN2" s="161"/>
      <c r="BBO2" s="161"/>
      <c r="BBP2" s="161"/>
      <c r="BBQ2" s="196"/>
      <c r="BBR2" s="196"/>
      <c r="BBS2" s="192"/>
      <c r="BBT2" s="181"/>
      <c r="BBU2" s="180"/>
      <c r="BBV2" s="197"/>
      <c r="BBW2" s="179"/>
      <c r="BBX2" s="196"/>
      <c r="BBY2" s="179"/>
      <c r="BBZ2" s="196"/>
      <c r="BCA2" s="196"/>
      <c r="BCB2" s="161"/>
      <c r="BCC2" s="193"/>
      <c r="BCD2" s="193"/>
      <c r="BCE2" s="194"/>
      <c r="BCF2" s="194"/>
      <c r="BCG2" s="194"/>
      <c r="BCH2" s="194"/>
      <c r="BCI2" s="194"/>
      <c r="BCJ2" s="161"/>
      <c r="BCK2" s="161"/>
      <c r="BCL2" s="194"/>
      <c r="BCM2" s="161"/>
      <c r="BCN2" s="193"/>
      <c r="BCO2" s="194"/>
      <c r="BCP2" s="161"/>
      <c r="BCQ2" s="161"/>
      <c r="BCR2" s="161"/>
      <c r="BCS2" s="194"/>
      <c r="BCT2" s="194"/>
      <c r="BCU2" s="194"/>
      <c r="BCV2" s="161"/>
      <c r="BCW2" s="194"/>
      <c r="BCX2" s="194"/>
      <c r="BCY2" s="161"/>
      <c r="BCZ2" s="194"/>
      <c r="BDA2" s="194"/>
      <c r="BDB2" s="194"/>
      <c r="BDC2" s="194"/>
      <c r="BDD2" s="194"/>
      <c r="BDE2" s="194"/>
      <c r="BDF2" s="161"/>
      <c r="BDG2" s="195"/>
      <c r="BDH2" s="195"/>
      <c r="BDI2" s="161"/>
      <c r="BDJ2" s="161"/>
      <c r="BDK2" s="161"/>
      <c r="BDL2" s="161"/>
      <c r="BDM2" s="196"/>
      <c r="BDN2" s="196"/>
      <c r="BDO2" s="192"/>
      <c r="BDP2" s="181"/>
      <c r="BDQ2" s="180"/>
      <c r="BDR2" s="197"/>
      <c r="BDS2" s="179"/>
      <c r="BDT2" s="196"/>
      <c r="BDU2" s="179"/>
      <c r="BDV2" s="196"/>
      <c r="BDW2" s="196"/>
      <c r="BDX2" s="161"/>
      <c r="BDY2" s="193"/>
      <c r="BDZ2" s="193"/>
      <c r="BEA2" s="194"/>
      <c r="BEB2" s="194"/>
      <c r="BEC2" s="194"/>
      <c r="BED2" s="194"/>
      <c r="BEE2" s="194"/>
      <c r="BEF2" s="161"/>
      <c r="BEG2" s="161"/>
      <c r="BEH2" s="194"/>
      <c r="BEI2" s="161"/>
      <c r="BEJ2" s="193"/>
      <c r="BEK2" s="194"/>
      <c r="BEL2" s="161"/>
      <c r="BEM2" s="161"/>
      <c r="BEN2" s="161"/>
      <c r="BEO2" s="194"/>
      <c r="BEP2" s="194"/>
      <c r="BEQ2" s="194"/>
      <c r="BER2" s="161"/>
      <c r="BES2" s="194"/>
      <c r="BET2" s="194"/>
      <c r="BEU2" s="161"/>
      <c r="BEV2" s="194"/>
      <c r="BEW2" s="194"/>
      <c r="BEX2" s="194"/>
      <c r="BEY2" s="194"/>
      <c r="BEZ2" s="194"/>
      <c r="BFA2" s="194"/>
      <c r="BFB2" s="161"/>
      <c r="BFC2" s="195"/>
      <c r="BFD2" s="195"/>
      <c r="BFE2" s="161"/>
      <c r="BFF2" s="161"/>
      <c r="BFG2" s="161"/>
      <c r="BFH2" s="161"/>
      <c r="BFI2" s="196"/>
      <c r="BFJ2" s="196"/>
      <c r="BFK2" s="192"/>
      <c r="BFL2" s="181"/>
      <c r="BFM2" s="180"/>
      <c r="BFN2" s="197"/>
      <c r="BFO2" s="179"/>
      <c r="BFP2" s="196"/>
      <c r="BFQ2" s="179"/>
      <c r="BFR2" s="196"/>
      <c r="BFS2" s="196"/>
      <c r="BFT2" s="161"/>
      <c r="BFU2" s="193"/>
      <c r="BFV2" s="193"/>
      <c r="BFW2" s="194"/>
      <c r="BFX2" s="194"/>
      <c r="BFY2" s="194"/>
      <c r="BFZ2" s="194"/>
      <c r="BGA2" s="194"/>
      <c r="BGB2" s="161"/>
      <c r="BGC2" s="161"/>
      <c r="BGD2" s="194"/>
      <c r="BGE2" s="161"/>
      <c r="BGF2" s="193"/>
      <c r="BGG2" s="194"/>
      <c r="BGH2" s="161"/>
      <c r="BGI2" s="161"/>
      <c r="BGJ2" s="161"/>
      <c r="BGK2" s="194"/>
      <c r="BGL2" s="194"/>
      <c r="BGM2" s="194"/>
      <c r="BGN2" s="161"/>
      <c r="BGO2" s="194"/>
      <c r="BGP2" s="194"/>
      <c r="BGQ2" s="161"/>
      <c r="BGR2" s="194"/>
      <c r="BGS2" s="194"/>
      <c r="BGT2" s="194"/>
      <c r="BGU2" s="194"/>
      <c r="BGV2" s="194"/>
      <c r="BGW2" s="194"/>
      <c r="BGX2" s="161"/>
      <c r="BGY2" s="195"/>
      <c r="BGZ2" s="195"/>
      <c r="BHA2" s="161"/>
      <c r="BHB2" s="161"/>
      <c r="BHC2" s="161"/>
      <c r="BHD2" s="161"/>
      <c r="BHE2" s="196"/>
      <c r="BHF2" s="196"/>
      <c r="BHG2" s="192"/>
      <c r="BHH2" s="181"/>
      <c r="BHI2" s="180"/>
      <c r="BHJ2" s="197"/>
      <c r="BHK2" s="179"/>
      <c r="BHL2" s="196"/>
      <c r="BHM2" s="179"/>
      <c r="BHN2" s="196"/>
      <c r="BHO2" s="196"/>
      <c r="BHP2" s="161"/>
      <c r="BHQ2" s="193"/>
      <c r="BHR2" s="193"/>
      <c r="BHS2" s="194"/>
      <c r="BHT2" s="194"/>
      <c r="BHU2" s="194"/>
      <c r="BHV2" s="194"/>
      <c r="BHW2" s="194"/>
      <c r="BHX2" s="161"/>
      <c r="BHY2" s="161"/>
      <c r="BHZ2" s="194"/>
      <c r="BIA2" s="161"/>
      <c r="BIB2" s="193"/>
      <c r="BIC2" s="194"/>
      <c r="BID2" s="161"/>
      <c r="BIE2" s="161"/>
      <c r="BIF2" s="161"/>
      <c r="BIG2" s="194"/>
      <c r="BIH2" s="194"/>
      <c r="BII2" s="194"/>
      <c r="BIJ2" s="161"/>
      <c r="BIK2" s="194"/>
      <c r="BIL2" s="194"/>
      <c r="BIM2" s="161"/>
      <c r="BIN2" s="194"/>
      <c r="BIO2" s="194"/>
      <c r="BIP2" s="194"/>
      <c r="BIQ2" s="194"/>
      <c r="BIR2" s="194"/>
      <c r="BIS2" s="194"/>
      <c r="BIT2" s="161"/>
      <c r="BIU2" s="195"/>
      <c r="BIV2" s="195"/>
      <c r="BIW2" s="161"/>
      <c r="BIX2" s="161"/>
      <c r="BIY2" s="161"/>
      <c r="BIZ2" s="161"/>
      <c r="BJA2" s="196"/>
      <c r="BJB2" s="196"/>
      <c r="BJC2" s="192"/>
      <c r="BJD2" s="181"/>
      <c r="BJE2" s="180"/>
      <c r="BJF2" s="197"/>
      <c r="BJG2" s="179"/>
      <c r="BJH2" s="196"/>
      <c r="BJI2" s="179"/>
      <c r="BJJ2" s="196"/>
      <c r="BJK2" s="196"/>
      <c r="BJL2" s="161"/>
      <c r="BJM2" s="193"/>
      <c r="BJN2" s="193"/>
      <c r="BJO2" s="194"/>
      <c r="BJP2" s="194"/>
      <c r="BJQ2" s="194"/>
      <c r="BJR2" s="194"/>
      <c r="BJS2" s="194"/>
      <c r="BJT2" s="161"/>
      <c r="BJU2" s="161"/>
      <c r="BJV2" s="194"/>
      <c r="BJW2" s="161"/>
      <c r="BJX2" s="193"/>
      <c r="BJY2" s="194"/>
      <c r="BJZ2" s="161"/>
      <c r="BKA2" s="161"/>
      <c r="BKB2" s="161"/>
      <c r="BKC2" s="194"/>
      <c r="BKD2" s="194"/>
      <c r="BKE2" s="194"/>
      <c r="BKF2" s="161"/>
      <c r="BKG2" s="194"/>
      <c r="BKH2" s="194"/>
      <c r="BKI2" s="161"/>
      <c r="BKJ2" s="194"/>
      <c r="BKK2" s="194"/>
      <c r="BKL2" s="194"/>
      <c r="BKM2" s="194"/>
      <c r="BKN2" s="194"/>
      <c r="BKO2" s="194"/>
      <c r="BKP2" s="161"/>
      <c r="BKQ2" s="195"/>
      <c r="BKR2" s="195"/>
      <c r="BKS2" s="161"/>
      <c r="BKT2" s="161"/>
      <c r="BKU2" s="161"/>
      <c r="BKV2" s="161"/>
      <c r="BKW2" s="196"/>
      <c r="BKX2" s="196"/>
      <c r="BKY2" s="192"/>
      <c r="BKZ2" s="181"/>
      <c r="BLA2" s="180"/>
      <c r="BLB2" s="197"/>
      <c r="BLC2" s="179"/>
      <c r="BLD2" s="196"/>
      <c r="BLE2" s="179"/>
      <c r="BLF2" s="196"/>
      <c r="BLG2" s="196"/>
      <c r="BLH2" s="161"/>
      <c r="BLI2" s="193"/>
      <c r="BLJ2" s="193"/>
      <c r="BLK2" s="194"/>
      <c r="BLL2" s="194"/>
      <c r="BLM2" s="194"/>
      <c r="BLN2" s="194"/>
      <c r="BLO2" s="194"/>
      <c r="BLP2" s="161"/>
      <c r="BLQ2" s="161"/>
      <c r="BLR2" s="194"/>
      <c r="BLS2" s="161"/>
      <c r="BLT2" s="193"/>
      <c r="BLU2" s="194"/>
      <c r="BLV2" s="161"/>
      <c r="BLW2" s="161"/>
      <c r="BLX2" s="161"/>
      <c r="BLY2" s="194"/>
      <c r="BLZ2" s="194"/>
      <c r="BMA2" s="194"/>
      <c r="BMB2" s="161"/>
      <c r="BMC2" s="194"/>
      <c r="BMD2" s="194"/>
      <c r="BME2" s="161"/>
      <c r="BMF2" s="194"/>
      <c r="BMG2" s="194"/>
      <c r="BMH2" s="194"/>
      <c r="BMI2" s="194"/>
      <c r="BMJ2" s="194"/>
      <c r="BMK2" s="194"/>
      <c r="BML2" s="161"/>
      <c r="BMM2" s="195"/>
      <c r="BMN2" s="195"/>
      <c r="BMO2" s="161"/>
      <c r="BMP2" s="161"/>
      <c r="BMQ2" s="161"/>
      <c r="BMR2" s="161"/>
      <c r="BMS2" s="196"/>
      <c r="BMT2" s="196"/>
      <c r="BMU2" s="192"/>
      <c r="BMV2" s="181"/>
      <c r="BMW2" s="180"/>
      <c r="BMX2" s="197"/>
      <c r="BMY2" s="179"/>
      <c r="BMZ2" s="196"/>
      <c r="BNA2" s="179"/>
      <c r="BNB2" s="196"/>
      <c r="BNC2" s="196"/>
      <c r="BND2" s="161"/>
      <c r="BNE2" s="193"/>
      <c r="BNF2" s="193"/>
      <c r="BNG2" s="194"/>
      <c r="BNH2" s="194"/>
      <c r="BNI2" s="194"/>
      <c r="BNJ2" s="194"/>
      <c r="BNK2" s="194"/>
      <c r="BNL2" s="161"/>
      <c r="BNM2" s="161"/>
      <c r="BNN2" s="194"/>
      <c r="BNO2" s="161"/>
      <c r="BNP2" s="193"/>
      <c r="BNQ2" s="194"/>
      <c r="BNR2" s="161"/>
      <c r="BNS2" s="161"/>
      <c r="BNT2" s="161"/>
      <c r="BNU2" s="194"/>
      <c r="BNV2" s="194"/>
      <c r="BNW2" s="194"/>
      <c r="BNX2" s="161"/>
      <c r="BNY2" s="194"/>
      <c r="BNZ2" s="194"/>
      <c r="BOA2" s="161"/>
      <c r="BOB2" s="194"/>
      <c r="BOC2" s="194"/>
      <c r="BOD2" s="194"/>
      <c r="BOE2" s="194"/>
      <c r="BOF2" s="194"/>
      <c r="BOG2" s="194"/>
      <c r="BOH2" s="161"/>
      <c r="BOI2" s="195"/>
      <c r="BOJ2" s="195"/>
      <c r="BOK2" s="161"/>
      <c r="BOL2" s="161"/>
      <c r="BOM2" s="161"/>
      <c r="BON2" s="161"/>
      <c r="BOO2" s="196"/>
      <c r="BOP2" s="196"/>
      <c r="BOQ2" s="192"/>
      <c r="BOR2" s="181"/>
      <c r="BOS2" s="180"/>
      <c r="BOT2" s="197"/>
      <c r="BOU2" s="179"/>
      <c r="BOV2" s="196"/>
      <c r="BOW2" s="179"/>
      <c r="BOX2" s="196"/>
      <c r="BOY2" s="196"/>
      <c r="BOZ2" s="161"/>
      <c r="BPA2" s="193"/>
      <c r="BPB2" s="193"/>
      <c r="BPC2" s="194"/>
      <c r="BPD2" s="194"/>
      <c r="BPE2" s="194"/>
      <c r="BPF2" s="194"/>
      <c r="BPG2" s="194"/>
      <c r="BPH2" s="161"/>
      <c r="BPI2" s="161"/>
      <c r="BPJ2" s="194"/>
      <c r="BPK2" s="161"/>
      <c r="BPL2" s="193"/>
      <c r="BPM2" s="194"/>
      <c r="BPN2" s="161"/>
      <c r="BPO2" s="161"/>
      <c r="BPP2" s="161"/>
      <c r="BPQ2" s="194"/>
      <c r="BPR2" s="194"/>
      <c r="BPS2" s="194"/>
      <c r="BPT2" s="161"/>
      <c r="BPU2" s="194"/>
      <c r="BPV2" s="194"/>
      <c r="BPW2" s="161"/>
      <c r="BPX2" s="194"/>
      <c r="BPY2" s="194"/>
      <c r="BPZ2" s="194"/>
      <c r="BQA2" s="194"/>
      <c r="BQB2" s="194"/>
      <c r="BQC2" s="194"/>
      <c r="BQD2" s="161"/>
      <c r="BQE2" s="195"/>
      <c r="BQF2" s="195"/>
      <c r="BQG2" s="161"/>
      <c r="BQH2" s="161"/>
      <c r="BQI2" s="161"/>
      <c r="BQJ2" s="161"/>
      <c r="BQK2" s="196"/>
      <c r="BQL2" s="196"/>
      <c r="BQM2" s="192"/>
      <c r="BQN2" s="181"/>
      <c r="BQO2" s="180"/>
      <c r="BQP2" s="197"/>
      <c r="BQQ2" s="179"/>
      <c r="BQR2" s="196"/>
      <c r="BQS2" s="179"/>
      <c r="BQT2" s="196"/>
      <c r="BQU2" s="196"/>
      <c r="BQV2" s="161"/>
      <c r="BQW2" s="193"/>
      <c r="BQX2" s="193"/>
      <c r="BQY2" s="194"/>
      <c r="BQZ2" s="194"/>
      <c r="BRA2" s="194"/>
      <c r="BRB2" s="194"/>
      <c r="BRC2" s="194"/>
      <c r="BRD2" s="161"/>
      <c r="BRE2" s="161"/>
      <c r="BRF2" s="194"/>
      <c r="BRG2" s="161"/>
      <c r="BRH2" s="193"/>
      <c r="BRI2" s="194"/>
      <c r="BRJ2" s="161"/>
      <c r="BRK2" s="161"/>
      <c r="BRL2" s="161"/>
      <c r="BRM2" s="194"/>
      <c r="BRN2" s="194"/>
      <c r="BRO2" s="194"/>
      <c r="BRP2" s="161"/>
      <c r="BRQ2" s="194"/>
      <c r="BRR2" s="194"/>
      <c r="BRS2" s="161"/>
      <c r="BRT2" s="194"/>
      <c r="BRU2" s="194"/>
      <c r="BRV2" s="194"/>
      <c r="BRW2" s="194"/>
      <c r="BRX2" s="194"/>
      <c r="BRY2" s="194"/>
      <c r="BRZ2" s="161"/>
      <c r="BSA2" s="195"/>
      <c r="BSB2" s="195"/>
      <c r="BSC2" s="161"/>
      <c r="BSD2" s="161"/>
      <c r="BSE2" s="161"/>
      <c r="BSF2" s="161"/>
      <c r="BSG2" s="196"/>
      <c r="BSH2" s="196"/>
      <c r="BSI2" s="192"/>
      <c r="BSJ2" s="181"/>
      <c r="BSK2" s="180"/>
      <c r="BSL2" s="197"/>
      <c r="BSM2" s="179"/>
      <c r="BSN2" s="196"/>
      <c r="BSO2" s="179"/>
      <c r="BSP2" s="196"/>
      <c r="BSQ2" s="196"/>
      <c r="BSR2" s="161"/>
      <c r="BSS2" s="193"/>
      <c r="BST2" s="193"/>
      <c r="BSU2" s="194"/>
      <c r="BSV2" s="194"/>
      <c r="BSW2" s="194"/>
      <c r="BSX2" s="194"/>
      <c r="BSY2" s="194"/>
      <c r="BSZ2" s="161"/>
      <c r="BTA2" s="161"/>
      <c r="BTB2" s="194"/>
      <c r="BTC2" s="161"/>
      <c r="BTD2" s="193"/>
      <c r="BTE2" s="194"/>
      <c r="BTF2" s="161"/>
      <c r="BTG2" s="161"/>
      <c r="BTH2" s="161"/>
      <c r="BTI2" s="194"/>
      <c r="BTJ2" s="194"/>
      <c r="BTK2" s="194"/>
      <c r="BTL2" s="161"/>
      <c r="BTM2" s="194"/>
      <c r="BTN2" s="194"/>
      <c r="BTO2" s="161"/>
      <c r="BTP2" s="194"/>
      <c r="BTQ2" s="194"/>
      <c r="BTR2" s="194"/>
      <c r="BTS2" s="194"/>
      <c r="BTT2" s="194"/>
      <c r="BTU2" s="194"/>
      <c r="BTV2" s="161"/>
      <c r="BTW2" s="195"/>
      <c r="BTX2" s="195"/>
      <c r="BTY2" s="161"/>
      <c r="BTZ2" s="161"/>
      <c r="BUA2" s="161"/>
      <c r="BUB2" s="161"/>
      <c r="BUC2" s="196"/>
      <c r="BUD2" s="196"/>
      <c r="BUE2" s="192"/>
      <c r="BUF2" s="181"/>
      <c r="BUG2" s="180"/>
      <c r="BUH2" s="197"/>
      <c r="BUI2" s="179"/>
      <c r="BUJ2" s="196"/>
      <c r="BUK2" s="179"/>
      <c r="BUL2" s="196"/>
      <c r="BUM2" s="196"/>
      <c r="BUN2" s="161"/>
      <c r="BUO2" s="193"/>
      <c r="BUP2" s="193"/>
      <c r="BUQ2" s="194"/>
      <c r="BUR2" s="194"/>
      <c r="BUS2" s="194"/>
      <c r="BUT2" s="194"/>
      <c r="BUU2" s="194"/>
      <c r="BUV2" s="161"/>
      <c r="BUW2" s="161"/>
      <c r="BUX2" s="194"/>
      <c r="BUY2" s="161"/>
      <c r="BUZ2" s="193"/>
      <c r="BVA2" s="194"/>
      <c r="BVB2" s="161"/>
      <c r="BVC2" s="161"/>
      <c r="BVD2" s="161"/>
      <c r="BVE2" s="194"/>
      <c r="BVF2" s="194"/>
      <c r="BVG2" s="194"/>
      <c r="BVH2" s="161"/>
      <c r="BVI2" s="194"/>
      <c r="BVJ2" s="194"/>
      <c r="BVK2" s="161"/>
      <c r="BVL2" s="194"/>
      <c r="BVM2" s="194"/>
      <c r="BVN2" s="194"/>
      <c r="BVO2" s="194"/>
      <c r="BVP2" s="194"/>
      <c r="BVQ2" s="194"/>
      <c r="BVR2" s="161"/>
      <c r="BVS2" s="195"/>
      <c r="BVT2" s="195"/>
      <c r="BVU2" s="161"/>
      <c r="BVV2" s="161"/>
      <c r="BVW2" s="161"/>
      <c r="BVX2" s="161"/>
      <c r="BVY2" s="196"/>
      <c r="BVZ2" s="196"/>
      <c r="BWA2" s="192"/>
      <c r="BWB2" s="181"/>
      <c r="BWC2" s="180"/>
      <c r="BWD2" s="197"/>
      <c r="BWE2" s="179"/>
      <c r="BWF2" s="196"/>
      <c r="BWG2" s="179"/>
      <c r="BWH2" s="196"/>
      <c r="BWI2" s="196"/>
      <c r="BWJ2" s="161"/>
      <c r="BWK2" s="193"/>
      <c r="BWL2" s="193"/>
      <c r="BWM2" s="194"/>
      <c r="BWN2" s="194"/>
      <c r="BWO2" s="194"/>
      <c r="BWP2" s="194"/>
      <c r="BWQ2" s="194"/>
      <c r="BWR2" s="161"/>
      <c r="BWS2" s="161"/>
      <c r="BWT2" s="194"/>
      <c r="BWU2" s="161"/>
      <c r="BWV2" s="193"/>
      <c r="BWW2" s="194"/>
      <c r="BWX2" s="161"/>
      <c r="BWY2" s="161"/>
      <c r="BWZ2" s="161"/>
      <c r="BXA2" s="194"/>
      <c r="BXB2" s="194"/>
      <c r="BXC2" s="194"/>
      <c r="BXD2" s="161"/>
      <c r="BXE2" s="194"/>
      <c r="BXF2" s="194"/>
      <c r="BXG2" s="161"/>
      <c r="BXH2" s="194"/>
      <c r="BXI2" s="194"/>
      <c r="BXJ2" s="194"/>
      <c r="BXK2" s="194"/>
      <c r="BXL2" s="194"/>
      <c r="BXM2" s="194"/>
      <c r="BXN2" s="161"/>
      <c r="BXO2" s="195"/>
      <c r="BXP2" s="195"/>
      <c r="BXQ2" s="161"/>
      <c r="BXR2" s="161"/>
      <c r="BXS2" s="161"/>
      <c r="BXT2" s="161"/>
      <c r="BXU2" s="196"/>
      <c r="BXV2" s="196"/>
      <c r="BXW2" s="192"/>
      <c r="BXX2" s="181"/>
      <c r="BXY2" s="180"/>
      <c r="BXZ2" s="197"/>
      <c r="BYA2" s="179"/>
      <c r="BYB2" s="196"/>
      <c r="BYC2" s="179"/>
      <c r="BYD2" s="196"/>
      <c r="BYE2" s="196"/>
      <c r="BYF2" s="161"/>
      <c r="BYG2" s="193"/>
      <c r="BYH2" s="193"/>
      <c r="BYI2" s="194"/>
      <c r="BYJ2" s="194"/>
      <c r="BYK2" s="194"/>
      <c r="BYL2" s="194"/>
      <c r="BYM2" s="194"/>
      <c r="BYN2" s="161"/>
      <c r="BYO2" s="161"/>
      <c r="BYP2" s="194"/>
      <c r="BYQ2" s="161"/>
      <c r="BYR2" s="193"/>
      <c r="BYS2" s="194"/>
      <c r="BYT2" s="161"/>
      <c r="BYU2" s="161"/>
      <c r="BYV2" s="161"/>
      <c r="BYW2" s="194"/>
      <c r="BYX2" s="194"/>
      <c r="BYY2" s="194"/>
      <c r="BYZ2" s="161"/>
      <c r="BZA2" s="194"/>
      <c r="BZB2" s="194"/>
      <c r="BZC2" s="161"/>
      <c r="BZD2" s="194"/>
      <c r="BZE2" s="194"/>
      <c r="BZF2" s="194"/>
      <c r="BZG2" s="194"/>
      <c r="BZH2" s="194"/>
      <c r="BZI2" s="194"/>
      <c r="BZJ2" s="161"/>
      <c r="BZK2" s="195"/>
      <c r="BZL2" s="195"/>
      <c r="BZM2" s="161"/>
      <c r="BZN2" s="161"/>
      <c r="BZO2" s="161"/>
      <c r="BZP2" s="161"/>
      <c r="BZQ2" s="196"/>
      <c r="BZR2" s="196"/>
      <c r="BZS2" s="192"/>
      <c r="BZT2" s="181"/>
      <c r="BZU2" s="180"/>
      <c r="BZV2" s="197"/>
      <c r="BZW2" s="179"/>
      <c r="BZX2" s="196"/>
      <c r="BZY2" s="179"/>
      <c r="BZZ2" s="196"/>
      <c r="CAA2" s="196"/>
      <c r="CAB2" s="161"/>
      <c r="CAC2" s="193"/>
      <c r="CAD2" s="193"/>
      <c r="CAE2" s="194"/>
      <c r="CAF2" s="194"/>
      <c r="CAG2" s="194"/>
      <c r="CAH2" s="194"/>
      <c r="CAI2" s="194"/>
      <c r="CAJ2" s="161"/>
      <c r="CAK2" s="161"/>
      <c r="CAL2" s="194"/>
      <c r="CAM2" s="161"/>
      <c r="CAN2" s="193"/>
      <c r="CAO2" s="194"/>
      <c r="CAP2" s="161"/>
      <c r="CAQ2" s="161"/>
      <c r="CAR2" s="161"/>
      <c r="CAS2" s="194"/>
      <c r="CAT2" s="194"/>
      <c r="CAU2" s="194"/>
      <c r="CAV2" s="161"/>
      <c r="CAW2" s="194"/>
      <c r="CAX2" s="194"/>
      <c r="CAY2" s="161"/>
      <c r="CAZ2" s="194"/>
      <c r="CBA2" s="194"/>
      <c r="CBB2" s="194"/>
      <c r="CBC2" s="194"/>
      <c r="CBD2" s="194"/>
      <c r="CBE2" s="194"/>
      <c r="CBF2" s="161"/>
      <c r="CBG2" s="195"/>
      <c r="CBH2" s="195"/>
      <c r="CBI2" s="161"/>
      <c r="CBJ2" s="161"/>
      <c r="CBK2" s="161"/>
      <c r="CBL2" s="161"/>
      <c r="CBM2" s="196"/>
      <c r="CBN2" s="196"/>
      <c r="CBO2" s="192"/>
      <c r="CBP2" s="181"/>
      <c r="CBQ2" s="180"/>
      <c r="CBR2" s="197"/>
      <c r="CBS2" s="179"/>
      <c r="CBT2" s="196"/>
      <c r="CBU2" s="179"/>
      <c r="CBV2" s="196"/>
      <c r="CBW2" s="196"/>
      <c r="CBX2" s="161"/>
      <c r="CBY2" s="193"/>
      <c r="CBZ2" s="193"/>
      <c r="CCA2" s="194"/>
      <c r="CCB2" s="194"/>
      <c r="CCC2" s="194"/>
      <c r="CCD2" s="194"/>
      <c r="CCE2" s="194"/>
      <c r="CCF2" s="161"/>
      <c r="CCG2" s="161"/>
      <c r="CCH2" s="194"/>
      <c r="CCI2" s="161"/>
      <c r="CCJ2" s="193"/>
      <c r="CCK2" s="194"/>
      <c r="CCL2" s="161"/>
      <c r="CCM2" s="161"/>
      <c r="CCN2" s="161"/>
      <c r="CCO2" s="194"/>
      <c r="CCP2" s="194"/>
      <c r="CCQ2" s="194"/>
      <c r="CCR2" s="161"/>
      <c r="CCS2" s="194"/>
      <c r="CCT2" s="194"/>
      <c r="CCU2" s="161"/>
      <c r="CCV2" s="194"/>
      <c r="CCW2" s="194"/>
      <c r="CCX2" s="194"/>
      <c r="CCY2" s="194"/>
      <c r="CCZ2" s="194"/>
      <c r="CDA2" s="194"/>
      <c r="CDB2" s="161"/>
      <c r="CDC2" s="195"/>
      <c r="CDD2" s="195"/>
      <c r="CDE2" s="161"/>
      <c r="CDF2" s="161"/>
      <c r="CDG2" s="161"/>
      <c r="CDH2" s="161"/>
      <c r="CDI2" s="196"/>
      <c r="CDJ2" s="196"/>
      <c r="CDK2" s="192"/>
      <c r="CDL2" s="181"/>
      <c r="CDM2" s="180"/>
      <c r="CDN2" s="197"/>
      <c r="CDO2" s="179"/>
      <c r="CDP2" s="196"/>
      <c r="CDQ2" s="179"/>
      <c r="CDR2" s="196"/>
      <c r="CDS2" s="196"/>
      <c r="CDT2" s="161"/>
      <c r="CDU2" s="193"/>
      <c r="CDV2" s="193"/>
      <c r="CDW2" s="194"/>
      <c r="CDX2" s="194"/>
      <c r="CDY2" s="194"/>
      <c r="CDZ2" s="194"/>
      <c r="CEA2" s="194"/>
      <c r="CEB2" s="161"/>
      <c r="CEC2" s="161"/>
      <c r="CED2" s="194"/>
      <c r="CEE2" s="161"/>
      <c r="CEF2" s="193"/>
      <c r="CEG2" s="194"/>
      <c r="CEH2" s="161"/>
      <c r="CEI2" s="161"/>
      <c r="CEJ2" s="161"/>
      <c r="CEK2" s="194"/>
      <c r="CEL2" s="194"/>
      <c r="CEM2" s="194"/>
      <c r="CEN2" s="161"/>
      <c r="CEO2" s="194"/>
      <c r="CEP2" s="194"/>
      <c r="CEQ2" s="161"/>
      <c r="CER2" s="194"/>
      <c r="CES2" s="194"/>
      <c r="CET2" s="194"/>
      <c r="CEU2" s="194"/>
      <c r="CEV2" s="194"/>
      <c r="CEW2" s="194"/>
      <c r="CEX2" s="161"/>
      <c r="CEY2" s="195"/>
      <c r="CEZ2" s="195"/>
      <c r="CFA2" s="161"/>
      <c r="CFB2" s="161"/>
      <c r="CFC2" s="161"/>
      <c r="CFD2" s="161"/>
      <c r="CFE2" s="196"/>
      <c r="CFF2" s="196"/>
      <c r="CFG2" s="192"/>
      <c r="CFH2" s="181"/>
      <c r="CFI2" s="180"/>
      <c r="CFJ2" s="197"/>
      <c r="CFK2" s="179"/>
      <c r="CFL2" s="196"/>
      <c r="CFM2" s="179"/>
      <c r="CFN2" s="196"/>
      <c r="CFO2" s="196"/>
      <c r="CFP2" s="161"/>
      <c r="CFQ2" s="193"/>
      <c r="CFR2" s="193"/>
      <c r="CFS2" s="194"/>
      <c r="CFT2" s="194"/>
      <c r="CFU2" s="194"/>
      <c r="CFV2" s="194"/>
      <c r="CFW2" s="194"/>
      <c r="CFX2" s="161"/>
      <c r="CFY2" s="161"/>
      <c r="CFZ2" s="194"/>
      <c r="CGA2" s="161"/>
      <c r="CGB2" s="193"/>
      <c r="CGC2" s="194"/>
      <c r="CGD2" s="161"/>
      <c r="CGE2" s="161"/>
      <c r="CGF2" s="161"/>
      <c r="CGG2" s="194"/>
      <c r="CGH2" s="194"/>
      <c r="CGI2" s="194"/>
      <c r="CGJ2" s="161"/>
      <c r="CGK2" s="194"/>
      <c r="CGL2" s="194"/>
      <c r="CGM2" s="161"/>
      <c r="CGN2" s="194"/>
      <c r="CGO2" s="194"/>
      <c r="CGP2" s="194"/>
      <c r="CGQ2" s="194"/>
      <c r="CGR2" s="194"/>
      <c r="CGS2" s="194"/>
      <c r="CGT2" s="161"/>
      <c r="CGU2" s="195"/>
      <c r="CGV2" s="195"/>
      <c r="CGW2" s="161"/>
      <c r="CGX2" s="161"/>
      <c r="CGY2" s="161"/>
      <c r="CGZ2" s="161"/>
      <c r="CHA2" s="196"/>
      <c r="CHB2" s="196"/>
      <c r="CHC2" s="192"/>
      <c r="CHD2" s="181"/>
      <c r="CHE2" s="180"/>
      <c r="CHF2" s="197"/>
      <c r="CHG2" s="179"/>
      <c r="CHH2" s="196"/>
      <c r="CHI2" s="179"/>
      <c r="CHJ2" s="196"/>
      <c r="CHK2" s="196"/>
      <c r="CHL2" s="161"/>
      <c r="CHM2" s="193"/>
      <c r="CHN2" s="193"/>
      <c r="CHO2" s="194"/>
      <c r="CHP2" s="194"/>
      <c r="CHQ2" s="194"/>
      <c r="CHR2" s="194"/>
      <c r="CHS2" s="194"/>
      <c r="CHT2" s="161"/>
      <c r="CHU2" s="161"/>
      <c r="CHV2" s="194"/>
      <c r="CHW2" s="161"/>
      <c r="CHX2" s="193"/>
      <c r="CHY2" s="194"/>
      <c r="CHZ2" s="161"/>
      <c r="CIA2" s="161"/>
      <c r="CIB2" s="161"/>
      <c r="CIC2" s="194"/>
      <c r="CID2" s="194"/>
      <c r="CIE2" s="194"/>
      <c r="CIF2" s="161"/>
      <c r="CIG2" s="194"/>
      <c r="CIH2" s="194"/>
      <c r="CII2" s="161"/>
      <c r="CIJ2" s="194"/>
      <c r="CIK2" s="194"/>
      <c r="CIL2" s="194"/>
      <c r="CIM2" s="194"/>
      <c r="CIN2" s="194"/>
      <c r="CIO2" s="194"/>
      <c r="CIP2" s="161"/>
      <c r="CIQ2" s="195"/>
      <c r="CIR2" s="195"/>
      <c r="CIS2" s="161"/>
      <c r="CIT2" s="161"/>
      <c r="CIU2" s="161"/>
      <c r="CIV2" s="161"/>
      <c r="CIW2" s="196"/>
      <c r="CIX2" s="196"/>
      <c r="CIY2" s="192"/>
      <c r="CIZ2" s="181"/>
      <c r="CJA2" s="180"/>
      <c r="CJB2" s="197"/>
      <c r="CJC2" s="179"/>
      <c r="CJD2" s="196"/>
      <c r="CJE2" s="179"/>
      <c r="CJF2" s="196"/>
      <c r="CJG2" s="196"/>
      <c r="CJH2" s="161"/>
      <c r="CJI2" s="193"/>
      <c r="CJJ2" s="193"/>
      <c r="CJK2" s="194"/>
      <c r="CJL2" s="194"/>
      <c r="CJM2" s="194"/>
      <c r="CJN2" s="194"/>
      <c r="CJO2" s="194"/>
      <c r="CJP2" s="161"/>
      <c r="CJQ2" s="161"/>
      <c r="CJR2" s="194"/>
      <c r="CJS2" s="161"/>
      <c r="CJT2" s="193"/>
      <c r="CJU2" s="194"/>
      <c r="CJV2" s="161"/>
      <c r="CJW2" s="161"/>
      <c r="CJX2" s="161"/>
      <c r="CJY2" s="194"/>
      <c r="CJZ2" s="194"/>
      <c r="CKA2" s="194"/>
      <c r="CKB2" s="161"/>
      <c r="CKC2" s="194"/>
      <c r="CKD2" s="194"/>
      <c r="CKE2" s="161"/>
      <c r="CKF2" s="194"/>
      <c r="CKG2" s="194"/>
      <c r="CKH2" s="194"/>
      <c r="CKI2" s="194"/>
      <c r="CKJ2" s="194"/>
      <c r="CKK2" s="194"/>
      <c r="CKL2" s="161"/>
      <c r="CKM2" s="195"/>
      <c r="CKN2" s="195"/>
      <c r="CKO2" s="161"/>
      <c r="CKP2" s="161"/>
      <c r="CKQ2" s="161"/>
      <c r="CKR2" s="161"/>
      <c r="CKS2" s="196"/>
      <c r="CKT2" s="196"/>
      <c r="CKU2" s="192"/>
      <c r="CKV2" s="181"/>
      <c r="CKW2" s="180"/>
      <c r="CKX2" s="197"/>
      <c r="CKY2" s="179"/>
      <c r="CKZ2" s="196"/>
      <c r="CLA2" s="179"/>
      <c r="CLB2" s="196"/>
      <c r="CLC2" s="196"/>
      <c r="CLD2" s="161"/>
      <c r="CLE2" s="193"/>
      <c r="CLF2" s="193"/>
      <c r="CLG2" s="194"/>
      <c r="CLH2" s="194"/>
      <c r="CLI2" s="194"/>
      <c r="CLJ2" s="194"/>
      <c r="CLK2" s="194"/>
      <c r="CLL2" s="161"/>
      <c r="CLM2" s="161"/>
      <c r="CLN2" s="194"/>
      <c r="CLO2" s="161"/>
      <c r="CLP2" s="193"/>
      <c r="CLQ2" s="194"/>
      <c r="CLR2" s="161"/>
      <c r="CLS2" s="161"/>
      <c r="CLT2" s="161"/>
      <c r="CLU2" s="194"/>
      <c r="CLV2" s="194"/>
      <c r="CLW2" s="194"/>
      <c r="CLX2" s="161"/>
      <c r="CLY2" s="194"/>
      <c r="CLZ2" s="194"/>
      <c r="CMA2" s="161"/>
      <c r="CMB2" s="194"/>
      <c r="CMC2" s="194"/>
      <c r="CMD2" s="194"/>
      <c r="CME2" s="194"/>
      <c r="CMF2" s="194"/>
      <c r="CMG2" s="194"/>
      <c r="CMH2" s="161"/>
      <c r="CMI2" s="195"/>
      <c r="CMJ2" s="195"/>
      <c r="CMK2" s="161"/>
      <c r="CML2" s="161"/>
      <c r="CMM2" s="161"/>
      <c r="CMN2" s="161"/>
      <c r="CMO2" s="196"/>
      <c r="CMP2" s="196"/>
      <c r="CMQ2" s="192"/>
      <c r="CMR2" s="181"/>
      <c r="CMS2" s="180"/>
      <c r="CMT2" s="197"/>
      <c r="CMU2" s="179"/>
      <c r="CMV2" s="196"/>
      <c r="CMW2" s="179"/>
      <c r="CMX2" s="196"/>
      <c r="CMY2" s="196"/>
      <c r="CMZ2" s="161"/>
      <c r="CNA2" s="193"/>
      <c r="CNB2" s="193"/>
      <c r="CNC2" s="194"/>
      <c r="CND2" s="194"/>
      <c r="CNE2" s="194"/>
      <c r="CNF2" s="194"/>
      <c r="CNG2" s="194"/>
      <c r="CNH2" s="161"/>
      <c r="CNI2" s="161"/>
      <c r="CNJ2" s="194"/>
      <c r="CNK2" s="161"/>
      <c r="CNL2" s="193"/>
      <c r="CNM2" s="194"/>
      <c r="CNN2" s="161"/>
      <c r="CNO2" s="161"/>
      <c r="CNP2" s="161"/>
      <c r="CNQ2" s="194"/>
      <c r="CNR2" s="194"/>
      <c r="CNS2" s="194"/>
      <c r="CNT2" s="161"/>
      <c r="CNU2" s="194"/>
      <c r="CNV2" s="194"/>
      <c r="CNW2" s="161"/>
      <c r="CNX2" s="194"/>
      <c r="CNY2" s="194"/>
      <c r="CNZ2" s="194"/>
      <c r="COA2" s="194"/>
      <c r="COB2" s="194"/>
      <c r="COC2" s="194"/>
      <c r="COD2" s="161"/>
      <c r="COE2" s="195"/>
      <c r="COF2" s="195"/>
      <c r="COG2" s="161"/>
      <c r="COH2" s="161"/>
      <c r="COI2" s="161"/>
      <c r="COJ2" s="161"/>
      <c r="COK2" s="196"/>
      <c r="COL2" s="196"/>
      <c r="COM2" s="192"/>
      <c r="CON2" s="181"/>
      <c r="COO2" s="180"/>
      <c r="COP2" s="197"/>
      <c r="COQ2" s="179"/>
      <c r="COR2" s="196"/>
      <c r="COS2" s="179"/>
      <c r="COT2" s="196"/>
      <c r="COU2" s="196"/>
      <c r="COV2" s="161"/>
      <c r="COW2" s="193"/>
      <c r="COX2" s="193"/>
      <c r="COY2" s="194"/>
      <c r="COZ2" s="194"/>
      <c r="CPA2" s="194"/>
      <c r="CPB2" s="194"/>
      <c r="CPC2" s="194"/>
      <c r="CPD2" s="161"/>
      <c r="CPE2" s="161"/>
      <c r="CPF2" s="194"/>
      <c r="CPG2" s="161"/>
      <c r="CPH2" s="193"/>
      <c r="CPI2" s="194"/>
      <c r="CPJ2" s="161"/>
      <c r="CPK2" s="161"/>
      <c r="CPL2" s="161"/>
      <c r="CPM2" s="194"/>
      <c r="CPN2" s="194"/>
      <c r="CPO2" s="194"/>
      <c r="CPP2" s="161"/>
      <c r="CPQ2" s="194"/>
      <c r="CPR2" s="194"/>
      <c r="CPS2" s="161"/>
      <c r="CPT2" s="194"/>
      <c r="CPU2" s="194"/>
      <c r="CPV2" s="194"/>
      <c r="CPW2" s="194"/>
      <c r="CPX2" s="194"/>
      <c r="CPY2" s="194"/>
      <c r="CPZ2" s="161"/>
      <c r="CQA2" s="195"/>
      <c r="CQB2" s="195"/>
      <c r="CQC2" s="161"/>
      <c r="CQD2" s="161"/>
      <c r="CQE2" s="161"/>
      <c r="CQF2" s="161"/>
      <c r="CQG2" s="196"/>
      <c r="CQH2" s="196"/>
      <c r="CQI2" s="192"/>
      <c r="CQJ2" s="181"/>
      <c r="CQK2" s="180"/>
      <c r="CQL2" s="197"/>
      <c r="CQM2" s="179"/>
      <c r="CQN2" s="196"/>
      <c r="CQO2" s="179"/>
      <c r="CQP2" s="196"/>
      <c r="CQQ2" s="196"/>
      <c r="CQR2" s="161"/>
      <c r="CQS2" s="193"/>
      <c r="CQT2" s="193"/>
      <c r="CQU2" s="194"/>
      <c r="CQV2" s="194"/>
      <c r="CQW2" s="194"/>
      <c r="CQX2" s="194"/>
      <c r="CQY2" s="194"/>
      <c r="CQZ2" s="161"/>
      <c r="CRA2" s="161"/>
      <c r="CRB2" s="194"/>
      <c r="CRC2" s="161"/>
      <c r="CRD2" s="193"/>
      <c r="CRE2" s="194"/>
      <c r="CRF2" s="161"/>
      <c r="CRG2" s="161"/>
      <c r="CRH2" s="161"/>
      <c r="CRI2" s="194"/>
      <c r="CRJ2" s="194"/>
      <c r="CRK2" s="194"/>
      <c r="CRL2" s="161"/>
      <c r="CRM2" s="194"/>
      <c r="CRN2" s="194"/>
      <c r="CRO2" s="161"/>
      <c r="CRP2" s="194"/>
      <c r="CRQ2" s="194"/>
      <c r="CRR2" s="194"/>
      <c r="CRS2" s="194"/>
      <c r="CRT2" s="194"/>
      <c r="CRU2" s="194"/>
      <c r="CRV2" s="161"/>
      <c r="CRW2" s="195"/>
      <c r="CRX2" s="195"/>
      <c r="CRY2" s="161"/>
      <c r="CRZ2" s="161"/>
      <c r="CSA2" s="161"/>
      <c r="CSB2" s="161"/>
      <c r="CSC2" s="196"/>
      <c r="CSD2" s="196"/>
      <c r="CSE2" s="192"/>
      <c r="CSF2" s="181"/>
      <c r="CSG2" s="180"/>
      <c r="CSH2" s="197"/>
      <c r="CSI2" s="179"/>
      <c r="CSJ2" s="196"/>
      <c r="CSK2" s="179"/>
      <c r="CSL2" s="196"/>
      <c r="CSM2" s="196"/>
      <c r="CSN2" s="161"/>
      <c r="CSO2" s="193"/>
      <c r="CSP2" s="193"/>
      <c r="CSQ2" s="194"/>
      <c r="CSR2" s="194"/>
      <c r="CSS2" s="194"/>
      <c r="CST2" s="194"/>
      <c r="CSU2" s="194"/>
      <c r="CSV2" s="161"/>
      <c r="CSW2" s="161"/>
      <c r="CSX2" s="194"/>
      <c r="CSY2" s="161"/>
      <c r="CSZ2" s="193"/>
      <c r="CTA2" s="194"/>
      <c r="CTB2" s="161"/>
      <c r="CTC2" s="161"/>
      <c r="CTD2" s="161"/>
      <c r="CTE2" s="194"/>
      <c r="CTF2" s="194"/>
      <c r="CTG2" s="194"/>
      <c r="CTH2" s="161"/>
      <c r="CTI2" s="194"/>
      <c r="CTJ2" s="194"/>
      <c r="CTK2" s="161"/>
      <c r="CTL2" s="194"/>
      <c r="CTM2" s="194"/>
      <c r="CTN2" s="194"/>
      <c r="CTO2" s="194"/>
      <c r="CTP2" s="194"/>
      <c r="CTQ2" s="194"/>
      <c r="CTR2" s="161"/>
      <c r="CTS2" s="195"/>
      <c r="CTT2" s="195"/>
      <c r="CTU2" s="161"/>
      <c r="CTV2" s="161"/>
      <c r="CTW2" s="161"/>
      <c r="CTX2" s="161"/>
      <c r="CTY2" s="196"/>
      <c r="CTZ2" s="196"/>
      <c r="CUA2" s="192"/>
      <c r="CUB2" s="181"/>
      <c r="CUC2" s="180"/>
      <c r="CUD2" s="197"/>
      <c r="CUE2" s="179"/>
      <c r="CUF2" s="196"/>
      <c r="CUG2" s="179"/>
      <c r="CUH2" s="196"/>
      <c r="CUI2" s="196"/>
      <c r="CUJ2" s="161"/>
      <c r="CUK2" s="193"/>
      <c r="CUL2" s="193"/>
      <c r="CUM2" s="194"/>
      <c r="CUN2" s="194"/>
      <c r="CUO2" s="194"/>
      <c r="CUP2" s="194"/>
      <c r="CUQ2" s="194"/>
      <c r="CUR2" s="161"/>
      <c r="CUS2" s="161"/>
      <c r="CUT2" s="194"/>
      <c r="CUU2" s="161"/>
      <c r="CUV2" s="193"/>
      <c r="CUW2" s="194"/>
      <c r="CUX2" s="161"/>
      <c r="CUY2" s="161"/>
      <c r="CUZ2" s="161"/>
      <c r="CVA2" s="194"/>
      <c r="CVB2" s="194"/>
      <c r="CVC2" s="194"/>
      <c r="CVD2" s="161"/>
      <c r="CVE2" s="194"/>
      <c r="CVF2" s="194"/>
      <c r="CVG2" s="161"/>
      <c r="CVH2" s="194"/>
      <c r="CVI2" s="194"/>
      <c r="CVJ2" s="194"/>
      <c r="CVK2" s="194"/>
      <c r="CVL2" s="194"/>
      <c r="CVM2" s="194"/>
      <c r="CVN2" s="161"/>
      <c r="CVO2" s="195"/>
      <c r="CVP2" s="195"/>
      <c r="CVQ2" s="161"/>
      <c r="CVR2" s="161"/>
      <c r="CVS2" s="161"/>
      <c r="CVT2" s="161"/>
      <c r="CVU2" s="196"/>
      <c r="CVV2" s="196"/>
      <c r="CVW2" s="192"/>
      <c r="CVX2" s="181"/>
      <c r="CVY2" s="180"/>
      <c r="CVZ2" s="197"/>
      <c r="CWA2" s="179"/>
      <c r="CWB2" s="196"/>
      <c r="CWC2" s="179"/>
      <c r="CWD2" s="196"/>
      <c r="CWE2" s="196"/>
      <c r="CWF2" s="161"/>
      <c r="CWG2" s="193"/>
      <c r="CWH2" s="193"/>
      <c r="CWI2" s="194"/>
      <c r="CWJ2" s="194"/>
      <c r="CWK2" s="194"/>
      <c r="CWL2" s="194"/>
      <c r="CWM2" s="194"/>
      <c r="CWN2" s="161"/>
      <c r="CWO2" s="161"/>
      <c r="CWP2" s="194"/>
      <c r="CWQ2" s="161"/>
      <c r="CWR2" s="193"/>
      <c r="CWS2" s="194"/>
      <c r="CWT2" s="161"/>
      <c r="CWU2" s="161"/>
      <c r="CWV2" s="161"/>
      <c r="CWW2" s="194"/>
      <c r="CWX2" s="194"/>
      <c r="CWY2" s="194"/>
      <c r="CWZ2" s="161"/>
      <c r="CXA2" s="194"/>
      <c r="CXB2" s="194"/>
      <c r="CXC2" s="161"/>
      <c r="CXD2" s="194"/>
      <c r="CXE2" s="194"/>
      <c r="CXF2" s="194"/>
      <c r="CXG2" s="194"/>
      <c r="CXH2" s="194"/>
      <c r="CXI2" s="194"/>
      <c r="CXJ2" s="161"/>
      <c r="CXK2" s="195"/>
      <c r="CXL2" s="195"/>
      <c r="CXM2" s="161"/>
      <c r="CXN2" s="161"/>
      <c r="CXO2" s="161"/>
      <c r="CXP2" s="161"/>
      <c r="CXQ2" s="196"/>
      <c r="CXR2" s="196"/>
      <c r="CXS2" s="192"/>
      <c r="CXT2" s="181"/>
      <c r="CXU2" s="180"/>
      <c r="CXV2" s="197"/>
      <c r="CXW2" s="179"/>
      <c r="CXX2" s="196"/>
      <c r="CXY2" s="179"/>
      <c r="CXZ2" s="196"/>
      <c r="CYA2" s="196"/>
      <c r="CYB2" s="161"/>
      <c r="CYC2" s="193"/>
      <c r="CYD2" s="193"/>
      <c r="CYE2" s="194"/>
      <c r="CYF2" s="194"/>
      <c r="CYG2" s="194"/>
      <c r="CYH2" s="194"/>
      <c r="CYI2" s="194"/>
      <c r="CYJ2" s="161"/>
      <c r="CYK2" s="161"/>
      <c r="CYL2" s="194"/>
      <c r="CYM2" s="161"/>
      <c r="CYN2" s="193"/>
      <c r="CYO2" s="194"/>
      <c r="CYP2" s="161"/>
      <c r="CYQ2" s="161"/>
      <c r="CYR2" s="161"/>
      <c r="CYS2" s="194"/>
      <c r="CYT2" s="194"/>
      <c r="CYU2" s="194"/>
      <c r="CYV2" s="161"/>
      <c r="CYW2" s="194"/>
      <c r="CYX2" s="194"/>
      <c r="CYY2" s="161"/>
      <c r="CYZ2" s="194"/>
      <c r="CZA2" s="194"/>
      <c r="CZB2" s="194"/>
      <c r="CZC2" s="194"/>
      <c r="CZD2" s="194"/>
      <c r="CZE2" s="194"/>
      <c r="CZF2" s="161"/>
      <c r="CZG2" s="195"/>
      <c r="CZH2" s="195"/>
      <c r="CZI2" s="161"/>
      <c r="CZJ2" s="161"/>
      <c r="CZK2" s="161"/>
      <c r="CZL2" s="161"/>
      <c r="CZM2" s="196"/>
      <c r="CZN2" s="196"/>
      <c r="CZO2" s="192"/>
      <c r="CZP2" s="181"/>
      <c r="CZQ2" s="180"/>
      <c r="CZR2" s="197"/>
      <c r="CZS2" s="179"/>
      <c r="CZT2" s="196"/>
      <c r="CZU2" s="179"/>
      <c r="CZV2" s="196"/>
      <c r="CZW2" s="196"/>
      <c r="CZX2" s="161"/>
      <c r="CZY2" s="193"/>
      <c r="CZZ2" s="193"/>
      <c r="DAA2" s="194"/>
      <c r="DAB2" s="194"/>
      <c r="DAC2" s="194"/>
      <c r="DAD2" s="194"/>
      <c r="DAE2" s="194"/>
      <c r="DAF2" s="161"/>
      <c r="DAG2" s="161"/>
      <c r="DAH2" s="194"/>
      <c r="DAI2" s="161"/>
      <c r="DAJ2" s="193"/>
      <c r="DAK2" s="194"/>
      <c r="DAL2" s="161"/>
      <c r="DAM2" s="161"/>
      <c r="DAN2" s="161"/>
      <c r="DAO2" s="194"/>
      <c r="DAP2" s="194"/>
      <c r="DAQ2" s="194"/>
      <c r="DAR2" s="161"/>
      <c r="DAS2" s="194"/>
      <c r="DAT2" s="194"/>
      <c r="DAU2" s="161"/>
      <c r="DAV2" s="194"/>
      <c r="DAW2" s="194"/>
      <c r="DAX2" s="194"/>
      <c r="DAY2" s="194"/>
      <c r="DAZ2" s="194"/>
      <c r="DBA2" s="194"/>
      <c r="DBB2" s="161"/>
      <c r="DBC2" s="195"/>
      <c r="DBD2" s="195"/>
      <c r="DBE2" s="161"/>
      <c r="DBF2" s="161"/>
      <c r="DBG2" s="161"/>
      <c r="DBH2" s="161"/>
      <c r="DBI2" s="196"/>
      <c r="DBJ2" s="196"/>
      <c r="DBK2" s="192"/>
      <c r="DBL2" s="181"/>
      <c r="DBM2" s="180"/>
      <c r="DBN2" s="197"/>
      <c r="DBO2" s="179"/>
      <c r="DBP2" s="196"/>
      <c r="DBQ2" s="179"/>
      <c r="DBR2" s="196"/>
      <c r="DBS2" s="196"/>
      <c r="DBT2" s="161"/>
      <c r="DBU2" s="193"/>
      <c r="DBV2" s="193"/>
      <c r="DBW2" s="194"/>
      <c r="DBX2" s="194"/>
      <c r="DBY2" s="194"/>
      <c r="DBZ2" s="194"/>
      <c r="DCA2" s="194"/>
      <c r="DCB2" s="161"/>
      <c r="DCC2" s="161"/>
      <c r="DCD2" s="194"/>
      <c r="DCE2" s="161"/>
      <c r="DCF2" s="193"/>
      <c r="DCG2" s="194"/>
      <c r="DCH2" s="161"/>
      <c r="DCI2" s="161"/>
      <c r="DCJ2" s="161"/>
      <c r="DCK2" s="194"/>
      <c r="DCL2" s="194"/>
      <c r="DCM2" s="194"/>
      <c r="DCN2" s="161"/>
      <c r="DCO2" s="194"/>
      <c r="DCP2" s="194"/>
      <c r="DCQ2" s="161"/>
      <c r="DCR2" s="194"/>
      <c r="DCS2" s="194"/>
      <c r="DCT2" s="194"/>
      <c r="DCU2" s="194"/>
      <c r="DCV2" s="194"/>
      <c r="DCW2" s="194"/>
      <c r="DCX2" s="161"/>
      <c r="DCY2" s="195"/>
      <c r="DCZ2" s="195"/>
      <c r="DDA2" s="161"/>
      <c r="DDB2" s="161"/>
      <c r="DDC2" s="161"/>
      <c r="DDD2" s="161"/>
      <c r="DDE2" s="196"/>
      <c r="DDF2" s="196"/>
      <c r="DDG2" s="192"/>
      <c r="DDH2" s="181"/>
      <c r="DDI2" s="180"/>
      <c r="DDJ2" s="197"/>
      <c r="DDK2" s="179"/>
      <c r="DDL2" s="196"/>
      <c r="DDM2" s="179"/>
      <c r="DDN2" s="196"/>
      <c r="DDO2" s="196"/>
      <c r="DDP2" s="161"/>
      <c r="DDQ2" s="193"/>
      <c r="DDR2" s="193"/>
      <c r="DDS2" s="194"/>
      <c r="DDT2" s="194"/>
      <c r="DDU2" s="194"/>
      <c r="DDV2" s="194"/>
      <c r="DDW2" s="194"/>
      <c r="DDX2" s="161"/>
      <c r="DDY2" s="161"/>
      <c r="DDZ2" s="194"/>
      <c r="DEA2" s="161"/>
      <c r="DEB2" s="193"/>
      <c r="DEC2" s="194"/>
      <c r="DED2" s="161"/>
      <c r="DEE2" s="161"/>
      <c r="DEF2" s="161"/>
      <c r="DEG2" s="194"/>
      <c r="DEH2" s="194"/>
      <c r="DEI2" s="194"/>
      <c r="DEJ2" s="161"/>
      <c r="DEK2" s="194"/>
      <c r="DEL2" s="194"/>
      <c r="DEM2" s="161"/>
      <c r="DEN2" s="194"/>
      <c r="DEO2" s="194"/>
      <c r="DEP2" s="194"/>
      <c r="DEQ2" s="194"/>
      <c r="DER2" s="194"/>
      <c r="DES2" s="194"/>
      <c r="DET2" s="161"/>
      <c r="DEU2" s="195"/>
      <c r="DEV2" s="195"/>
      <c r="DEW2" s="161"/>
      <c r="DEX2" s="161"/>
      <c r="DEY2" s="161"/>
      <c r="DEZ2" s="161"/>
      <c r="DFA2" s="196"/>
      <c r="DFB2" s="196"/>
      <c r="DFC2" s="192"/>
      <c r="DFD2" s="181"/>
      <c r="DFE2" s="180"/>
      <c r="DFF2" s="197"/>
      <c r="DFG2" s="179"/>
      <c r="DFH2" s="196"/>
      <c r="DFI2" s="179"/>
      <c r="DFJ2" s="196"/>
      <c r="DFK2" s="196"/>
      <c r="DFL2" s="161"/>
      <c r="DFM2" s="193"/>
      <c r="DFN2" s="193"/>
      <c r="DFO2" s="194"/>
      <c r="DFP2" s="194"/>
      <c r="DFQ2" s="194"/>
      <c r="DFR2" s="194"/>
      <c r="DFS2" s="194"/>
      <c r="DFT2" s="161"/>
      <c r="DFU2" s="161"/>
      <c r="DFV2" s="194"/>
      <c r="DFW2" s="161"/>
      <c r="DFX2" s="193"/>
      <c r="DFY2" s="194"/>
      <c r="DFZ2" s="161"/>
      <c r="DGA2" s="161"/>
      <c r="DGB2" s="161"/>
      <c r="DGC2" s="194"/>
      <c r="DGD2" s="194"/>
      <c r="DGE2" s="194"/>
      <c r="DGF2" s="161"/>
      <c r="DGG2" s="194"/>
      <c r="DGH2" s="194"/>
      <c r="DGI2" s="161"/>
      <c r="DGJ2" s="194"/>
      <c r="DGK2" s="194"/>
      <c r="DGL2" s="194"/>
      <c r="DGM2" s="194"/>
      <c r="DGN2" s="194"/>
      <c r="DGO2" s="194"/>
      <c r="DGP2" s="161"/>
      <c r="DGQ2" s="195"/>
      <c r="DGR2" s="195"/>
      <c r="DGS2" s="161"/>
      <c r="DGT2" s="161"/>
      <c r="DGU2" s="161"/>
      <c r="DGV2" s="161"/>
      <c r="DGW2" s="196"/>
      <c r="DGX2" s="196"/>
      <c r="DGY2" s="192"/>
      <c r="DGZ2" s="181"/>
      <c r="DHA2" s="180"/>
      <c r="DHB2" s="197"/>
      <c r="DHC2" s="179"/>
      <c r="DHD2" s="196"/>
      <c r="DHE2" s="179"/>
      <c r="DHF2" s="196"/>
      <c r="DHG2" s="196"/>
      <c r="DHH2" s="161"/>
      <c r="DHI2" s="193"/>
      <c r="DHJ2" s="193"/>
      <c r="DHK2" s="194"/>
      <c r="DHL2" s="194"/>
      <c r="DHM2" s="194"/>
      <c r="DHN2" s="194"/>
      <c r="DHO2" s="194"/>
      <c r="DHP2" s="161"/>
      <c r="DHQ2" s="161"/>
      <c r="DHR2" s="194"/>
      <c r="DHS2" s="161"/>
      <c r="DHT2" s="193"/>
      <c r="DHU2" s="194"/>
      <c r="DHV2" s="161"/>
      <c r="DHW2" s="161"/>
      <c r="DHX2" s="161"/>
      <c r="DHY2" s="194"/>
      <c r="DHZ2" s="194"/>
      <c r="DIA2" s="194"/>
      <c r="DIB2" s="161"/>
      <c r="DIC2" s="194"/>
      <c r="DID2" s="194"/>
      <c r="DIE2" s="161"/>
      <c r="DIF2" s="194"/>
      <c r="DIG2" s="194"/>
      <c r="DIH2" s="194"/>
      <c r="DII2" s="194"/>
      <c r="DIJ2" s="194"/>
      <c r="DIK2" s="194"/>
      <c r="DIL2" s="161"/>
      <c r="DIM2" s="195"/>
      <c r="DIN2" s="195"/>
      <c r="DIO2" s="161"/>
      <c r="DIP2" s="161"/>
      <c r="DIQ2" s="161"/>
      <c r="DIR2" s="161"/>
      <c r="DIS2" s="196"/>
      <c r="DIT2" s="196"/>
      <c r="DIU2" s="192"/>
      <c r="DIV2" s="181"/>
      <c r="DIW2" s="180"/>
      <c r="DIX2" s="197"/>
      <c r="DIY2" s="179"/>
      <c r="DIZ2" s="196"/>
      <c r="DJA2" s="179"/>
      <c r="DJB2" s="196"/>
      <c r="DJC2" s="196"/>
      <c r="DJD2" s="161"/>
      <c r="DJE2" s="193"/>
      <c r="DJF2" s="193"/>
      <c r="DJG2" s="194"/>
      <c r="DJH2" s="194"/>
      <c r="DJI2" s="194"/>
      <c r="DJJ2" s="194"/>
      <c r="DJK2" s="194"/>
      <c r="DJL2" s="161"/>
      <c r="DJM2" s="161"/>
      <c r="DJN2" s="194"/>
      <c r="DJO2" s="161"/>
      <c r="DJP2" s="193"/>
      <c r="DJQ2" s="194"/>
      <c r="DJR2" s="161"/>
      <c r="DJS2" s="161"/>
      <c r="DJT2" s="161"/>
      <c r="DJU2" s="194"/>
      <c r="DJV2" s="194"/>
      <c r="DJW2" s="194"/>
      <c r="DJX2" s="161"/>
      <c r="DJY2" s="194"/>
      <c r="DJZ2" s="194"/>
      <c r="DKA2" s="161"/>
      <c r="DKB2" s="194"/>
      <c r="DKC2" s="194"/>
      <c r="DKD2" s="194"/>
      <c r="DKE2" s="194"/>
      <c r="DKF2" s="194"/>
      <c r="DKG2" s="194"/>
      <c r="DKH2" s="161"/>
      <c r="DKI2" s="195"/>
      <c r="DKJ2" s="195"/>
      <c r="DKK2" s="161"/>
      <c r="DKL2" s="161"/>
      <c r="DKM2" s="161"/>
      <c r="DKN2" s="161"/>
      <c r="DKO2" s="196"/>
      <c r="DKP2" s="196"/>
      <c r="DKQ2" s="192"/>
      <c r="DKR2" s="181"/>
      <c r="DKS2" s="180"/>
      <c r="DKT2" s="197"/>
      <c r="DKU2" s="179"/>
      <c r="DKV2" s="196"/>
      <c r="DKW2" s="179"/>
      <c r="DKX2" s="196"/>
      <c r="DKY2" s="196"/>
      <c r="DKZ2" s="161"/>
      <c r="DLA2" s="193"/>
      <c r="DLB2" s="193"/>
      <c r="DLC2" s="194"/>
      <c r="DLD2" s="194"/>
      <c r="DLE2" s="194"/>
      <c r="DLF2" s="194"/>
      <c r="DLG2" s="194"/>
      <c r="DLH2" s="161"/>
      <c r="DLI2" s="161"/>
      <c r="DLJ2" s="194"/>
      <c r="DLK2" s="161"/>
      <c r="DLL2" s="193"/>
      <c r="DLM2" s="194"/>
      <c r="DLN2" s="161"/>
      <c r="DLO2" s="161"/>
      <c r="DLP2" s="161"/>
      <c r="DLQ2" s="194"/>
      <c r="DLR2" s="194"/>
      <c r="DLS2" s="194"/>
      <c r="DLT2" s="161"/>
      <c r="DLU2" s="194"/>
      <c r="DLV2" s="194"/>
      <c r="DLW2" s="161"/>
      <c r="DLX2" s="194"/>
      <c r="DLY2" s="194"/>
      <c r="DLZ2" s="194"/>
      <c r="DMA2" s="194"/>
      <c r="DMB2" s="194"/>
      <c r="DMC2" s="194"/>
      <c r="DMD2" s="161"/>
      <c r="DME2" s="195"/>
      <c r="DMF2" s="195"/>
      <c r="DMG2" s="161"/>
      <c r="DMH2" s="161"/>
      <c r="DMI2" s="161"/>
      <c r="DMJ2" s="161"/>
      <c r="DMK2" s="196"/>
      <c r="DML2" s="196"/>
      <c r="DMM2" s="192"/>
      <c r="DMN2" s="181"/>
      <c r="DMO2" s="180"/>
      <c r="DMP2" s="197"/>
      <c r="DMQ2" s="179"/>
      <c r="DMR2" s="196"/>
      <c r="DMS2" s="179"/>
      <c r="DMT2" s="196"/>
      <c r="DMU2" s="196"/>
      <c r="DMV2" s="161"/>
      <c r="DMW2" s="193"/>
      <c r="DMX2" s="193"/>
      <c r="DMY2" s="194"/>
      <c r="DMZ2" s="194"/>
      <c r="DNA2" s="194"/>
      <c r="DNB2" s="194"/>
      <c r="DNC2" s="194"/>
      <c r="DND2" s="161"/>
      <c r="DNE2" s="161"/>
      <c r="DNF2" s="194"/>
      <c r="DNG2" s="161"/>
      <c r="DNH2" s="193"/>
      <c r="DNI2" s="194"/>
      <c r="DNJ2" s="161"/>
      <c r="DNK2" s="161"/>
      <c r="DNL2" s="161"/>
      <c r="DNM2" s="194"/>
      <c r="DNN2" s="194"/>
      <c r="DNO2" s="194"/>
      <c r="DNP2" s="161"/>
      <c r="DNQ2" s="194"/>
      <c r="DNR2" s="194"/>
      <c r="DNS2" s="161"/>
      <c r="DNT2" s="194"/>
      <c r="DNU2" s="194"/>
      <c r="DNV2" s="194"/>
      <c r="DNW2" s="194"/>
      <c r="DNX2" s="194"/>
      <c r="DNY2" s="194"/>
      <c r="DNZ2" s="161"/>
      <c r="DOA2" s="195"/>
      <c r="DOB2" s="195"/>
      <c r="DOC2" s="161"/>
      <c r="DOD2" s="161"/>
      <c r="DOE2" s="161"/>
      <c r="DOF2" s="161"/>
      <c r="DOG2" s="196"/>
      <c r="DOH2" s="196"/>
      <c r="DOI2" s="192"/>
      <c r="DOJ2" s="181"/>
      <c r="DOK2" s="180"/>
      <c r="DOL2" s="197"/>
      <c r="DOM2" s="179"/>
      <c r="DON2" s="196"/>
      <c r="DOO2" s="179"/>
      <c r="DOP2" s="196"/>
      <c r="DOQ2" s="196"/>
      <c r="DOR2" s="161"/>
      <c r="DOS2" s="193"/>
      <c r="DOT2" s="193"/>
      <c r="DOU2" s="194"/>
      <c r="DOV2" s="194"/>
      <c r="DOW2" s="194"/>
      <c r="DOX2" s="194"/>
      <c r="DOY2" s="194"/>
      <c r="DOZ2" s="161"/>
      <c r="DPA2" s="161"/>
      <c r="DPB2" s="194"/>
      <c r="DPC2" s="161"/>
      <c r="DPD2" s="193"/>
      <c r="DPE2" s="194"/>
      <c r="DPF2" s="161"/>
      <c r="DPG2" s="161"/>
      <c r="DPH2" s="161"/>
      <c r="DPI2" s="194"/>
      <c r="DPJ2" s="194"/>
      <c r="DPK2" s="194"/>
      <c r="DPL2" s="161"/>
      <c r="DPM2" s="194"/>
      <c r="DPN2" s="194"/>
      <c r="DPO2" s="161"/>
      <c r="DPP2" s="194"/>
      <c r="DPQ2" s="194"/>
      <c r="DPR2" s="194"/>
      <c r="DPS2" s="194"/>
      <c r="DPT2" s="194"/>
      <c r="DPU2" s="194"/>
      <c r="DPV2" s="161"/>
      <c r="DPW2" s="195"/>
      <c r="DPX2" s="195"/>
      <c r="DPY2" s="161"/>
      <c r="DPZ2" s="161"/>
      <c r="DQA2" s="161"/>
      <c r="DQB2" s="161"/>
      <c r="DQC2" s="196"/>
      <c r="DQD2" s="196"/>
      <c r="DQE2" s="192"/>
      <c r="DQF2" s="181"/>
      <c r="DQG2" s="180"/>
      <c r="DQH2" s="197"/>
      <c r="DQI2" s="179"/>
      <c r="DQJ2" s="196"/>
      <c r="DQK2" s="179"/>
      <c r="DQL2" s="196"/>
      <c r="DQM2" s="196"/>
      <c r="DQN2" s="161"/>
      <c r="DQO2" s="193"/>
      <c r="DQP2" s="193"/>
      <c r="DQQ2" s="194"/>
      <c r="DQR2" s="194"/>
      <c r="DQS2" s="194"/>
      <c r="DQT2" s="194"/>
      <c r="DQU2" s="194"/>
      <c r="DQV2" s="161"/>
      <c r="DQW2" s="161"/>
      <c r="DQX2" s="194"/>
      <c r="DQY2" s="161"/>
      <c r="DQZ2" s="193"/>
      <c r="DRA2" s="194"/>
      <c r="DRB2" s="161"/>
      <c r="DRC2" s="161"/>
      <c r="DRD2" s="161"/>
      <c r="DRE2" s="194"/>
      <c r="DRF2" s="194"/>
      <c r="DRG2" s="194"/>
      <c r="DRH2" s="161"/>
      <c r="DRI2" s="194"/>
      <c r="DRJ2" s="194"/>
      <c r="DRK2" s="161"/>
      <c r="DRL2" s="194"/>
      <c r="DRM2" s="194"/>
      <c r="DRN2" s="194"/>
      <c r="DRO2" s="194"/>
      <c r="DRP2" s="194"/>
      <c r="DRQ2" s="194"/>
      <c r="DRR2" s="161"/>
      <c r="DRS2" s="195"/>
      <c r="DRT2" s="195"/>
      <c r="DRU2" s="161"/>
      <c r="DRV2" s="161"/>
      <c r="DRW2" s="161"/>
      <c r="DRX2" s="161"/>
      <c r="DRY2" s="196"/>
      <c r="DRZ2" s="196"/>
      <c r="DSA2" s="192"/>
      <c r="DSB2" s="181"/>
      <c r="DSC2" s="180"/>
      <c r="DSD2" s="197"/>
      <c r="DSE2" s="179"/>
      <c r="DSF2" s="196"/>
      <c r="DSG2" s="179"/>
      <c r="DSH2" s="196"/>
      <c r="DSI2" s="196"/>
      <c r="DSJ2" s="161"/>
      <c r="DSK2" s="193"/>
      <c r="DSL2" s="193"/>
      <c r="DSM2" s="194"/>
      <c r="DSN2" s="194"/>
      <c r="DSO2" s="194"/>
      <c r="DSP2" s="194"/>
      <c r="DSQ2" s="194"/>
      <c r="DSR2" s="161"/>
      <c r="DSS2" s="161"/>
      <c r="DST2" s="194"/>
      <c r="DSU2" s="161"/>
      <c r="DSV2" s="193"/>
      <c r="DSW2" s="194"/>
      <c r="DSX2" s="161"/>
      <c r="DSY2" s="161"/>
      <c r="DSZ2" s="161"/>
      <c r="DTA2" s="194"/>
      <c r="DTB2" s="194"/>
      <c r="DTC2" s="194"/>
      <c r="DTD2" s="161"/>
      <c r="DTE2" s="194"/>
      <c r="DTF2" s="194"/>
      <c r="DTG2" s="161"/>
      <c r="DTH2" s="194"/>
      <c r="DTI2" s="194"/>
      <c r="DTJ2" s="194"/>
      <c r="DTK2" s="194"/>
      <c r="DTL2" s="194"/>
      <c r="DTM2" s="194"/>
      <c r="DTN2" s="161"/>
      <c r="DTO2" s="195"/>
      <c r="DTP2" s="195"/>
      <c r="DTQ2" s="161"/>
      <c r="DTR2" s="161"/>
      <c r="DTS2" s="161"/>
      <c r="DTT2" s="161"/>
      <c r="DTU2" s="196"/>
      <c r="DTV2" s="196"/>
      <c r="DTW2" s="192"/>
      <c r="DTX2" s="181"/>
      <c r="DTY2" s="180"/>
      <c r="DTZ2" s="197"/>
      <c r="DUA2" s="179"/>
      <c r="DUB2" s="196"/>
      <c r="DUC2" s="179"/>
      <c r="DUD2" s="196"/>
      <c r="DUE2" s="196"/>
      <c r="DUF2" s="161"/>
      <c r="DUG2" s="193"/>
      <c r="DUH2" s="193"/>
      <c r="DUI2" s="194"/>
      <c r="DUJ2" s="194"/>
      <c r="DUK2" s="194"/>
      <c r="DUL2" s="194"/>
      <c r="DUM2" s="194"/>
      <c r="DUN2" s="161"/>
      <c r="DUO2" s="161"/>
      <c r="DUP2" s="194"/>
      <c r="DUQ2" s="161"/>
      <c r="DUR2" s="193"/>
      <c r="DUS2" s="194"/>
      <c r="DUT2" s="161"/>
      <c r="DUU2" s="161"/>
      <c r="DUV2" s="161"/>
      <c r="DUW2" s="194"/>
      <c r="DUX2" s="194"/>
      <c r="DUY2" s="194"/>
      <c r="DUZ2" s="161"/>
      <c r="DVA2" s="194"/>
      <c r="DVB2" s="194"/>
      <c r="DVC2" s="161"/>
      <c r="DVD2" s="194"/>
      <c r="DVE2" s="194"/>
      <c r="DVF2" s="194"/>
      <c r="DVG2" s="194"/>
      <c r="DVH2" s="194"/>
      <c r="DVI2" s="194"/>
      <c r="DVJ2" s="161"/>
      <c r="DVK2" s="195"/>
      <c r="DVL2" s="195"/>
      <c r="DVM2" s="161"/>
      <c r="DVN2" s="161"/>
      <c r="DVO2" s="161"/>
      <c r="DVP2" s="161"/>
      <c r="DVQ2" s="196"/>
      <c r="DVR2" s="196"/>
      <c r="DVS2" s="192"/>
      <c r="DVT2" s="181"/>
      <c r="DVU2" s="180"/>
      <c r="DVV2" s="197"/>
      <c r="DVW2" s="179"/>
      <c r="DVX2" s="196"/>
      <c r="DVY2" s="179"/>
      <c r="DVZ2" s="196"/>
      <c r="DWA2" s="196"/>
      <c r="DWB2" s="161"/>
      <c r="DWC2" s="193"/>
      <c r="DWD2" s="193"/>
      <c r="DWE2" s="194"/>
      <c r="DWF2" s="194"/>
      <c r="DWG2" s="194"/>
      <c r="DWH2" s="194"/>
      <c r="DWI2" s="194"/>
      <c r="DWJ2" s="161"/>
      <c r="DWK2" s="161"/>
      <c r="DWL2" s="194"/>
      <c r="DWM2" s="161"/>
      <c r="DWN2" s="193"/>
      <c r="DWO2" s="194"/>
      <c r="DWP2" s="161"/>
      <c r="DWQ2" s="161"/>
      <c r="DWR2" s="161"/>
      <c r="DWS2" s="194"/>
      <c r="DWT2" s="194"/>
      <c r="DWU2" s="194"/>
      <c r="DWV2" s="161"/>
      <c r="DWW2" s="194"/>
      <c r="DWX2" s="194"/>
      <c r="DWY2" s="161"/>
      <c r="DWZ2" s="194"/>
      <c r="DXA2" s="194"/>
      <c r="DXB2" s="194"/>
      <c r="DXC2" s="194"/>
      <c r="DXD2" s="194"/>
      <c r="DXE2" s="194"/>
      <c r="DXF2" s="161"/>
      <c r="DXG2" s="195"/>
      <c r="DXH2" s="195"/>
      <c r="DXI2" s="161"/>
      <c r="DXJ2" s="161"/>
      <c r="DXK2" s="161"/>
      <c r="DXL2" s="161"/>
      <c r="DXM2" s="196"/>
      <c r="DXN2" s="196"/>
      <c r="DXO2" s="192"/>
      <c r="DXP2" s="181"/>
      <c r="DXQ2" s="180"/>
      <c r="DXR2" s="197"/>
      <c r="DXS2" s="179"/>
      <c r="DXT2" s="196"/>
      <c r="DXU2" s="179"/>
      <c r="DXV2" s="196"/>
      <c r="DXW2" s="196"/>
      <c r="DXX2" s="161"/>
      <c r="DXY2" s="193"/>
      <c r="DXZ2" s="193"/>
      <c r="DYA2" s="194"/>
      <c r="DYB2" s="194"/>
      <c r="DYC2" s="194"/>
      <c r="DYD2" s="194"/>
      <c r="DYE2" s="194"/>
      <c r="DYF2" s="161"/>
      <c r="DYG2" s="161"/>
      <c r="DYH2" s="194"/>
      <c r="DYI2" s="161"/>
      <c r="DYJ2" s="193"/>
      <c r="DYK2" s="194"/>
      <c r="DYL2" s="161"/>
      <c r="DYM2" s="161"/>
      <c r="DYN2" s="161"/>
      <c r="DYO2" s="194"/>
      <c r="DYP2" s="194"/>
      <c r="DYQ2" s="194"/>
      <c r="DYR2" s="161"/>
      <c r="DYS2" s="194"/>
      <c r="DYT2" s="194"/>
      <c r="DYU2" s="161"/>
      <c r="DYV2" s="194"/>
      <c r="DYW2" s="194"/>
      <c r="DYX2" s="194"/>
      <c r="DYY2" s="194"/>
      <c r="DYZ2" s="194"/>
      <c r="DZA2" s="194"/>
      <c r="DZB2" s="161"/>
      <c r="DZC2" s="195"/>
      <c r="DZD2" s="195"/>
      <c r="DZE2" s="161"/>
      <c r="DZF2" s="161"/>
      <c r="DZG2" s="161"/>
      <c r="DZH2" s="161"/>
      <c r="DZI2" s="196"/>
      <c r="DZJ2" s="196"/>
      <c r="DZK2" s="192"/>
      <c r="DZL2" s="181"/>
      <c r="DZM2" s="180"/>
      <c r="DZN2" s="197"/>
      <c r="DZO2" s="179"/>
      <c r="DZP2" s="196"/>
      <c r="DZQ2" s="179"/>
      <c r="DZR2" s="196"/>
      <c r="DZS2" s="196"/>
      <c r="DZT2" s="161"/>
      <c r="DZU2" s="193"/>
      <c r="DZV2" s="193"/>
      <c r="DZW2" s="194"/>
      <c r="DZX2" s="194"/>
      <c r="DZY2" s="194"/>
      <c r="DZZ2" s="194"/>
      <c r="EAA2" s="194"/>
      <c r="EAB2" s="161"/>
      <c r="EAC2" s="161"/>
      <c r="EAD2" s="194"/>
      <c r="EAE2" s="161"/>
      <c r="EAF2" s="193"/>
      <c r="EAG2" s="194"/>
      <c r="EAH2" s="161"/>
      <c r="EAI2" s="161"/>
      <c r="EAJ2" s="161"/>
      <c r="EAK2" s="194"/>
      <c r="EAL2" s="194"/>
      <c r="EAM2" s="194"/>
      <c r="EAN2" s="161"/>
      <c r="EAO2" s="194"/>
      <c r="EAP2" s="194"/>
      <c r="EAQ2" s="161"/>
      <c r="EAR2" s="194"/>
      <c r="EAS2" s="194"/>
      <c r="EAT2" s="194"/>
      <c r="EAU2" s="194"/>
      <c r="EAV2" s="194"/>
      <c r="EAW2" s="194"/>
      <c r="EAX2" s="161"/>
      <c r="EAY2" s="195"/>
      <c r="EAZ2" s="195"/>
      <c r="EBA2" s="161"/>
      <c r="EBB2" s="161"/>
      <c r="EBC2" s="161"/>
      <c r="EBD2" s="161"/>
      <c r="EBE2" s="196"/>
      <c r="EBF2" s="196"/>
      <c r="EBG2" s="192"/>
      <c r="EBH2" s="181"/>
      <c r="EBI2" s="180"/>
      <c r="EBJ2" s="197"/>
      <c r="EBK2" s="179"/>
      <c r="EBL2" s="196"/>
      <c r="EBM2" s="179"/>
      <c r="EBN2" s="196"/>
      <c r="EBO2" s="196"/>
      <c r="EBP2" s="161"/>
      <c r="EBQ2" s="193"/>
      <c r="EBR2" s="193"/>
      <c r="EBS2" s="194"/>
      <c r="EBT2" s="194"/>
      <c r="EBU2" s="194"/>
      <c r="EBV2" s="194"/>
      <c r="EBW2" s="194"/>
      <c r="EBX2" s="161"/>
      <c r="EBY2" s="161"/>
      <c r="EBZ2" s="194"/>
      <c r="ECA2" s="161"/>
      <c r="ECB2" s="193"/>
      <c r="ECC2" s="194"/>
      <c r="ECD2" s="161"/>
      <c r="ECE2" s="161"/>
      <c r="ECF2" s="161"/>
      <c r="ECG2" s="194"/>
      <c r="ECH2" s="194"/>
      <c r="ECI2" s="194"/>
      <c r="ECJ2" s="161"/>
      <c r="ECK2" s="194"/>
      <c r="ECL2" s="194"/>
      <c r="ECM2" s="161"/>
      <c r="ECN2" s="194"/>
      <c r="ECO2" s="194"/>
      <c r="ECP2" s="194"/>
      <c r="ECQ2" s="194"/>
      <c r="ECR2" s="194"/>
      <c r="ECS2" s="194"/>
      <c r="ECT2" s="161"/>
      <c r="ECU2" s="195"/>
      <c r="ECV2" s="195"/>
      <c r="ECW2" s="161"/>
      <c r="ECX2" s="161"/>
      <c r="ECY2" s="161"/>
      <c r="ECZ2" s="161"/>
      <c r="EDA2" s="196"/>
      <c r="EDB2" s="196"/>
      <c r="EDC2" s="192"/>
      <c r="EDD2" s="181"/>
      <c r="EDE2" s="180"/>
      <c r="EDF2" s="197"/>
      <c r="EDG2" s="179"/>
      <c r="EDH2" s="196"/>
      <c r="EDI2" s="179"/>
      <c r="EDJ2" s="196"/>
      <c r="EDK2" s="196"/>
      <c r="EDL2" s="161"/>
      <c r="EDM2" s="193"/>
      <c r="EDN2" s="193"/>
      <c r="EDO2" s="194"/>
      <c r="EDP2" s="194"/>
      <c r="EDQ2" s="194"/>
      <c r="EDR2" s="194"/>
      <c r="EDS2" s="194"/>
      <c r="EDT2" s="161"/>
      <c r="EDU2" s="161"/>
      <c r="EDV2" s="194"/>
      <c r="EDW2" s="161"/>
      <c r="EDX2" s="193"/>
      <c r="EDY2" s="194"/>
      <c r="EDZ2" s="161"/>
      <c r="EEA2" s="161"/>
      <c r="EEB2" s="161"/>
      <c r="EEC2" s="194"/>
      <c r="EED2" s="194"/>
      <c r="EEE2" s="194"/>
      <c r="EEF2" s="161"/>
      <c r="EEG2" s="194"/>
      <c r="EEH2" s="194"/>
      <c r="EEI2" s="161"/>
      <c r="EEJ2" s="194"/>
      <c r="EEK2" s="194"/>
      <c r="EEL2" s="194"/>
      <c r="EEM2" s="194"/>
      <c r="EEN2" s="194"/>
      <c r="EEO2" s="194"/>
      <c r="EEP2" s="161"/>
      <c r="EEQ2" s="195"/>
      <c r="EER2" s="195"/>
      <c r="EES2" s="161"/>
      <c r="EET2" s="161"/>
      <c r="EEU2" s="161"/>
      <c r="EEV2" s="161"/>
      <c r="EEW2" s="196"/>
      <c r="EEX2" s="196"/>
      <c r="EEY2" s="192"/>
      <c r="EEZ2" s="181"/>
      <c r="EFA2" s="180"/>
      <c r="EFB2" s="197"/>
      <c r="EFC2" s="179"/>
      <c r="EFD2" s="196"/>
      <c r="EFE2" s="179"/>
      <c r="EFF2" s="196"/>
      <c r="EFG2" s="196"/>
      <c r="EFH2" s="161"/>
      <c r="EFI2" s="193"/>
      <c r="EFJ2" s="193"/>
      <c r="EFK2" s="194"/>
      <c r="EFL2" s="194"/>
      <c r="EFM2" s="194"/>
      <c r="EFN2" s="194"/>
      <c r="EFO2" s="194"/>
      <c r="EFP2" s="161"/>
      <c r="EFQ2" s="161"/>
      <c r="EFR2" s="194"/>
      <c r="EFS2" s="161"/>
      <c r="EFT2" s="193"/>
      <c r="EFU2" s="194"/>
      <c r="EFV2" s="161"/>
      <c r="EFW2" s="161"/>
      <c r="EFX2" s="161"/>
      <c r="EFY2" s="194"/>
      <c r="EFZ2" s="194"/>
      <c r="EGA2" s="194"/>
      <c r="EGB2" s="161"/>
      <c r="EGC2" s="194"/>
      <c r="EGD2" s="194"/>
      <c r="EGE2" s="161"/>
      <c r="EGF2" s="194"/>
      <c r="EGG2" s="194"/>
      <c r="EGH2" s="194"/>
      <c r="EGI2" s="194"/>
      <c r="EGJ2" s="194"/>
      <c r="EGK2" s="194"/>
      <c r="EGL2" s="161"/>
      <c r="EGM2" s="195"/>
      <c r="EGN2" s="195"/>
      <c r="EGO2" s="161"/>
      <c r="EGP2" s="161"/>
      <c r="EGQ2" s="161"/>
      <c r="EGR2" s="161"/>
      <c r="EGS2" s="196"/>
      <c r="EGT2" s="196"/>
      <c r="EGU2" s="192"/>
      <c r="EGV2" s="181"/>
      <c r="EGW2" s="180"/>
      <c r="EGX2" s="197"/>
      <c r="EGY2" s="179"/>
      <c r="EGZ2" s="196"/>
      <c r="EHA2" s="179"/>
      <c r="EHB2" s="196"/>
      <c r="EHC2" s="196"/>
      <c r="EHD2" s="161"/>
      <c r="EHE2" s="193"/>
      <c r="EHF2" s="193"/>
      <c r="EHG2" s="194"/>
      <c r="EHH2" s="194"/>
      <c r="EHI2" s="194"/>
      <c r="EHJ2" s="194"/>
      <c r="EHK2" s="194"/>
      <c r="EHL2" s="161"/>
      <c r="EHM2" s="161"/>
      <c r="EHN2" s="194"/>
      <c r="EHO2" s="161"/>
      <c r="EHP2" s="193"/>
      <c r="EHQ2" s="194"/>
      <c r="EHR2" s="161"/>
      <c r="EHS2" s="161"/>
      <c r="EHT2" s="161"/>
      <c r="EHU2" s="194"/>
      <c r="EHV2" s="194"/>
      <c r="EHW2" s="194"/>
      <c r="EHX2" s="161"/>
      <c r="EHY2" s="194"/>
      <c r="EHZ2" s="194"/>
      <c r="EIA2" s="161"/>
      <c r="EIB2" s="194"/>
      <c r="EIC2" s="194"/>
      <c r="EID2" s="194"/>
      <c r="EIE2" s="194"/>
      <c r="EIF2" s="194"/>
      <c r="EIG2" s="194"/>
      <c r="EIH2" s="161"/>
      <c r="EII2" s="195"/>
      <c r="EIJ2" s="195"/>
      <c r="EIK2" s="161"/>
      <c r="EIL2" s="161"/>
      <c r="EIM2" s="161"/>
      <c r="EIN2" s="161"/>
      <c r="EIO2" s="196"/>
      <c r="EIP2" s="196"/>
      <c r="EIQ2" s="192"/>
      <c r="EIR2" s="181"/>
      <c r="EIS2" s="180"/>
      <c r="EIT2" s="197"/>
      <c r="EIU2" s="179"/>
      <c r="EIV2" s="196"/>
      <c r="EIW2" s="179"/>
      <c r="EIX2" s="196"/>
      <c r="EIY2" s="196"/>
      <c r="EIZ2" s="161"/>
      <c r="EJA2" s="193"/>
      <c r="EJB2" s="193"/>
      <c r="EJC2" s="194"/>
      <c r="EJD2" s="194"/>
      <c r="EJE2" s="194"/>
      <c r="EJF2" s="194"/>
      <c r="EJG2" s="194"/>
      <c r="EJH2" s="161"/>
      <c r="EJI2" s="161"/>
      <c r="EJJ2" s="194"/>
      <c r="EJK2" s="161"/>
      <c r="EJL2" s="193"/>
      <c r="EJM2" s="194"/>
      <c r="EJN2" s="161"/>
      <c r="EJO2" s="161"/>
      <c r="EJP2" s="161"/>
      <c r="EJQ2" s="194"/>
      <c r="EJR2" s="194"/>
      <c r="EJS2" s="194"/>
      <c r="EJT2" s="161"/>
      <c r="EJU2" s="194"/>
      <c r="EJV2" s="194"/>
      <c r="EJW2" s="161"/>
      <c r="EJX2" s="194"/>
      <c r="EJY2" s="194"/>
      <c r="EJZ2" s="194"/>
      <c r="EKA2" s="194"/>
      <c r="EKB2" s="194"/>
      <c r="EKC2" s="194"/>
      <c r="EKD2" s="161"/>
      <c r="EKE2" s="195"/>
      <c r="EKF2" s="195"/>
      <c r="EKG2" s="161"/>
      <c r="EKH2" s="161"/>
      <c r="EKI2" s="161"/>
      <c r="EKJ2" s="161"/>
      <c r="EKK2" s="196"/>
      <c r="EKL2" s="196"/>
      <c r="EKM2" s="192"/>
      <c r="EKN2" s="181"/>
      <c r="EKO2" s="180"/>
      <c r="EKP2" s="197"/>
      <c r="EKQ2" s="179"/>
      <c r="EKR2" s="196"/>
      <c r="EKS2" s="179"/>
      <c r="EKT2" s="196"/>
      <c r="EKU2" s="196"/>
      <c r="EKV2" s="161"/>
      <c r="EKW2" s="193"/>
      <c r="EKX2" s="193"/>
      <c r="EKY2" s="194"/>
      <c r="EKZ2" s="194"/>
      <c r="ELA2" s="194"/>
      <c r="ELB2" s="194"/>
      <c r="ELC2" s="194"/>
      <c r="ELD2" s="161"/>
      <c r="ELE2" s="161"/>
      <c r="ELF2" s="194"/>
      <c r="ELG2" s="161"/>
      <c r="ELH2" s="193"/>
      <c r="ELI2" s="194"/>
      <c r="ELJ2" s="161"/>
      <c r="ELK2" s="161"/>
      <c r="ELL2" s="161"/>
      <c r="ELM2" s="194"/>
      <c r="ELN2" s="194"/>
      <c r="ELO2" s="194"/>
      <c r="ELP2" s="161"/>
      <c r="ELQ2" s="194"/>
      <c r="ELR2" s="194"/>
      <c r="ELS2" s="161"/>
      <c r="ELT2" s="194"/>
      <c r="ELU2" s="194"/>
      <c r="ELV2" s="194"/>
      <c r="ELW2" s="194"/>
      <c r="ELX2" s="194"/>
      <c r="ELY2" s="194"/>
      <c r="ELZ2" s="161"/>
      <c r="EMA2" s="195"/>
      <c r="EMB2" s="195"/>
      <c r="EMC2" s="161"/>
      <c r="EMD2" s="161"/>
      <c r="EME2" s="161"/>
      <c r="EMF2" s="161"/>
      <c r="EMG2" s="196"/>
      <c r="EMH2" s="196"/>
      <c r="EMI2" s="192"/>
      <c r="EMJ2" s="181"/>
      <c r="EMK2" s="180"/>
      <c r="EML2" s="197"/>
      <c r="EMM2" s="179"/>
      <c r="EMN2" s="196"/>
      <c r="EMO2" s="179"/>
      <c r="EMP2" s="196"/>
      <c r="EMQ2" s="196"/>
      <c r="EMR2" s="161"/>
      <c r="EMS2" s="193"/>
      <c r="EMT2" s="193"/>
      <c r="EMU2" s="194"/>
      <c r="EMV2" s="194"/>
      <c r="EMW2" s="194"/>
      <c r="EMX2" s="194"/>
      <c r="EMY2" s="194"/>
      <c r="EMZ2" s="161"/>
      <c r="ENA2" s="161"/>
      <c r="ENB2" s="194"/>
      <c r="ENC2" s="161"/>
      <c r="END2" s="193"/>
      <c r="ENE2" s="194"/>
      <c r="ENF2" s="161"/>
      <c r="ENG2" s="161"/>
      <c r="ENH2" s="161"/>
      <c r="ENI2" s="194"/>
      <c r="ENJ2" s="194"/>
      <c r="ENK2" s="194"/>
      <c r="ENL2" s="161"/>
      <c r="ENM2" s="194"/>
      <c r="ENN2" s="194"/>
      <c r="ENO2" s="161"/>
      <c r="ENP2" s="194"/>
      <c r="ENQ2" s="194"/>
      <c r="ENR2" s="194"/>
      <c r="ENS2" s="194"/>
      <c r="ENT2" s="194"/>
      <c r="ENU2" s="194"/>
      <c r="ENV2" s="161"/>
      <c r="ENW2" s="195"/>
      <c r="ENX2" s="195"/>
      <c r="ENY2" s="161"/>
      <c r="ENZ2" s="161"/>
      <c r="EOA2" s="161"/>
      <c r="EOB2" s="161"/>
      <c r="EOC2" s="196"/>
      <c r="EOD2" s="196"/>
      <c r="EOE2" s="192"/>
      <c r="EOF2" s="181"/>
      <c r="EOG2" s="180"/>
      <c r="EOH2" s="197"/>
      <c r="EOI2" s="179"/>
      <c r="EOJ2" s="196"/>
      <c r="EOK2" s="179"/>
      <c r="EOL2" s="196"/>
      <c r="EOM2" s="196"/>
      <c r="EON2" s="161"/>
      <c r="EOO2" s="193"/>
      <c r="EOP2" s="193"/>
      <c r="EOQ2" s="194"/>
      <c r="EOR2" s="194"/>
      <c r="EOS2" s="194"/>
      <c r="EOT2" s="194"/>
      <c r="EOU2" s="194"/>
      <c r="EOV2" s="161"/>
      <c r="EOW2" s="161"/>
      <c r="EOX2" s="194"/>
      <c r="EOY2" s="161"/>
      <c r="EOZ2" s="193"/>
      <c r="EPA2" s="194"/>
      <c r="EPB2" s="161"/>
      <c r="EPC2" s="161"/>
      <c r="EPD2" s="161"/>
      <c r="EPE2" s="194"/>
      <c r="EPF2" s="194"/>
      <c r="EPG2" s="194"/>
      <c r="EPH2" s="161"/>
      <c r="EPI2" s="194"/>
      <c r="EPJ2" s="194"/>
      <c r="EPK2" s="161"/>
      <c r="EPL2" s="194"/>
      <c r="EPM2" s="194"/>
      <c r="EPN2" s="194"/>
      <c r="EPO2" s="194"/>
      <c r="EPP2" s="194"/>
      <c r="EPQ2" s="194"/>
      <c r="EPR2" s="161"/>
      <c r="EPS2" s="195"/>
      <c r="EPT2" s="195"/>
      <c r="EPU2" s="161"/>
      <c r="EPV2" s="161"/>
      <c r="EPW2" s="161"/>
      <c r="EPX2" s="161"/>
      <c r="EPY2" s="196"/>
      <c r="EPZ2" s="196"/>
      <c r="EQA2" s="192"/>
      <c r="EQB2" s="181"/>
      <c r="EQC2" s="180"/>
      <c r="EQD2" s="197"/>
      <c r="EQE2" s="179"/>
      <c r="EQF2" s="196"/>
      <c r="EQG2" s="179"/>
      <c r="EQH2" s="196"/>
      <c r="EQI2" s="196"/>
      <c r="EQJ2" s="161"/>
      <c r="EQK2" s="193"/>
      <c r="EQL2" s="193"/>
      <c r="EQM2" s="194"/>
      <c r="EQN2" s="194"/>
      <c r="EQO2" s="194"/>
      <c r="EQP2" s="194"/>
      <c r="EQQ2" s="194"/>
      <c r="EQR2" s="161"/>
      <c r="EQS2" s="161"/>
      <c r="EQT2" s="194"/>
      <c r="EQU2" s="161"/>
      <c r="EQV2" s="193"/>
      <c r="EQW2" s="194"/>
      <c r="EQX2" s="161"/>
      <c r="EQY2" s="161"/>
      <c r="EQZ2" s="161"/>
      <c r="ERA2" s="194"/>
      <c r="ERB2" s="194"/>
      <c r="ERC2" s="194"/>
      <c r="ERD2" s="161"/>
      <c r="ERE2" s="194"/>
      <c r="ERF2" s="194"/>
      <c r="ERG2" s="161"/>
      <c r="ERH2" s="194"/>
      <c r="ERI2" s="194"/>
      <c r="ERJ2" s="194"/>
      <c r="ERK2" s="194"/>
      <c r="ERL2" s="194"/>
      <c r="ERM2" s="194"/>
      <c r="ERN2" s="161"/>
      <c r="ERO2" s="195"/>
      <c r="ERP2" s="195"/>
      <c r="ERQ2" s="161"/>
      <c r="ERR2" s="161"/>
      <c r="ERS2" s="161"/>
      <c r="ERT2" s="161"/>
      <c r="ERU2" s="196"/>
      <c r="ERV2" s="196"/>
      <c r="ERW2" s="192"/>
      <c r="ERX2" s="181"/>
      <c r="ERY2" s="180"/>
      <c r="ERZ2" s="197"/>
      <c r="ESA2" s="179"/>
      <c r="ESB2" s="196"/>
      <c r="ESC2" s="179"/>
      <c r="ESD2" s="196"/>
      <c r="ESE2" s="196"/>
      <c r="ESF2" s="161"/>
      <c r="ESG2" s="193"/>
      <c r="ESH2" s="193"/>
      <c r="ESI2" s="194"/>
      <c r="ESJ2" s="194"/>
      <c r="ESK2" s="194"/>
      <c r="ESL2" s="194"/>
      <c r="ESM2" s="194"/>
      <c r="ESN2" s="161"/>
      <c r="ESO2" s="161"/>
      <c r="ESP2" s="194"/>
      <c r="ESQ2" s="161"/>
      <c r="ESR2" s="193"/>
      <c r="ESS2" s="194"/>
      <c r="EST2" s="161"/>
      <c r="ESU2" s="161"/>
      <c r="ESV2" s="161"/>
      <c r="ESW2" s="194"/>
      <c r="ESX2" s="194"/>
      <c r="ESY2" s="194"/>
      <c r="ESZ2" s="161"/>
      <c r="ETA2" s="194"/>
      <c r="ETB2" s="194"/>
      <c r="ETC2" s="161"/>
      <c r="ETD2" s="194"/>
      <c r="ETE2" s="194"/>
      <c r="ETF2" s="194"/>
      <c r="ETG2" s="194"/>
      <c r="ETH2" s="194"/>
      <c r="ETI2" s="194"/>
      <c r="ETJ2" s="161"/>
      <c r="ETK2" s="195"/>
      <c r="ETL2" s="195"/>
      <c r="ETM2" s="161"/>
      <c r="ETN2" s="161"/>
      <c r="ETO2" s="161"/>
      <c r="ETP2" s="161"/>
      <c r="ETQ2" s="196"/>
      <c r="ETR2" s="196"/>
      <c r="ETS2" s="192"/>
      <c r="ETT2" s="181"/>
      <c r="ETU2" s="180"/>
      <c r="ETV2" s="197"/>
      <c r="ETW2" s="179"/>
      <c r="ETX2" s="196"/>
      <c r="ETY2" s="179"/>
      <c r="ETZ2" s="196"/>
      <c r="EUA2" s="196"/>
      <c r="EUB2" s="161"/>
      <c r="EUC2" s="193"/>
      <c r="EUD2" s="193"/>
      <c r="EUE2" s="194"/>
      <c r="EUF2" s="194"/>
      <c r="EUG2" s="194"/>
      <c r="EUH2" s="194"/>
      <c r="EUI2" s="194"/>
      <c r="EUJ2" s="161"/>
      <c r="EUK2" s="161"/>
      <c r="EUL2" s="194"/>
      <c r="EUM2" s="161"/>
      <c r="EUN2" s="193"/>
      <c r="EUO2" s="194"/>
      <c r="EUP2" s="161"/>
      <c r="EUQ2" s="161"/>
      <c r="EUR2" s="161"/>
      <c r="EUS2" s="194"/>
      <c r="EUT2" s="194"/>
      <c r="EUU2" s="194"/>
      <c r="EUV2" s="161"/>
      <c r="EUW2" s="194"/>
      <c r="EUX2" s="194"/>
      <c r="EUY2" s="161"/>
      <c r="EUZ2" s="194"/>
      <c r="EVA2" s="194"/>
      <c r="EVB2" s="194"/>
      <c r="EVC2" s="194"/>
      <c r="EVD2" s="194"/>
      <c r="EVE2" s="194"/>
      <c r="EVF2" s="161"/>
      <c r="EVG2" s="195"/>
      <c r="EVH2" s="195"/>
      <c r="EVI2" s="161"/>
      <c r="EVJ2" s="161"/>
      <c r="EVK2" s="161"/>
      <c r="EVL2" s="161"/>
      <c r="EVM2" s="196"/>
      <c r="EVN2" s="196"/>
      <c r="EVO2" s="192"/>
      <c r="EVP2" s="181"/>
      <c r="EVQ2" s="180"/>
      <c r="EVR2" s="197"/>
      <c r="EVS2" s="179"/>
      <c r="EVT2" s="196"/>
      <c r="EVU2" s="179"/>
      <c r="EVV2" s="196"/>
      <c r="EVW2" s="196"/>
      <c r="EVX2" s="161"/>
      <c r="EVY2" s="193"/>
      <c r="EVZ2" s="193"/>
      <c r="EWA2" s="194"/>
      <c r="EWB2" s="194"/>
      <c r="EWC2" s="194"/>
      <c r="EWD2" s="194"/>
      <c r="EWE2" s="194"/>
      <c r="EWF2" s="161"/>
      <c r="EWG2" s="161"/>
      <c r="EWH2" s="194"/>
      <c r="EWI2" s="161"/>
      <c r="EWJ2" s="193"/>
      <c r="EWK2" s="194"/>
      <c r="EWL2" s="161"/>
      <c r="EWM2" s="161"/>
      <c r="EWN2" s="161"/>
      <c r="EWO2" s="194"/>
      <c r="EWP2" s="194"/>
      <c r="EWQ2" s="194"/>
      <c r="EWR2" s="161"/>
      <c r="EWS2" s="194"/>
      <c r="EWT2" s="194"/>
      <c r="EWU2" s="161"/>
      <c r="EWV2" s="194"/>
      <c r="EWW2" s="194"/>
      <c r="EWX2" s="194"/>
      <c r="EWY2" s="194"/>
      <c r="EWZ2" s="194"/>
      <c r="EXA2" s="194"/>
      <c r="EXB2" s="161"/>
      <c r="EXC2" s="195"/>
      <c r="EXD2" s="195"/>
      <c r="EXE2" s="161"/>
      <c r="EXF2" s="161"/>
      <c r="EXG2" s="161"/>
      <c r="EXH2" s="161"/>
      <c r="EXI2" s="196"/>
      <c r="EXJ2" s="196"/>
      <c r="EXK2" s="192"/>
      <c r="EXL2" s="181"/>
      <c r="EXM2" s="180"/>
      <c r="EXN2" s="197"/>
      <c r="EXO2" s="179"/>
      <c r="EXP2" s="196"/>
      <c r="EXQ2" s="179"/>
      <c r="EXR2" s="196"/>
      <c r="EXS2" s="196"/>
      <c r="EXT2" s="161"/>
      <c r="EXU2" s="193"/>
      <c r="EXV2" s="193"/>
      <c r="EXW2" s="194"/>
      <c r="EXX2" s="194"/>
      <c r="EXY2" s="194"/>
      <c r="EXZ2" s="194"/>
      <c r="EYA2" s="194"/>
      <c r="EYB2" s="161"/>
      <c r="EYC2" s="161"/>
      <c r="EYD2" s="194"/>
      <c r="EYE2" s="161"/>
      <c r="EYF2" s="193"/>
      <c r="EYG2" s="194"/>
      <c r="EYH2" s="161"/>
      <c r="EYI2" s="161"/>
      <c r="EYJ2" s="161"/>
      <c r="EYK2" s="194"/>
      <c r="EYL2" s="194"/>
      <c r="EYM2" s="194"/>
      <c r="EYN2" s="161"/>
      <c r="EYO2" s="194"/>
      <c r="EYP2" s="194"/>
      <c r="EYQ2" s="161"/>
      <c r="EYR2" s="194"/>
      <c r="EYS2" s="194"/>
      <c r="EYT2" s="194"/>
      <c r="EYU2" s="194"/>
      <c r="EYV2" s="194"/>
      <c r="EYW2" s="194"/>
      <c r="EYX2" s="161"/>
      <c r="EYY2" s="195"/>
      <c r="EYZ2" s="195"/>
      <c r="EZA2" s="161"/>
      <c r="EZB2" s="161"/>
      <c r="EZC2" s="161"/>
      <c r="EZD2" s="161"/>
      <c r="EZE2" s="196"/>
      <c r="EZF2" s="196"/>
      <c r="EZG2" s="192"/>
      <c r="EZH2" s="181"/>
      <c r="EZI2" s="180"/>
      <c r="EZJ2" s="197"/>
      <c r="EZK2" s="179"/>
      <c r="EZL2" s="196"/>
      <c r="EZM2" s="179"/>
      <c r="EZN2" s="196"/>
      <c r="EZO2" s="196"/>
      <c r="EZP2" s="161"/>
      <c r="EZQ2" s="193"/>
      <c r="EZR2" s="193"/>
      <c r="EZS2" s="194"/>
      <c r="EZT2" s="194"/>
      <c r="EZU2" s="194"/>
      <c r="EZV2" s="194"/>
      <c r="EZW2" s="194"/>
      <c r="EZX2" s="161"/>
      <c r="EZY2" s="161"/>
      <c r="EZZ2" s="194"/>
      <c r="FAA2" s="161"/>
      <c r="FAB2" s="193"/>
      <c r="FAC2" s="194"/>
      <c r="FAD2" s="161"/>
      <c r="FAE2" s="161"/>
      <c r="FAF2" s="161"/>
      <c r="FAG2" s="194"/>
      <c r="FAH2" s="194"/>
      <c r="FAI2" s="194"/>
      <c r="FAJ2" s="161"/>
      <c r="FAK2" s="194"/>
      <c r="FAL2" s="194"/>
      <c r="FAM2" s="161"/>
      <c r="FAN2" s="194"/>
      <c r="FAO2" s="194"/>
      <c r="FAP2" s="194"/>
      <c r="FAQ2" s="194"/>
      <c r="FAR2" s="194"/>
      <c r="FAS2" s="194"/>
      <c r="FAT2" s="161"/>
      <c r="FAU2" s="195"/>
      <c r="FAV2" s="195"/>
      <c r="FAW2" s="161"/>
      <c r="FAX2" s="161"/>
      <c r="FAY2" s="161"/>
      <c r="FAZ2" s="161"/>
      <c r="FBA2" s="196"/>
      <c r="FBB2" s="196"/>
      <c r="FBC2" s="192"/>
      <c r="FBD2" s="181"/>
      <c r="FBE2" s="180"/>
      <c r="FBF2" s="197"/>
      <c r="FBG2" s="179"/>
      <c r="FBH2" s="196"/>
      <c r="FBI2" s="179"/>
      <c r="FBJ2" s="196"/>
      <c r="FBK2" s="196"/>
      <c r="FBL2" s="161"/>
      <c r="FBM2" s="193"/>
      <c r="FBN2" s="193"/>
      <c r="FBO2" s="194"/>
      <c r="FBP2" s="194"/>
      <c r="FBQ2" s="194"/>
      <c r="FBR2" s="194"/>
      <c r="FBS2" s="194"/>
      <c r="FBT2" s="161"/>
      <c r="FBU2" s="161"/>
      <c r="FBV2" s="194"/>
      <c r="FBW2" s="161"/>
      <c r="FBX2" s="193"/>
      <c r="FBY2" s="194"/>
      <c r="FBZ2" s="161"/>
      <c r="FCA2" s="161"/>
      <c r="FCB2" s="161"/>
      <c r="FCC2" s="194"/>
      <c r="FCD2" s="194"/>
      <c r="FCE2" s="194"/>
      <c r="FCF2" s="161"/>
      <c r="FCG2" s="194"/>
      <c r="FCH2" s="194"/>
      <c r="FCI2" s="161"/>
      <c r="FCJ2" s="194"/>
      <c r="FCK2" s="194"/>
      <c r="FCL2" s="194"/>
      <c r="FCM2" s="194"/>
      <c r="FCN2" s="194"/>
      <c r="FCO2" s="194"/>
      <c r="FCP2" s="161"/>
      <c r="FCQ2" s="195"/>
      <c r="FCR2" s="195"/>
      <c r="FCS2" s="161"/>
      <c r="FCT2" s="161"/>
      <c r="FCU2" s="161"/>
      <c r="FCV2" s="161"/>
      <c r="FCW2" s="196"/>
      <c r="FCX2" s="196"/>
      <c r="FCY2" s="192"/>
      <c r="FCZ2" s="181"/>
      <c r="FDA2" s="180"/>
      <c r="FDB2" s="197"/>
      <c r="FDC2" s="179"/>
      <c r="FDD2" s="196"/>
      <c r="FDE2" s="179"/>
      <c r="FDF2" s="196"/>
      <c r="FDG2" s="196"/>
      <c r="FDH2" s="161"/>
      <c r="FDI2" s="193"/>
      <c r="FDJ2" s="193"/>
      <c r="FDK2" s="194"/>
      <c r="FDL2" s="194"/>
      <c r="FDM2" s="194"/>
      <c r="FDN2" s="194"/>
      <c r="FDO2" s="194"/>
      <c r="FDP2" s="161"/>
      <c r="FDQ2" s="161"/>
      <c r="FDR2" s="194"/>
      <c r="FDS2" s="161"/>
      <c r="FDT2" s="193"/>
      <c r="FDU2" s="194"/>
      <c r="FDV2" s="161"/>
      <c r="FDW2" s="161"/>
      <c r="FDX2" s="161"/>
      <c r="FDY2" s="194"/>
      <c r="FDZ2" s="194"/>
      <c r="FEA2" s="194"/>
      <c r="FEB2" s="161"/>
      <c r="FEC2" s="194"/>
      <c r="FED2" s="194"/>
      <c r="FEE2" s="161"/>
      <c r="FEF2" s="194"/>
      <c r="FEG2" s="194"/>
      <c r="FEH2" s="194"/>
      <c r="FEI2" s="194"/>
      <c r="FEJ2" s="194"/>
      <c r="FEK2" s="194"/>
      <c r="FEL2" s="161"/>
      <c r="FEM2" s="195"/>
      <c r="FEN2" s="195"/>
      <c r="FEO2" s="161"/>
      <c r="FEP2" s="161"/>
      <c r="FEQ2" s="161"/>
      <c r="FER2" s="161"/>
      <c r="FES2" s="196"/>
      <c r="FET2" s="196"/>
      <c r="FEU2" s="192"/>
      <c r="FEV2" s="181"/>
      <c r="FEW2" s="180"/>
      <c r="FEX2" s="197"/>
      <c r="FEY2" s="179"/>
      <c r="FEZ2" s="196"/>
      <c r="FFA2" s="179"/>
      <c r="FFB2" s="196"/>
      <c r="FFC2" s="196"/>
      <c r="FFD2" s="161"/>
      <c r="FFE2" s="193"/>
      <c r="FFF2" s="193"/>
      <c r="FFG2" s="194"/>
      <c r="FFH2" s="194"/>
      <c r="FFI2" s="194"/>
      <c r="FFJ2" s="194"/>
      <c r="FFK2" s="194"/>
      <c r="FFL2" s="161"/>
      <c r="FFM2" s="161"/>
      <c r="FFN2" s="194"/>
      <c r="FFO2" s="161"/>
      <c r="FFP2" s="193"/>
      <c r="FFQ2" s="194"/>
      <c r="FFR2" s="161"/>
      <c r="FFS2" s="161"/>
      <c r="FFT2" s="161"/>
      <c r="FFU2" s="194"/>
      <c r="FFV2" s="194"/>
      <c r="FFW2" s="194"/>
      <c r="FFX2" s="161"/>
      <c r="FFY2" s="194"/>
      <c r="FFZ2" s="194"/>
      <c r="FGA2" s="161"/>
      <c r="FGB2" s="194"/>
      <c r="FGC2" s="194"/>
      <c r="FGD2" s="194"/>
      <c r="FGE2" s="194"/>
      <c r="FGF2" s="194"/>
      <c r="FGG2" s="194"/>
      <c r="FGH2" s="161"/>
      <c r="FGI2" s="195"/>
      <c r="FGJ2" s="195"/>
      <c r="FGK2" s="161"/>
      <c r="FGL2" s="161"/>
      <c r="FGM2" s="161"/>
      <c r="FGN2" s="161"/>
      <c r="FGO2" s="196"/>
      <c r="FGP2" s="196"/>
      <c r="FGQ2" s="192"/>
      <c r="FGR2" s="181"/>
      <c r="FGS2" s="180"/>
      <c r="FGT2" s="197"/>
      <c r="FGU2" s="179"/>
      <c r="FGV2" s="196"/>
      <c r="FGW2" s="179"/>
      <c r="FGX2" s="196"/>
      <c r="FGY2" s="196"/>
      <c r="FGZ2" s="161"/>
      <c r="FHA2" s="193"/>
      <c r="FHB2" s="193"/>
      <c r="FHC2" s="194"/>
      <c r="FHD2" s="194"/>
      <c r="FHE2" s="194"/>
      <c r="FHF2" s="194"/>
      <c r="FHG2" s="194"/>
      <c r="FHH2" s="161"/>
      <c r="FHI2" s="161"/>
      <c r="FHJ2" s="194"/>
      <c r="FHK2" s="161"/>
      <c r="FHL2" s="193"/>
      <c r="FHM2" s="194"/>
      <c r="FHN2" s="161"/>
      <c r="FHO2" s="161"/>
      <c r="FHP2" s="161"/>
      <c r="FHQ2" s="194"/>
      <c r="FHR2" s="194"/>
      <c r="FHS2" s="194"/>
      <c r="FHT2" s="161"/>
      <c r="FHU2" s="194"/>
      <c r="FHV2" s="194"/>
      <c r="FHW2" s="161"/>
      <c r="FHX2" s="194"/>
      <c r="FHY2" s="194"/>
      <c r="FHZ2" s="194"/>
      <c r="FIA2" s="194"/>
      <c r="FIB2" s="194"/>
      <c r="FIC2" s="194"/>
      <c r="FID2" s="161"/>
      <c r="FIE2" s="195"/>
      <c r="FIF2" s="195"/>
      <c r="FIG2" s="161"/>
      <c r="FIH2" s="161"/>
      <c r="FII2" s="161"/>
      <c r="FIJ2" s="161"/>
      <c r="FIK2" s="196"/>
      <c r="FIL2" s="196"/>
      <c r="FIM2" s="192"/>
      <c r="FIN2" s="181"/>
      <c r="FIO2" s="180"/>
      <c r="FIP2" s="197"/>
      <c r="FIQ2" s="179"/>
      <c r="FIR2" s="196"/>
      <c r="FIS2" s="179"/>
      <c r="FIT2" s="196"/>
      <c r="FIU2" s="196"/>
      <c r="FIV2" s="161"/>
      <c r="FIW2" s="193"/>
      <c r="FIX2" s="193"/>
      <c r="FIY2" s="194"/>
      <c r="FIZ2" s="194"/>
      <c r="FJA2" s="194"/>
      <c r="FJB2" s="194"/>
      <c r="FJC2" s="194"/>
      <c r="FJD2" s="161"/>
      <c r="FJE2" s="161"/>
      <c r="FJF2" s="194"/>
      <c r="FJG2" s="161"/>
      <c r="FJH2" s="193"/>
      <c r="FJI2" s="194"/>
      <c r="FJJ2" s="161"/>
      <c r="FJK2" s="161"/>
      <c r="FJL2" s="161"/>
      <c r="FJM2" s="194"/>
      <c r="FJN2" s="194"/>
      <c r="FJO2" s="194"/>
      <c r="FJP2" s="161"/>
      <c r="FJQ2" s="194"/>
      <c r="FJR2" s="194"/>
      <c r="FJS2" s="161"/>
      <c r="FJT2" s="194"/>
      <c r="FJU2" s="194"/>
      <c r="FJV2" s="194"/>
      <c r="FJW2" s="194"/>
      <c r="FJX2" s="194"/>
      <c r="FJY2" s="194"/>
      <c r="FJZ2" s="161"/>
      <c r="FKA2" s="195"/>
      <c r="FKB2" s="195"/>
      <c r="FKC2" s="161"/>
      <c r="FKD2" s="161"/>
      <c r="FKE2" s="161"/>
      <c r="FKF2" s="161"/>
      <c r="FKG2" s="196"/>
      <c r="FKH2" s="196"/>
      <c r="FKI2" s="192"/>
      <c r="FKJ2" s="181"/>
      <c r="FKK2" s="180"/>
      <c r="FKL2" s="197"/>
      <c r="FKM2" s="179"/>
      <c r="FKN2" s="196"/>
      <c r="FKO2" s="179"/>
      <c r="FKP2" s="196"/>
      <c r="FKQ2" s="196"/>
      <c r="FKR2" s="161"/>
      <c r="FKS2" s="193"/>
      <c r="FKT2" s="193"/>
      <c r="FKU2" s="194"/>
      <c r="FKV2" s="194"/>
      <c r="FKW2" s="194"/>
      <c r="FKX2" s="194"/>
      <c r="FKY2" s="194"/>
      <c r="FKZ2" s="161"/>
      <c r="FLA2" s="161"/>
      <c r="FLB2" s="194"/>
      <c r="FLC2" s="161"/>
      <c r="FLD2" s="193"/>
      <c r="FLE2" s="194"/>
      <c r="FLF2" s="161"/>
      <c r="FLG2" s="161"/>
      <c r="FLH2" s="161"/>
      <c r="FLI2" s="194"/>
      <c r="FLJ2" s="194"/>
      <c r="FLK2" s="194"/>
      <c r="FLL2" s="161"/>
      <c r="FLM2" s="194"/>
      <c r="FLN2" s="194"/>
      <c r="FLO2" s="161"/>
      <c r="FLP2" s="194"/>
      <c r="FLQ2" s="194"/>
      <c r="FLR2" s="194"/>
      <c r="FLS2" s="194"/>
      <c r="FLT2" s="194"/>
      <c r="FLU2" s="194"/>
      <c r="FLV2" s="161"/>
      <c r="FLW2" s="195"/>
      <c r="FLX2" s="195"/>
      <c r="FLY2" s="161"/>
      <c r="FLZ2" s="161"/>
      <c r="FMA2" s="161"/>
      <c r="FMB2" s="161"/>
      <c r="FMC2" s="196"/>
      <c r="FMD2" s="196"/>
      <c r="FME2" s="192"/>
      <c r="FMF2" s="181"/>
      <c r="FMG2" s="180"/>
      <c r="FMH2" s="197"/>
      <c r="FMI2" s="179"/>
      <c r="FMJ2" s="196"/>
      <c r="FMK2" s="179"/>
      <c r="FML2" s="196"/>
      <c r="FMM2" s="196"/>
      <c r="FMN2" s="161"/>
      <c r="FMO2" s="193"/>
      <c r="FMP2" s="193"/>
      <c r="FMQ2" s="194"/>
      <c r="FMR2" s="194"/>
      <c r="FMS2" s="194"/>
      <c r="FMT2" s="194"/>
      <c r="FMU2" s="194"/>
      <c r="FMV2" s="161"/>
      <c r="FMW2" s="161"/>
      <c r="FMX2" s="194"/>
      <c r="FMY2" s="161"/>
      <c r="FMZ2" s="193"/>
      <c r="FNA2" s="194"/>
      <c r="FNB2" s="161"/>
      <c r="FNC2" s="161"/>
      <c r="FND2" s="161"/>
      <c r="FNE2" s="194"/>
      <c r="FNF2" s="194"/>
      <c r="FNG2" s="194"/>
      <c r="FNH2" s="161"/>
      <c r="FNI2" s="194"/>
      <c r="FNJ2" s="194"/>
      <c r="FNK2" s="161"/>
      <c r="FNL2" s="194"/>
      <c r="FNM2" s="194"/>
      <c r="FNN2" s="194"/>
      <c r="FNO2" s="194"/>
      <c r="FNP2" s="194"/>
      <c r="FNQ2" s="194"/>
      <c r="FNR2" s="161"/>
      <c r="FNS2" s="195"/>
      <c r="FNT2" s="195"/>
      <c r="FNU2" s="161"/>
      <c r="FNV2" s="161"/>
      <c r="FNW2" s="161"/>
      <c r="FNX2" s="161"/>
      <c r="FNY2" s="196"/>
      <c r="FNZ2" s="196"/>
      <c r="FOA2" s="192"/>
      <c r="FOB2" s="181"/>
      <c r="FOC2" s="180"/>
      <c r="FOD2" s="197"/>
      <c r="FOE2" s="179"/>
      <c r="FOF2" s="196"/>
      <c r="FOG2" s="179"/>
      <c r="FOH2" s="196"/>
      <c r="FOI2" s="196"/>
      <c r="FOJ2" s="161"/>
      <c r="FOK2" s="193"/>
      <c r="FOL2" s="193"/>
      <c r="FOM2" s="194"/>
      <c r="FON2" s="194"/>
      <c r="FOO2" s="194"/>
      <c r="FOP2" s="194"/>
      <c r="FOQ2" s="194"/>
      <c r="FOR2" s="161"/>
      <c r="FOS2" s="161"/>
      <c r="FOT2" s="194"/>
      <c r="FOU2" s="161"/>
      <c r="FOV2" s="193"/>
      <c r="FOW2" s="194"/>
      <c r="FOX2" s="161"/>
      <c r="FOY2" s="161"/>
      <c r="FOZ2" s="161"/>
      <c r="FPA2" s="194"/>
      <c r="FPB2" s="194"/>
      <c r="FPC2" s="194"/>
      <c r="FPD2" s="161"/>
      <c r="FPE2" s="194"/>
      <c r="FPF2" s="194"/>
      <c r="FPG2" s="161"/>
      <c r="FPH2" s="194"/>
      <c r="FPI2" s="194"/>
      <c r="FPJ2" s="194"/>
      <c r="FPK2" s="194"/>
      <c r="FPL2" s="194"/>
      <c r="FPM2" s="194"/>
      <c r="FPN2" s="161"/>
      <c r="FPO2" s="195"/>
      <c r="FPP2" s="195"/>
      <c r="FPQ2" s="161"/>
      <c r="FPR2" s="161"/>
      <c r="FPS2" s="161"/>
      <c r="FPT2" s="161"/>
      <c r="FPU2" s="196"/>
      <c r="FPV2" s="196"/>
      <c r="FPW2" s="192"/>
      <c r="FPX2" s="181"/>
      <c r="FPY2" s="180"/>
      <c r="FPZ2" s="197"/>
      <c r="FQA2" s="179"/>
      <c r="FQB2" s="196"/>
      <c r="FQC2" s="179"/>
      <c r="FQD2" s="196"/>
      <c r="FQE2" s="196"/>
      <c r="FQF2" s="161"/>
      <c r="FQG2" s="193"/>
      <c r="FQH2" s="193"/>
      <c r="FQI2" s="194"/>
      <c r="FQJ2" s="194"/>
      <c r="FQK2" s="194"/>
      <c r="FQL2" s="194"/>
      <c r="FQM2" s="194"/>
      <c r="FQN2" s="161"/>
      <c r="FQO2" s="161"/>
      <c r="FQP2" s="194"/>
      <c r="FQQ2" s="161"/>
      <c r="FQR2" s="193"/>
      <c r="FQS2" s="194"/>
      <c r="FQT2" s="161"/>
      <c r="FQU2" s="161"/>
      <c r="FQV2" s="161"/>
      <c r="FQW2" s="194"/>
      <c r="FQX2" s="194"/>
      <c r="FQY2" s="194"/>
      <c r="FQZ2" s="161"/>
      <c r="FRA2" s="194"/>
      <c r="FRB2" s="194"/>
      <c r="FRC2" s="161"/>
      <c r="FRD2" s="194"/>
      <c r="FRE2" s="194"/>
      <c r="FRF2" s="194"/>
      <c r="FRG2" s="194"/>
      <c r="FRH2" s="194"/>
      <c r="FRI2" s="194"/>
      <c r="FRJ2" s="161"/>
      <c r="FRK2" s="195"/>
      <c r="FRL2" s="195"/>
      <c r="FRM2" s="161"/>
      <c r="FRN2" s="161"/>
      <c r="FRO2" s="161"/>
      <c r="FRP2" s="161"/>
      <c r="FRQ2" s="196"/>
      <c r="FRR2" s="196"/>
      <c r="FRS2" s="192"/>
      <c r="FRT2" s="181"/>
      <c r="FRU2" s="180"/>
      <c r="FRV2" s="197"/>
      <c r="FRW2" s="179"/>
      <c r="FRX2" s="196"/>
      <c r="FRY2" s="179"/>
      <c r="FRZ2" s="196"/>
      <c r="FSA2" s="196"/>
      <c r="FSB2" s="161"/>
      <c r="FSC2" s="193"/>
      <c r="FSD2" s="193"/>
      <c r="FSE2" s="194"/>
      <c r="FSF2" s="194"/>
      <c r="FSG2" s="194"/>
      <c r="FSH2" s="194"/>
      <c r="FSI2" s="194"/>
      <c r="FSJ2" s="161"/>
      <c r="FSK2" s="161"/>
      <c r="FSL2" s="194"/>
      <c r="FSM2" s="161"/>
      <c r="FSN2" s="193"/>
      <c r="FSO2" s="194"/>
      <c r="FSP2" s="161"/>
      <c r="FSQ2" s="161"/>
      <c r="FSR2" s="161"/>
      <c r="FSS2" s="194"/>
      <c r="FST2" s="194"/>
      <c r="FSU2" s="194"/>
      <c r="FSV2" s="161"/>
      <c r="FSW2" s="194"/>
      <c r="FSX2" s="194"/>
      <c r="FSY2" s="161"/>
      <c r="FSZ2" s="194"/>
      <c r="FTA2" s="194"/>
      <c r="FTB2" s="194"/>
      <c r="FTC2" s="194"/>
      <c r="FTD2" s="194"/>
      <c r="FTE2" s="194"/>
      <c r="FTF2" s="161"/>
      <c r="FTG2" s="195"/>
      <c r="FTH2" s="195"/>
      <c r="FTI2" s="161"/>
      <c r="FTJ2" s="161"/>
      <c r="FTK2" s="161"/>
      <c r="FTL2" s="161"/>
      <c r="FTM2" s="196"/>
      <c r="FTN2" s="196"/>
      <c r="FTO2" s="192"/>
      <c r="FTP2" s="181"/>
      <c r="FTQ2" s="180"/>
      <c r="FTR2" s="197"/>
      <c r="FTS2" s="179"/>
      <c r="FTT2" s="196"/>
      <c r="FTU2" s="179"/>
      <c r="FTV2" s="196"/>
      <c r="FTW2" s="196"/>
      <c r="FTX2" s="161"/>
      <c r="FTY2" s="193"/>
      <c r="FTZ2" s="193"/>
      <c r="FUA2" s="194"/>
      <c r="FUB2" s="194"/>
      <c r="FUC2" s="194"/>
      <c r="FUD2" s="194"/>
      <c r="FUE2" s="194"/>
      <c r="FUF2" s="161"/>
      <c r="FUG2" s="161"/>
      <c r="FUH2" s="194"/>
      <c r="FUI2" s="161"/>
      <c r="FUJ2" s="193"/>
      <c r="FUK2" s="194"/>
      <c r="FUL2" s="161"/>
      <c r="FUM2" s="161"/>
      <c r="FUN2" s="161"/>
      <c r="FUO2" s="194"/>
      <c r="FUP2" s="194"/>
      <c r="FUQ2" s="194"/>
      <c r="FUR2" s="161"/>
      <c r="FUS2" s="194"/>
      <c r="FUT2" s="194"/>
      <c r="FUU2" s="161"/>
      <c r="FUV2" s="194"/>
      <c r="FUW2" s="194"/>
      <c r="FUX2" s="194"/>
      <c r="FUY2" s="194"/>
      <c r="FUZ2" s="194"/>
      <c r="FVA2" s="194"/>
      <c r="FVB2" s="161"/>
      <c r="FVC2" s="195"/>
      <c r="FVD2" s="195"/>
      <c r="FVE2" s="161"/>
      <c r="FVF2" s="161"/>
      <c r="FVG2" s="161"/>
      <c r="FVH2" s="161"/>
      <c r="FVI2" s="196"/>
      <c r="FVJ2" s="196"/>
      <c r="FVK2" s="192"/>
      <c r="FVL2" s="181"/>
      <c r="FVM2" s="180"/>
      <c r="FVN2" s="197"/>
      <c r="FVO2" s="179"/>
      <c r="FVP2" s="196"/>
      <c r="FVQ2" s="179"/>
      <c r="FVR2" s="196"/>
      <c r="FVS2" s="196"/>
      <c r="FVT2" s="161"/>
      <c r="FVU2" s="193"/>
      <c r="FVV2" s="193"/>
      <c r="FVW2" s="194"/>
      <c r="FVX2" s="194"/>
      <c r="FVY2" s="194"/>
      <c r="FVZ2" s="194"/>
      <c r="FWA2" s="194"/>
      <c r="FWB2" s="161"/>
      <c r="FWC2" s="161"/>
      <c r="FWD2" s="194"/>
      <c r="FWE2" s="161"/>
      <c r="FWF2" s="193"/>
      <c r="FWG2" s="194"/>
      <c r="FWH2" s="161"/>
      <c r="FWI2" s="161"/>
      <c r="FWJ2" s="161"/>
      <c r="FWK2" s="194"/>
      <c r="FWL2" s="194"/>
      <c r="FWM2" s="194"/>
      <c r="FWN2" s="161"/>
      <c r="FWO2" s="194"/>
      <c r="FWP2" s="194"/>
      <c r="FWQ2" s="161"/>
      <c r="FWR2" s="194"/>
      <c r="FWS2" s="194"/>
      <c r="FWT2" s="194"/>
      <c r="FWU2" s="194"/>
      <c r="FWV2" s="194"/>
      <c r="FWW2" s="194"/>
      <c r="FWX2" s="161"/>
      <c r="FWY2" s="195"/>
      <c r="FWZ2" s="195"/>
      <c r="FXA2" s="161"/>
      <c r="FXB2" s="161"/>
      <c r="FXC2" s="161"/>
      <c r="FXD2" s="161"/>
      <c r="FXE2" s="196"/>
      <c r="FXF2" s="196"/>
      <c r="FXG2" s="192"/>
      <c r="FXH2" s="181"/>
      <c r="FXI2" s="180"/>
      <c r="FXJ2" s="197"/>
      <c r="FXK2" s="179"/>
      <c r="FXL2" s="196"/>
      <c r="FXM2" s="179"/>
      <c r="FXN2" s="196"/>
      <c r="FXO2" s="196"/>
      <c r="FXP2" s="161"/>
      <c r="FXQ2" s="193"/>
      <c r="FXR2" s="193"/>
      <c r="FXS2" s="194"/>
      <c r="FXT2" s="194"/>
      <c r="FXU2" s="194"/>
      <c r="FXV2" s="194"/>
      <c r="FXW2" s="194"/>
      <c r="FXX2" s="161"/>
      <c r="FXY2" s="161"/>
      <c r="FXZ2" s="194"/>
      <c r="FYA2" s="161"/>
      <c r="FYB2" s="193"/>
      <c r="FYC2" s="194"/>
      <c r="FYD2" s="161"/>
      <c r="FYE2" s="161"/>
      <c r="FYF2" s="161"/>
      <c r="FYG2" s="194"/>
      <c r="FYH2" s="194"/>
      <c r="FYI2" s="194"/>
      <c r="FYJ2" s="161"/>
      <c r="FYK2" s="194"/>
      <c r="FYL2" s="194"/>
      <c r="FYM2" s="161"/>
      <c r="FYN2" s="194"/>
      <c r="FYO2" s="194"/>
      <c r="FYP2" s="194"/>
      <c r="FYQ2" s="194"/>
      <c r="FYR2" s="194"/>
      <c r="FYS2" s="194"/>
      <c r="FYT2" s="161"/>
      <c r="FYU2" s="195"/>
      <c r="FYV2" s="195"/>
      <c r="FYW2" s="161"/>
      <c r="FYX2" s="161"/>
      <c r="FYY2" s="161"/>
      <c r="FYZ2" s="161"/>
      <c r="FZA2" s="196"/>
      <c r="FZB2" s="196"/>
      <c r="FZC2" s="192"/>
      <c r="FZD2" s="181"/>
      <c r="FZE2" s="180"/>
      <c r="FZF2" s="197"/>
      <c r="FZG2" s="179"/>
      <c r="FZH2" s="196"/>
      <c r="FZI2" s="179"/>
      <c r="FZJ2" s="196"/>
      <c r="FZK2" s="196"/>
      <c r="FZL2" s="161"/>
      <c r="FZM2" s="193"/>
      <c r="FZN2" s="193"/>
      <c r="FZO2" s="194"/>
      <c r="FZP2" s="194"/>
      <c r="FZQ2" s="194"/>
      <c r="FZR2" s="194"/>
      <c r="FZS2" s="194"/>
      <c r="FZT2" s="161"/>
      <c r="FZU2" s="161"/>
      <c r="FZV2" s="194"/>
      <c r="FZW2" s="161"/>
      <c r="FZX2" s="193"/>
      <c r="FZY2" s="194"/>
      <c r="FZZ2" s="161"/>
      <c r="GAA2" s="161"/>
      <c r="GAB2" s="161"/>
      <c r="GAC2" s="194"/>
      <c r="GAD2" s="194"/>
      <c r="GAE2" s="194"/>
      <c r="GAF2" s="161"/>
      <c r="GAG2" s="194"/>
      <c r="GAH2" s="194"/>
      <c r="GAI2" s="161"/>
      <c r="GAJ2" s="194"/>
      <c r="GAK2" s="194"/>
      <c r="GAL2" s="194"/>
      <c r="GAM2" s="194"/>
      <c r="GAN2" s="194"/>
      <c r="GAO2" s="194"/>
      <c r="GAP2" s="161"/>
      <c r="GAQ2" s="195"/>
      <c r="GAR2" s="195"/>
      <c r="GAS2" s="161"/>
      <c r="GAT2" s="161"/>
      <c r="GAU2" s="161"/>
      <c r="GAV2" s="161"/>
      <c r="GAW2" s="196"/>
      <c r="GAX2" s="196"/>
      <c r="GAY2" s="192"/>
      <c r="GAZ2" s="181"/>
      <c r="GBA2" s="180"/>
      <c r="GBB2" s="197"/>
      <c r="GBC2" s="179"/>
      <c r="GBD2" s="196"/>
      <c r="GBE2" s="179"/>
      <c r="GBF2" s="196"/>
      <c r="GBG2" s="196"/>
      <c r="GBH2" s="161"/>
      <c r="GBI2" s="193"/>
      <c r="GBJ2" s="193"/>
      <c r="GBK2" s="194"/>
      <c r="GBL2" s="194"/>
      <c r="GBM2" s="194"/>
      <c r="GBN2" s="194"/>
      <c r="GBO2" s="194"/>
      <c r="GBP2" s="161"/>
      <c r="GBQ2" s="161"/>
      <c r="GBR2" s="194"/>
      <c r="GBS2" s="161"/>
      <c r="GBT2" s="193"/>
      <c r="GBU2" s="194"/>
      <c r="GBV2" s="161"/>
      <c r="GBW2" s="161"/>
      <c r="GBX2" s="161"/>
      <c r="GBY2" s="194"/>
      <c r="GBZ2" s="194"/>
      <c r="GCA2" s="194"/>
      <c r="GCB2" s="161"/>
      <c r="GCC2" s="194"/>
      <c r="GCD2" s="194"/>
      <c r="GCE2" s="161"/>
      <c r="GCF2" s="194"/>
      <c r="GCG2" s="194"/>
      <c r="GCH2" s="194"/>
      <c r="GCI2" s="194"/>
      <c r="GCJ2" s="194"/>
      <c r="GCK2" s="194"/>
      <c r="GCL2" s="161"/>
      <c r="GCM2" s="195"/>
      <c r="GCN2" s="195"/>
      <c r="GCO2" s="161"/>
      <c r="GCP2" s="161"/>
      <c r="GCQ2" s="161"/>
      <c r="GCR2" s="161"/>
      <c r="GCS2" s="196"/>
      <c r="GCT2" s="196"/>
      <c r="GCU2" s="192"/>
      <c r="GCV2" s="181"/>
      <c r="GCW2" s="180"/>
      <c r="GCX2" s="197"/>
      <c r="GCY2" s="179"/>
      <c r="GCZ2" s="196"/>
      <c r="GDA2" s="179"/>
      <c r="GDB2" s="196"/>
      <c r="GDC2" s="196"/>
      <c r="GDD2" s="161"/>
      <c r="GDE2" s="193"/>
      <c r="GDF2" s="193"/>
      <c r="GDG2" s="194"/>
      <c r="GDH2" s="194"/>
      <c r="GDI2" s="194"/>
      <c r="GDJ2" s="194"/>
      <c r="GDK2" s="194"/>
      <c r="GDL2" s="161"/>
      <c r="GDM2" s="161"/>
      <c r="GDN2" s="194"/>
      <c r="GDO2" s="161"/>
      <c r="GDP2" s="193"/>
      <c r="GDQ2" s="194"/>
      <c r="GDR2" s="161"/>
      <c r="GDS2" s="161"/>
      <c r="GDT2" s="161"/>
      <c r="GDU2" s="194"/>
      <c r="GDV2" s="194"/>
      <c r="GDW2" s="194"/>
      <c r="GDX2" s="161"/>
      <c r="GDY2" s="194"/>
      <c r="GDZ2" s="194"/>
      <c r="GEA2" s="161"/>
      <c r="GEB2" s="194"/>
      <c r="GEC2" s="194"/>
      <c r="GED2" s="194"/>
      <c r="GEE2" s="194"/>
      <c r="GEF2" s="194"/>
      <c r="GEG2" s="194"/>
      <c r="GEH2" s="161"/>
      <c r="GEI2" s="195"/>
      <c r="GEJ2" s="195"/>
      <c r="GEK2" s="161"/>
      <c r="GEL2" s="161"/>
      <c r="GEM2" s="161"/>
      <c r="GEN2" s="161"/>
      <c r="GEO2" s="196"/>
      <c r="GEP2" s="196"/>
      <c r="GEQ2" s="192"/>
      <c r="GER2" s="181"/>
      <c r="GES2" s="180"/>
      <c r="GET2" s="197"/>
      <c r="GEU2" s="179"/>
      <c r="GEV2" s="196"/>
      <c r="GEW2" s="179"/>
      <c r="GEX2" s="196"/>
      <c r="GEY2" s="196"/>
      <c r="GEZ2" s="161"/>
      <c r="GFA2" s="193"/>
      <c r="GFB2" s="193"/>
      <c r="GFC2" s="194"/>
      <c r="GFD2" s="194"/>
      <c r="GFE2" s="194"/>
      <c r="GFF2" s="194"/>
      <c r="GFG2" s="194"/>
      <c r="GFH2" s="161"/>
      <c r="GFI2" s="161"/>
      <c r="GFJ2" s="194"/>
      <c r="GFK2" s="161"/>
      <c r="GFL2" s="193"/>
      <c r="GFM2" s="194"/>
      <c r="GFN2" s="161"/>
      <c r="GFO2" s="161"/>
      <c r="GFP2" s="161"/>
      <c r="GFQ2" s="194"/>
      <c r="GFR2" s="194"/>
      <c r="GFS2" s="194"/>
      <c r="GFT2" s="161"/>
      <c r="GFU2" s="194"/>
      <c r="GFV2" s="194"/>
      <c r="GFW2" s="161"/>
      <c r="GFX2" s="194"/>
      <c r="GFY2" s="194"/>
      <c r="GFZ2" s="194"/>
      <c r="GGA2" s="194"/>
      <c r="GGB2" s="194"/>
      <c r="GGC2" s="194"/>
      <c r="GGD2" s="161"/>
      <c r="GGE2" s="195"/>
      <c r="GGF2" s="195"/>
      <c r="GGG2" s="161"/>
      <c r="GGH2" s="161"/>
      <c r="GGI2" s="161"/>
      <c r="GGJ2" s="161"/>
      <c r="GGK2" s="196"/>
      <c r="GGL2" s="196"/>
      <c r="GGM2" s="192"/>
      <c r="GGN2" s="181"/>
      <c r="GGO2" s="180"/>
      <c r="GGP2" s="197"/>
      <c r="GGQ2" s="179"/>
      <c r="GGR2" s="196"/>
      <c r="GGS2" s="179"/>
      <c r="GGT2" s="196"/>
      <c r="GGU2" s="196"/>
      <c r="GGV2" s="161"/>
      <c r="GGW2" s="193"/>
      <c r="GGX2" s="193"/>
      <c r="GGY2" s="194"/>
      <c r="GGZ2" s="194"/>
      <c r="GHA2" s="194"/>
      <c r="GHB2" s="194"/>
      <c r="GHC2" s="194"/>
      <c r="GHD2" s="161"/>
      <c r="GHE2" s="161"/>
      <c r="GHF2" s="194"/>
      <c r="GHG2" s="161"/>
      <c r="GHH2" s="193"/>
      <c r="GHI2" s="194"/>
      <c r="GHJ2" s="161"/>
      <c r="GHK2" s="161"/>
      <c r="GHL2" s="161"/>
      <c r="GHM2" s="194"/>
      <c r="GHN2" s="194"/>
      <c r="GHO2" s="194"/>
      <c r="GHP2" s="161"/>
      <c r="GHQ2" s="194"/>
      <c r="GHR2" s="194"/>
      <c r="GHS2" s="161"/>
      <c r="GHT2" s="194"/>
      <c r="GHU2" s="194"/>
      <c r="GHV2" s="194"/>
      <c r="GHW2" s="194"/>
      <c r="GHX2" s="194"/>
      <c r="GHY2" s="194"/>
      <c r="GHZ2" s="161"/>
      <c r="GIA2" s="195"/>
      <c r="GIB2" s="195"/>
      <c r="GIC2" s="161"/>
      <c r="GID2" s="161"/>
      <c r="GIE2" s="161"/>
      <c r="GIF2" s="161"/>
      <c r="GIG2" s="196"/>
      <c r="GIH2" s="196"/>
      <c r="GII2" s="192"/>
      <c r="GIJ2" s="181"/>
      <c r="GIK2" s="180"/>
      <c r="GIL2" s="197"/>
      <c r="GIM2" s="179"/>
      <c r="GIN2" s="196"/>
      <c r="GIO2" s="179"/>
      <c r="GIP2" s="196"/>
      <c r="GIQ2" s="196"/>
      <c r="GIR2" s="161"/>
      <c r="GIS2" s="193"/>
      <c r="GIT2" s="193"/>
      <c r="GIU2" s="194"/>
      <c r="GIV2" s="194"/>
      <c r="GIW2" s="194"/>
      <c r="GIX2" s="194"/>
      <c r="GIY2" s="194"/>
      <c r="GIZ2" s="161"/>
      <c r="GJA2" s="161"/>
      <c r="GJB2" s="194"/>
      <c r="GJC2" s="161"/>
      <c r="GJD2" s="193"/>
      <c r="GJE2" s="194"/>
      <c r="GJF2" s="161"/>
      <c r="GJG2" s="161"/>
      <c r="GJH2" s="161"/>
      <c r="GJI2" s="194"/>
      <c r="GJJ2" s="194"/>
      <c r="GJK2" s="194"/>
      <c r="GJL2" s="161"/>
      <c r="GJM2" s="194"/>
      <c r="GJN2" s="194"/>
      <c r="GJO2" s="161"/>
      <c r="GJP2" s="194"/>
      <c r="GJQ2" s="194"/>
      <c r="GJR2" s="194"/>
      <c r="GJS2" s="194"/>
      <c r="GJT2" s="194"/>
      <c r="GJU2" s="194"/>
      <c r="GJV2" s="161"/>
      <c r="GJW2" s="195"/>
      <c r="GJX2" s="195"/>
      <c r="GJY2" s="161"/>
      <c r="GJZ2" s="161"/>
      <c r="GKA2" s="161"/>
      <c r="GKB2" s="161"/>
      <c r="GKC2" s="196"/>
      <c r="GKD2" s="196"/>
      <c r="GKE2" s="192"/>
      <c r="GKF2" s="181"/>
      <c r="GKG2" s="180"/>
      <c r="GKH2" s="197"/>
      <c r="GKI2" s="179"/>
      <c r="GKJ2" s="196"/>
      <c r="GKK2" s="179"/>
      <c r="GKL2" s="196"/>
      <c r="GKM2" s="196"/>
      <c r="GKN2" s="161"/>
      <c r="GKO2" s="193"/>
      <c r="GKP2" s="193"/>
      <c r="GKQ2" s="194"/>
      <c r="GKR2" s="194"/>
      <c r="GKS2" s="194"/>
      <c r="GKT2" s="194"/>
      <c r="GKU2" s="194"/>
      <c r="GKV2" s="161"/>
      <c r="GKW2" s="161"/>
      <c r="GKX2" s="194"/>
      <c r="GKY2" s="161"/>
      <c r="GKZ2" s="193"/>
      <c r="GLA2" s="194"/>
      <c r="GLB2" s="161"/>
      <c r="GLC2" s="161"/>
      <c r="GLD2" s="161"/>
      <c r="GLE2" s="194"/>
      <c r="GLF2" s="194"/>
      <c r="GLG2" s="194"/>
      <c r="GLH2" s="161"/>
      <c r="GLI2" s="194"/>
      <c r="GLJ2" s="194"/>
      <c r="GLK2" s="161"/>
      <c r="GLL2" s="194"/>
      <c r="GLM2" s="194"/>
      <c r="GLN2" s="194"/>
      <c r="GLO2" s="194"/>
      <c r="GLP2" s="194"/>
      <c r="GLQ2" s="194"/>
      <c r="GLR2" s="161"/>
      <c r="GLS2" s="195"/>
      <c r="GLT2" s="195"/>
      <c r="GLU2" s="161"/>
      <c r="GLV2" s="161"/>
      <c r="GLW2" s="161"/>
      <c r="GLX2" s="161"/>
      <c r="GLY2" s="196"/>
      <c r="GLZ2" s="196"/>
      <c r="GMA2" s="192"/>
      <c r="GMB2" s="181"/>
      <c r="GMC2" s="180"/>
      <c r="GMD2" s="197"/>
      <c r="GME2" s="179"/>
      <c r="GMF2" s="196"/>
      <c r="GMG2" s="179"/>
      <c r="GMH2" s="196"/>
      <c r="GMI2" s="196"/>
      <c r="GMJ2" s="161"/>
      <c r="GMK2" s="193"/>
      <c r="GML2" s="193"/>
      <c r="GMM2" s="194"/>
      <c r="GMN2" s="194"/>
      <c r="GMO2" s="194"/>
      <c r="GMP2" s="194"/>
      <c r="GMQ2" s="194"/>
      <c r="GMR2" s="161"/>
      <c r="GMS2" s="161"/>
      <c r="GMT2" s="194"/>
      <c r="GMU2" s="161"/>
      <c r="GMV2" s="193"/>
      <c r="GMW2" s="194"/>
      <c r="GMX2" s="161"/>
      <c r="GMY2" s="161"/>
      <c r="GMZ2" s="161"/>
      <c r="GNA2" s="194"/>
      <c r="GNB2" s="194"/>
      <c r="GNC2" s="194"/>
      <c r="GND2" s="161"/>
      <c r="GNE2" s="194"/>
      <c r="GNF2" s="194"/>
      <c r="GNG2" s="161"/>
      <c r="GNH2" s="194"/>
      <c r="GNI2" s="194"/>
      <c r="GNJ2" s="194"/>
      <c r="GNK2" s="194"/>
      <c r="GNL2" s="194"/>
      <c r="GNM2" s="194"/>
      <c r="GNN2" s="161"/>
      <c r="GNO2" s="195"/>
      <c r="GNP2" s="195"/>
      <c r="GNQ2" s="161"/>
      <c r="GNR2" s="161"/>
      <c r="GNS2" s="161"/>
      <c r="GNT2" s="161"/>
      <c r="GNU2" s="196"/>
      <c r="GNV2" s="196"/>
      <c r="GNW2" s="192"/>
      <c r="GNX2" s="181"/>
      <c r="GNY2" s="180"/>
      <c r="GNZ2" s="197"/>
      <c r="GOA2" s="179"/>
      <c r="GOB2" s="196"/>
      <c r="GOC2" s="179"/>
      <c r="GOD2" s="196"/>
      <c r="GOE2" s="196"/>
      <c r="GOF2" s="161"/>
      <c r="GOG2" s="193"/>
      <c r="GOH2" s="193"/>
      <c r="GOI2" s="194"/>
      <c r="GOJ2" s="194"/>
      <c r="GOK2" s="194"/>
      <c r="GOL2" s="194"/>
      <c r="GOM2" s="194"/>
      <c r="GON2" s="161"/>
      <c r="GOO2" s="161"/>
      <c r="GOP2" s="194"/>
      <c r="GOQ2" s="161"/>
      <c r="GOR2" s="193"/>
      <c r="GOS2" s="194"/>
      <c r="GOT2" s="161"/>
      <c r="GOU2" s="161"/>
      <c r="GOV2" s="161"/>
      <c r="GOW2" s="194"/>
      <c r="GOX2" s="194"/>
      <c r="GOY2" s="194"/>
      <c r="GOZ2" s="161"/>
      <c r="GPA2" s="194"/>
      <c r="GPB2" s="194"/>
      <c r="GPC2" s="161"/>
      <c r="GPD2" s="194"/>
      <c r="GPE2" s="194"/>
      <c r="GPF2" s="194"/>
      <c r="GPG2" s="194"/>
      <c r="GPH2" s="194"/>
      <c r="GPI2" s="194"/>
      <c r="GPJ2" s="161"/>
      <c r="GPK2" s="195"/>
      <c r="GPL2" s="195"/>
      <c r="GPM2" s="161"/>
      <c r="GPN2" s="161"/>
      <c r="GPO2" s="161"/>
      <c r="GPP2" s="161"/>
      <c r="GPQ2" s="196"/>
      <c r="GPR2" s="196"/>
      <c r="GPS2" s="192"/>
      <c r="GPT2" s="181"/>
      <c r="GPU2" s="180"/>
      <c r="GPV2" s="197"/>
      <c r="GPW2" s="179"/>
      <c r="GPX2" s="196"/>
      <c r="GPY2" s="179"/>
      <c r="GPZ2" s="196"/>
      <c r="GQA2" s="196"/>
      <c r="GQB2" s="161"/>
      <c r="GQC2" s="193"/>
      <c r="GQD2" s="193"/>
      <c r="GQE2" s="194"/>
      <c r="GQF2" s="194"/>
      <c r="GQG2" s="194"/>
      <c r="GQH2" s="194"/>
      <c r="GQI2" s="194"/>
      <c r="GQJ2" s="161"/>
      <c r="GQK2" s="161"/>
      <c r="GQL2" s="194"/>
      <c r="GQM2" s="161"/>
      <c r="GQN2" s="193"/>
      <c r="GQO2" s="194"/>
      <c r="GQP2" s="161"/>
      <c r="GQQ2" s="161"/>
      <c r="GQR2" s="161"/>
      <c r="GQS2" s="194"/>
      <c r="GQT2" s="194"/>
      <c r="GQU2" s="194"/>
      <c r="GQV2" s="161"/>
      <c r="GQW2" s="194"/>
      <c r="GQX2" s="194"/>
      <c r="GQY2" s="161"/>
      <c r="GQZ2" s="194"/>
      <c r="GRA2" s="194"/>
      <c r="GRB2" s="194"/>
      <c r="GRC2" s="194"/>
      <c r="GRD2" s="194"/>
      <c r="GRE2" s="194"/>
      <c r="GRF2" s="161"/>
      <c r="GRG2" s="195"/>
      <c r="GRH2" s="195"/>
      <c r="GRI2" s="161"/>
      <c r="GRJ2" s="161"/>
      <c r="GRK2" s="161"/>
      <c r="GRL2" s="161"/>
      <c r="GRM2" s="196"/>
      <c r="GRN2" s="196"/>
      <c r="GRO2" s="192"/>
      <c r="GRP2" s="181"/>
      <c r="GRQ2" s="180"/>
      <c r="GRR2" s="197"/>
      <c r="GRS2" s="179"/>
      <c r="GRT2" s="196"/>
      <c r="GRU2" s="179"/>
      <c r="GRV2" s="196"/>
      <c r="GRW2" s="196"/>
      <c r="GRX2" s="161"/>
      <c r="GRY2" s="193"/>
      <c r="GRZ2" s="193"/>
      <c r="GSA2" s="194"/>
      <c r="GSB2" s="194"/>
      <c r="GSC2" s="194"/>
      <c r="GSD2" s="194"/>
      <c r="GSE2" s="194"/>
      <c r="GSF2" s="161"/>
      <c r="GSG2" s="161"/>
      <c r="GSH2" s="194"/>
      <c r="GSI2" s="161"/>
      <c r="GSJ2" s="193"/>
      <c r="GSK2" s="194"/>
      <c r="GSL2" s="161"/>
      <c r="GSM2" s="161"/>
      <c r="GSN2" s="161"/>
      <c r="GSO2" s="194"/>
      <c r="GSP2" s="194"/>
      <c r="GSQ2" s="194"/>
      <c r="GSR2" s="161"/>
      <c r="GSS2" s="194"/>
      <c r="GST2" s="194"/>
      <c r="GSU2" s="161"/>
      <c r="GSV2" s="194"/>
      <c r="GSW2" s="194"/>
      <c r="GSX2" s="194"/>
      <c r="GSY2" s="194"/>
      <c r="GSZ2" s="194"/>
      <c r="GTA2" s="194"/>
      <c r="GTB2" s="161"/>
      <c r="GTC2" s="195"/>
      <c r="GTD2" s="195"/>
      <c r="GTE2" s="161"/>
      <c r="GTF2" s="161"/>
      <c r="GTG2" s="161"/>
      <c r="GTH2" s="161"/>
      <c r="GTI2" s="196"/>
      <c r="GTJ2" s="196"/>
      <c r="GTK2" s="192"/>
      <c r="GTL2" s="181"/>
      <c r="GTM2" s="180"/>
      <c r="GTN2" s="197"/>
      <c r="GTO2" s="179"/>
      <c r="GTP2" s="196"/>
      <c r="GTQ2" s="179"/>
      <c r="GTR2" s="196"/>
      <c r="GTS2" s="196"/>
      <c r="GTT2" s="161"/>
      <c r="GTU2" s="193"/>
      <c r="GTV2" s="193"/>
      <c r="GTW2" s="194"/>
      <c r="GTX2" s="194"/>
      <c r="GTY2" s="194"/>
      <c r="GTZ2" s="194"/>
      <c r="GUA2" s="194"/>
      <c r="GUB2" s="161"/>
      <c r="GUC2" s="161"/>
      <c r="GUD2" s="194"/>
      <c r="GUE2" s="161"/>
      <c r="GUF2" s="193"/>
      <c r="GUG2" s="194"/>
      <c r="GUH2" s="161"/>
      <c r="GUI2" s="161"/>
      <c r="GUJ2" s="161"/>
      <c r="GUK2" s="194"/>
      <c r="GUL2" s="194"/>
      <c r="GUM2" s="194"/>
      <c r="GUN2" s="161"/>
      <c r="GUO2" s="194"/>
      <c r="GUP2" s="194"/>
      <c r="GUQ2" s="161"/>
      <c r="GUR2" s="194"/>
      <c r="GUS2" s="194"/>
      <c r="GUT2" s="194"/>
      <c r="GUU2" s="194"/>
      <c r="GUV2" s="194"/>
      <c r="GUW2" s="194"/>
      <c r="GUX2" s="161"/>
      <c r="GUY2" s="195"/>
      <c r="GUZ2" s="195"/>
      <c r="GVA2" s="161"/>
      <c r="GVB2" s="161"/>
      <c r="GVC2" s="161"/>
      <c r="GVD2" s="161"/>
      <c r="GVE2" s="196"/>
      <c r="GVF2" s="196"/>
      <c r="GVG2" s="192"/>
      <c r="GVH2" s="181"/>
      <c r="GVI2" s="180"/>
      <c r="GVJ2" s="197"/>
      <c r="GVK2" s="179"/>
      <c r="GVL2" s="196"/>
      <c r="GVM2" s="179"/>
      <c r="GVN2" s="196"/>
      <c r="GVO2" s="196"/>
      <c r="GVP2" s="161"/>
      <c r="GVQ2" s="193"/>
      <c r="GVR2" s="193"/>
      <c r="GVS2" s="194"/>
      <c r="GVT2" s="194"/>
      <c r="GVU2" s="194"/>
      <c r="GVV2" s="194"/>
      <c r="GVW2" s="194"/>
      <c r="GVX2" s="161"/>
      <c r="GVY2" s="161"/>
      <c r="GVZ2" s="194"/>
      <c r="GWA2" s="161"/>
      <c r="GWB2" s="193"/>
      <c r="GWC2" s="194"/>
      <c r="GWD2" s="161"/>
      <c r="GWE2" s="161"/>
      <c r="GWF2" s="161"/>
      <c r="GWG2" s="194"/>
      <c r="GWH2" s="194"/>
      <c r="GWI2" s="194"/>
      <c r="GWJ2" s="161"/>
      <c r="GWK2" s="194"/>
      <c r="GWL2" s="194"/>
      <c r="GWM2" s="161"/>
      <c r="GWN2" s="194"/>
      <c r="GWO2" s="194"/>
      <c r="GWP2" s="194"/>
      <c r="GWQ2" s="194"/>
      <c r="GWR2" s="194"/>
      <c r="GWS2" s="194"/>
      <c r="GWT2" s="161"/>
      <c r="GWU2" s="195"/>
      <c r="GWV2" s="195"/>
      <c r="GWW2" s="161"/>
      <c r="GWX2" s="161"/>
      <c r="GWY2" s="161"/>
      <c r="GWZ2" s="161"/>
      <c r="GXA2" s="196"/>
      <c r="GXB2" s="196"/>
      <c r="GXC2" s="192"/>
      <c r="GXD2" s="181"/>
      <c r="GXE2" s="180"/>
      <c r="GXF2" s="197"/>
      <c r="GXG2" s="179"/>
      <c r="GXH2" s="196"/>
      <c r="GXI2" s="179"/>
      <c r="GXJ2" s="196"/>
      <c r="GXK2" s="196"/>
      <c r="GXL2" s="161"/>
      <c r="GXM2" s="193"/>
      <c r="GXN2" s="193"/>
      <c r="GXO2" s="194"/>
      <c r="GXP2" s="194"/>
      <c r="GXQ2" s="194"/>
      <c r="GXR2" s="194"/>
      <c r="GXS2" s="194"/>
      <c r="GXT2" s="161"/>
      <c r="GXU2" s="161"/>
      <c r="GXV2" s="194"/>
      <c r="GXW2" s="161"/>
      <c r="GXX2" s="193"/>
      <c r="GXY2" s="194"/>
      <c r="GXZ2" s="161"/>
      <c r="GYA2" s="161"/>
      <c r="GYB2" s="161"/>
      <c r="GYC2" s="194"/>
      <c r="GYD2" s="194"/>
      <c r="GYE2" s="194"/>
      <c r="GYF2" s="161"/>
      <c r="GYG2" s="194"/>
      <c r="GYH2" s="194"/>
      <c r="GYI2" s="161"/>
      <c r="GYJ2" s="194"/>
      <c r="GYK2" s="194"/>
      <c r="GYL2" s="194"/>
      <c r="GYM2" s="194"/>
      <c r="GYN2" s="194"/>
      <c r="GYO2" s="194"/>
      <c r="GYP2" s="161"/>
      <c r="GYQ2" s="195"/>
      <c r="GYR2" s="195"/>
      <c r="GYS2" s="161"/>
      <c r="GYT2" s="161"/>
      <c r="GYU2" s="161"/>
      <c r="GYV2" s="161"/>
      <c r="GYW2" s="196"/>
      <c r="GYX2" s="196"/>
      <c r="GYY2" s="192"/>
      <c r="GYZ2" s="181"/>
      <c r="GZA2" s="180"/>
      <c r="GZB2" s="197"/>
      <c r="GZC2" s="179"/>
      <c r="GZD2" s="196"/>
      <c r="GZE2" s="179"/>
      <c r="GZF2" s="196"/>
      <c r="GZG2" s="196"/>
      <c r="GZH2" s="161"/>
      <c r="GZI2" s="193"/>
      <c r="GZJ2" s="193"/>
      <c r="GZK2" s="194"/>
      <c r="GZL2" s="194"/>
      <c r="GZM2" s="194"/>
      <c r="GZN2" s="194"/>
      <c r="GZO2" s="194"/>
      <c r="GZP2" s="161"/>
      <c r="GZQ2" s="161"/>
      <c r="GZR2" s="194"/>
      <c r="GZS2" s="161"/>
      <c r="GZT2" s="193"/>
      <c r="GZU2" s="194"/>
      <c r="GZV2" s="161"/>
      <c r="GZW2" s="161"/>
      <c r="GZX2" s="161"/>
      <c r="GZY2" s="194"/>
      <c r="GZZ2" s="194"/>
      <c r="HAA2" s="194"/>
      <c r="HAB2" s="161"/>
      <c r="HAC2" s="194"/>
      <c r="HAD2" s="194"/>
      <c r="HAE2" s="161"/>
      <c r="HAF2" s="194"/>
      <c r="HAG2" s="194"/>
      <c r="HAH2" s="194"/>
      <c r="HAI2" s="194"/>
      <c r="HAJ2" s="194"/>
      <c r="HAK2" s="194"/>
      <c r="HAL2" s="161"/>
      <c r="HAM2" s="195"/>
      <c r="HAN2" s="195"/>
      <c r="HAO2" s="161"/>
      <c r="HAP2" s="161"/>
      <c r="HAQ2" s="161"/>
      <c r="HAR2" s="161"/>
      <c r="HAS2" s="196"/>
      <c r="HAT2" s="196"/>
      <c r="HAU2" s="192"/>
      <c r="HAV2" s="181"/>
      <c r="HAW2" s="180"/>
      <c r="HAX2" s="197"/>
      <c r="HAY2" s="179"/>
      <c r="HAZ2" s="196"/>
      <c r="HBA2" s="179"/>
      <c r="HBB2" s="196"/>
      <c r="HBC2" s="196"/>
      <c r="HBD2" s="161"/>
      <c r="HBE2" s="193"/>
      <c r="HBF2" s="193"/>
      <c r="HBG2" s="194"/>
      <c r="HBH2" s="194"/>
      <c r="HBI2" s="194"/>
      <c r="HBJ2" s="194"/>
      <c r="HBK2" s="194"/>
      <c r="HBL2" s="161"/>
      <c r="HBM2" s="161"/>
      <c r="HBN2" s="194"/>
      <c r="HBO2" s="161"/>
      <c r="HBP2" s="193"/>
      <c r="HBQ2" s="194"/>
      <c r="HBR2" s="161"/>
      <c r="HBS2" s="161"/>
      <c r="HBT2" s="161"/>
      <c r="HBU2" s="194"/>
      <c r="HBV2" s="194"/>
      <c r="HBW2" s="194"/>
      <c r="HBX2" s="161"/>
      <c r="HBY2" s="194"/>
      <c r="HBZ2" s="194"/>
      <c r="HCA2" s="161"/>
      <c r="HCB2" s="194"/>
      <c r="HCC2" s="194"/>
      <c r="HCD2" s="194"/>
      <c r="HCE2" s="194"/>
      <c r="HCF2" s="194"/>
      <c r="HCG2" s="194"/>
      <c r="HCH2" s="161"/>
      <c r="HCI2" s="195"/>
      <c r="HCJ2" s="195"/>
      <c r="HCK2" s="161"/>
      <c r="HCL2" s="161"/>
      <c r="HCM2" s="161"/>
      <c r="HCN2" s="161"/>
      <c r="HCO2" s="196"/>
      <c r="HCP2" s="196"/>
      <c r="HCQ2" s="192"/>
      <c r="HCR2" s="181"/>
      <c r="HCS2" s="180"/>
      <c r="HCT2" s="197"/>
      <c r="HCU2" s="179"/>
      <c r="HCV2" s="196"/>
      <c r="HCW2" s="179"/>
      <c r="HCX2" s="196"/>
      <c r="HCY2" s="196"/>
      <c r="HCZ2" s="161"/>
      <c r="HDA2" s="193"/>
      <c r="HDB2" s="193"/>
      <c r="HDC2" s="194"/>
      <c r="HDD2" s="194"/>
      <c r="HDE2" s="194"/>
      <c r="HDF2" s="194"/>
      <c r="HDG2" s="194"/>
      <c r="HDH2" s="161"/>
      <c r="HDI2" s="161"/>
      <c r="HDJ2" s="194"/>
      <c r="HDK2" s="161"/>
      <c r="HDL2" s="193"/>
      <c r="HDM2" s="194"/>
      <c r="HDN2" s="161"/>
      <c r="HDO2" s="161"/>
      <c r="HDP2" s="161"/>
      <c r="HDQ2" s="194"/>
      <c r="HDR2" s="194"/>
      <c r="HDS2" s="194"/>
      <c r="HDT2" s="161"/>
      <c r="HDU2" s="194"/>
      <c r="HDV2" s="194"/>
      <c r="HDW2" s="161"/>
      <c r="HDX2" s="194"/>
      <c r="HDY2" s="194"/>
      <c r="HDZ2" s="194"/>
      <c r="HEA2" s="194"/>
      <c r="HEB2" s="194"/>
      <c r="HEC2" s="194"/>
      <c r="HED2" s="161"/>
      <c r="HEE2" s="195"/>
      <c r="HEF2" s="195"/>
      <c r="HEG2" s="161"/>
      <c r="HEH2" s="161"/>
      <c r="HEI2" s="161"/>
      <c r="HEJ2" s="161"/>
      <c r="HEK2" s="196"/>
      <c r="HEL2" s="196"/>
      <c r="HEM2" s="192"/>
      <c r="HEN2" s="181"/>
      <c r="HEO2" s="180"/>
      <c r="HEP2" s="197"/>
      <c r="HEQ2" s="179"/>
      <c r="HER2" s="196"/>
      <c r="HES2" s="179"/>
      <c r="HET2" s="196"/>
      <c r="HEU2" s="196"/>
      <c r="HEV2" s="161"/>
      <c r="HEW2" s="193"/>
      <c r="HEX2" s="193"/>
      <c r="HEY2" s="194"/>
      <c r="HEZ2" s="194"/>
      <c r="HFA2" s="194"/>
      <c r="HFB2" s="194"/>
      <c r="HFC2" s="194"/>
      <c r="HFD2" s="161"/>
      <c r="HFE2" s="161"/>
      <c r="HFF2" s="194"/>
      <c r="HFG2" s="161"/>
      <c r="HFH2" s="193"/>
      <c r="HFI2" s="194"/>
      <c r="HFJ2" s="161"/>
      <c r="HFK2" s="161"/>
      <c r="HFL2" s="161"/>
      <c r="HFM2" s="194"/>
      <c r="HFN2" s="194"/>
      <c r="HFO2" s="194"/>
      <c r="HFP2" s="161"/>
      <c r="HFQ2" s="194"/>
      <c r="HFR2" s="194"/>
      <c r="HFS2" s="161"/>
      <c r="HFT2" s="194"/>
      <c r="HFU2" s="194"/>
      <c r="HFV2" s="194"/>
      <c r="HFW2" s="194"/>
      <c r="HFX2" s="194"/>
      <c r="HFY2" s="194"/>
      <c r="HFZ2" s="161"/>
      <c r="HGA2" s="195"/>
      <c r="HGB2" s="195"/>
      <c r="HGC2" s="161"/>
      <c r="HGD2" s="161"/>
      <c r="HGE2" s="161"/>
      <c r="HGF2" s="161"/>
      <c r="HGG2" s="196"/>
      <c r="HGH2" s="196"/>
      <c r="HGI2" s="192"/>
      <c r="HGJ2" s="181"/>
      <c r="HGK2" s="180"/>
      <c r="HGL2" s="197"/>
      <c r="HGM2" s="179"/>
      <c r="HGN2" s="196"/>
      <c r="HGO2" s="179"/>
      <c r="HGP2" s="196"/>
      <c r="HGQ2" s="196"/>
      <c r="HGR2" s="161"/>
      <c r="HGS2" s="193"/>
      <c r="HGT2" s="193"/>
      <c r="HGU2" s="194"/>
      <c r="HGV2" s="194"/>
      <c r="HGW2" s="194"/>
      <c r="HGX2" s="194"/>
      <c r="HGY2" s="194"/>
      <c r="HGZ2" s="161"/>
      <c r="HHA2" s="161"/>
      <c r="HHB2" s="194"/>
      <c r="HHC2" s="161"/>
      <c r="HHD2" s="193"/>
      <c r="HHE2" s="194"/>
      <c r="HHF2" s="161"/>
      <c r="HHG2" s="161"/>
      <c r="HHH2" s="161"/>
      <c r="HHI2" s="194"/>
      <c r="HHJ2" s="194"/>
      <c r="HHK2" s="194"/>
      <c r="HHL2" s="161"/>
      <c r="HHM2" s="194"/>
      <c r="HHN2" s="194"/>
      <c r="HHO2" s="161"/>
      <c r="HHP2" s="194"/>
      <c r="HHQ2" s="194"/>
      <c r="HHR2" s="194"/>
      <c r="HHS2" s="194"/>
      <c r="HHT2" s="194"/>
      <c r="HHU2" s="194"/>
      <c r="HHV2" s="161"/>
      <c r="HHW2" s="195"/>
      <c r="HHX2" s="195"/>
      <c r="HHY2" s="161"/>
      <c r="HHZ2" s="161"/>
      <c r="HIA2" s="161"/>
      <c r="HIB2" s="161"/>
      <c r="HIC2" s="196"/>
      <c r="HID2" s="196"/>
      <c r="HIE2" s="192"/>
      <c r="HIF2" s="181"/>
      <c r="HIG2" s="180"/>
      <c r="HIH2" s="197"/>
      <c r="HII2" s="179"/>
      <c r="HIJ2" s="196"/>
      <c r="HIK2" s="179"/>
      <c r="HIL2" s="196"/>
      <c r="HIM2" s="196"/>
      <c r="HIN2" s="161"/>
      <c r="HIO2" s="193"/>
      <c r="HIP2" s="193"/>
      <c r="HIQ2" s="194"/>
      <c r="HIR2" s="194"/>
      <c r="HIS2" s="194"/>
      <c r="HIT2" s="194"/>
      <c r="HIU2" s="194"/>
      <c r="HIV2" s="161"/>
      <c r="HIW2" s="161"/>
      <c r="HIX2" s="194"/>
      <c r="HIY2" s="161"/>
      <c r="HIZ2" s="193"/>
      <c r="HJA2" s="194"/>
      <c r="HJB2" s="161"/>
      <c r="HJC2" s="161"/>
      <c r="HJD2" s="161"/>
      <c r="HJE2" s="194"/>
      <c r="HJF2" s="194"/>
      <c r="HJG2" s="194"/>
      <c r="HJH2" s="161"/>
      <c r="HJI2" s="194"/>
      <c r="HJJ2" s="194"/>
      <c r="HJK2" s="161"/>
      <c r="HJL2" s="194"/>
      <c r="HJM2" s="194"/>
      <c r="HJN2" s="194"/>
      <c r="HJO2" s="194"/>
      <c r="HJP2" s="194"/>
      <c r="HJQ2" s="194"/>
      <c r="HJR2" s="161"/>
      <c r="HJS2" s="195"/>
      <c r="HJT2" s="195"/>
      <c r="HJU2" s="161"/>
      <c r="HJV2" s="161"/>
      <c r="HJW2" s="161"/>
      <c r="HJX2" s="161"/>
      <c r="HJY2" s="196"/>
      <c r="HJZ2" s="196"/>
      <c r="HKA2" s="192"/>
      <c r="HKB2" s="181"/>
      <c r="HKC2" s="180"/>
      <c r="HKD2" s="197"/>
      <c r="HKE2" s="179"/>
      <c r="HKF2" s="196"/>
      <c r="HKG2" s="179"/>
      <c r="HKH2" s="196"/>
      <c r="HKI2" s="196"/>
      <c r="HKJ2" s="161"/>
      <c r="HKK2" s="193"/>
      <c r="HKL2" s="193"/>
      <c r="HKM2" s="194"/>
      <c r="HKN2" s="194"/>
      <c r="HKO2" s="194"/>
      <c r="HKP2" s="194"/>
      <c r="HKQ2" s="194"/>
      <c r="HKR2" s="161"/>
      <c r="HKS2" s="161"/>
      <c r="HKT2" s="194"/>
      <c r="HKU2" s="161"/>
      <c r="HKV2" s="193"/>
      <c r="HKW2" s="194"/>
      <c r="HKX2" s="161"/>
      <c r="HKY2" s="161"/>
      <c r="HKZ2" s="161"/>
      <c r="HLA2" s="194"/>
      <c r="HLB2" s="194"/>
      <c r="HLC2" s="194"/>
      <c r="HLD2" s="161"/>
      <c r="HLE2" s="194"/>
      <c r="HLF2" s="194"/>
      <c r="HLG2" s="161"/>
      <c r="HLH2" s="194"/>
      <c r="HLI2" s="194"/>
      <c r="HLJ2" s="194"/>
      <c r="HLK2" s="194"/>
      <c r="HLL2" s="194"/>
      <c r="HLM2" s="194"/>
      <c r="HLN2" s="161"/>
      <c r="HLO2" s="195"/>
      <c r="HLP2" s="195"/>
      <c r="HLQ2" s="161"/>
      <c r="HLR2" s="161"/>
      <c r="HLS2" s="161"/>
      <c r="HLT2" s="161"/>
      <c r="HLU2" s="196"/>
      <c r="HLV2" s="196"/>
      <c r="HLW2" s="192"/>
      <c r="HLX2" s="181"/>
      <c r="HLY2" s="180"/>
      <c r="HLZ2" s="197"/>
      <c r="HMA2" s="179"/>
      <c r="HMB2" s="196"/>
      <c r="HMC2" s="179"/>
      <c r="HMD2" s="196"/>
      <c r="HME2" s="196"/>
      <c r="HMF2" s="161"/>
      <c r="HMG2" s="193"/>
      <c r="HMH2" s="193"/>
      <c r="HMI2" s="194"/>
      <c r="HMJ2" s="194"/>
      <c r="HMK2" s="194"/>
      <c r="HML2" s="194"/>
      <c r="HMM2" s="194"/>
      <c r="HMN2" s="161"/>
      <c r="HMO2" s="161"/>
      <c r="HMP2" s="194"/>
      <c r="HMQ2" s="161"/>
      <c r="HMR2" s="193"/>
      <c r="HMS2" s="194"/>
      <c r="HMT2" s="161"/>
      <c r="HMU2" s="161"/>
      <c r="HMV2" s="161"/>
      <c r="HMW2" s="194"/>
      <c r="HMX2" s="194"/>
      <c r="HMY2" s="194"/>
      <c r="HMZ2" s="161"/>
      <c r="HNA2" s="194"/>
      <c r="HNB2" s="194"/>
      <c r="HNC2" s="161"/>
      <c r="HND2" s="194"/>
      <c r="HNE2" s="194"/>
      <c r="HNF2" s="194"/>
      <c r="HNG2" s="194"/>
      <c r="HNH2" s="194"/>
      <c r="HNI2" s="194"/>
      <c r="HNJ2" s="161"/>
      <c r="HNK2" s="195"/>
      <c r="HNL2" s="195"/>
      <c r="HNM2" s="161"/>
      <c r="HNN2" s="161"/>
      <c r="HNO2" s="161"/>
      <c r="HNP2" s="161"/>
      <c r="HNQ2" s="196"/>
      <c r="HNR2" s="196"/>
      <c r="HNS2" s="192"/>
      <c r="HNT2" s="181"/>
      <c r="HNU2" s="180"/>
      <c r="HNV2" s="197"/>
      <c r="HNW2" s="179"/>
      <c r="HNX2" s="196"/>
      <c r="HNY2" s="179"/>
      <c r="HNZ2" s="196"/>
      <c r="HOA2" s="196"/>
      <c r="HOB2" s="161"/>
      <c r="HOC2" s="193"/>
      <c r="HOD2" s="193"/>
      <c r="HOE2" s="194"/>
      <c r="HOF2" s="194"/>
      <c r="HOG2" s="194"/>
      <c r="HOH2" s="194"/>
      <c r="HOI2" s="194"/>
      <c r="HOJ2" s="161"/>
      <c r="HOK2" s="161"/>
      <c r="HOL2" s="194"/>
      <c r="HOM2" s="161"/>
      <c r="HON2" s="193"/>
      <c r="HOO2" s="194"/>
      <c r="HOP2" s="161"/>
      <c r="HOQ2" s="161"/>
      <c r="HOR2" s="161"/>
      <c r="HOS2" s="194"/>
      <c r="HOT2" s="194"/>
      <c r="HOU2" s="194"/>
      <c r="HOV2" s="161"/>
      <c r="HOW2" s="194"/>
      <c r="HOX2" s="194"/>
      <c r="HOY2" s="161"/>
      <c r="HOZ2" s="194"/>
      <c r="HPA2" s="194"/>
      <c r="HPB2" s="194"/>
      <c r="HPC2" s="194"/>
      <c r="HPD2" s="194"/>
      <c r="HPE2" s="194"/>
      <c r="HPF2" s="161"/>
      <c r="HPG2" s="195"/>
      <c r="HPH2" s="195"/>
      <c r="HPI2" s="161"/>
      <c r="HPJ2" s="161"/>
      <c r="HPK2" s="161"/>
      <c r="HPL2" s="161"/>
      <c r="HPM2" s="196"/>
      <c r="HPN2" s="196"/>
      <c r="HPO2" s="192"/>
      <c r="HPP2" s="181"/>
      <c r="HPQ2" s="180"/>
      <c r="HPR2" s="197"/>
      <c r="HPS2" s="179"/>
      <c r="HPT2" s="196"/>
      <c r="HPU2" s="179"/>
      <c r="HPV2" s="196"/>
      <c r="HPW2" s="196"/>
      <c r="HPX2" s="161"/>
      <c r="HPY2" s="193"/>
      <c r="HPZ2" s="193"/>
      <c r="HQA2" s="194"/>
      <c r="HQB2" s="194"/>
      <c r="HQC2" s="194"/>
      <c r="HQD2" s="194"/>
      <c r="HQE2" s="194"/>
      <c r="HQF2" s="161"/>
      <c r="HQG2" s="161"/>
      <c r="HQH2" s="194"/>
      <c r="HQI2" s="161"/>
      <c r="HQJ2" s="193"/>
      <c r="HQK2" s="194"/>
      <c r="HQL2" s="161"/>
      <c r="HQM2" s="161"/>
      <c r="HQN2" s="161"/>
      <c r="HQO2" s="194"/>
      <c r="HQP2" s="194"/>
      <c r="HQQ2" s="194"/>
      <c r="HQR2" s="161"/>
      <c r="HQS2" s="194"/>
      <c r="HQT2" s="194"/>
      <c r="HQU2" s="161"/>
      <c r="HQV2" s="194"/>
      <c r="HQW2" s="194"/>
      <c r="HQX2" s="194"/>
      <c r="HQY2" s="194"/>
      <c r="HQZ2" s="194"/>
      <c r="HRA2" s="194"/>
      <c r="HRB2" s="161"/>
      <c r="HRC2" s="195"/>
      <c r="HRD2" s="195"/>
      <c r="HRE2" s="161"/>
      <c r="HRF2" s="161"/>
      <c r="HRG2" s="161"/>
      <c r="HRH2" s="161"/>
      <c r="HRI2" s="196"/>
      <c r="HRJ2" s="196"/>
      <c r="HRK2" s="192"/>
      <c r="HRL2" s="181"/>
      <c r="HRM2" s="180"/>
      <c r="HRN2" s="197"/>
      <c r="HRO2" s="179"/>
      <c r="HRP2" s="196"/>
      <c r="HRQ2" s="179"/>
      <c r="HRR2" s="196"/>
      <c r="HRS2" s="196"/>
      <c r="HRT2" s="161"/>
      <c r="HRU2" s="193"/>
      <c r="HRV2" s="193"/>
      <c r="HRW2" s="194"/>
      <c r="HRX2" s="194"/>
      <c r="HRY2" s="194"/>
      <c r="HRZ2" s="194"/>
      <c r="HSA2" s="194"/>
      <c r="HSB2" s="161"/>
      <c r="HSC2" s="161"/>
      <c r="HSD2" s="194"/>
      <c r="HSE2" s="161"/>
      <c r="HSF2" s="193"/>
      <c r="HSG2" s="194"/>
      <c r="HSH2" s="161"/>
      <c r="HSI2" s="161"/>
      <c r="HSJ2" s="161"/>
      <c r="HSK2" s="194"/>
      <c r="HSL2" s="194"/>
      <c r="HSM2" s="194"/>
      <c r="HSN2" s="161"/>
      <c r="HSO2" s="194"/>
      <c r="HSP2" s="194"/>
      <c r="HSQ2" s="161"/>
      <c r="HSR2" s="194"/>
      <c r="HSS2" s="194"/>
      <c r="HST2" s="194"/>
      <c r="HSU2" s="194"/>
      <c r="HSV2" s="194"/>
      <c r="HSW2" s="194"/>
      <c r="HSX2" s="161"/>
      <c r="HSY2" s="195"/>
      <c r="HSZ2" s="195"/>
      <c r="HTA2" s="161"/>
      <c r="HTB2" s="161"/>
      <c r="HTC2" s="161"/>
      <c r="HTD2" s="161"/>
      <c r="HTE2" s="196"/>
      <c r="HTF2" s="196"/>
      <c r="HTG2" s="192"/>
      <c r="HTH2" s="181"/>
      <c r="HTI2" s="180"/>
      <c r="HTJ2" s="197"/>
      <c r="HTK2" s="179"/>
      <c r="HTL2" s="196"/>
      <c r="HTM2" s="179"/>
      <c r="HTN2" s="196"/>
      <c r="HTO2" s="196"/>
      <c r="HTP2" s="161"/>
      <c r="HTQ2" s="193"/>
      <c r="HTR2" s="193"/>
      <c r="HTS2" s="194"/>
      <c r="HTT2" s="194"/>
      <c r="HTU2" s="194"/>
      <c r="HTV2" s="194"/>
      <c r="HTW2" s="194"/>
      <c r="HTX2" s="161"/>
      <c r="HTY2" s="161"/>
      <c r="HTZ2" s="194"/>
      <c r="HUA2" s="161"/>
      <c r="HUB2" s="193"/>
      <c r="HUC2" s="194"/>
      <c r="HUD2" s="161"/>
      <c r="HUE2" s="161"/>
      <c r="HUF2" s="161"/>
      <c r="HUG2" s="194"/>
      <c r="HUH2" s="194"/>
      <c r="HUI2" s="194"/>
      <c r="HUJ2" s="161"/>
      <c r="HUK2" s="194"/>
      <c r="HUL2" s="194"/>
      <c r="HUM2" s="161"/>
      <c r="HUN2" s="194"/>
      <c r="HUO2" s="194"/>
      <c r="HUP2" s="194"/>
      <c r="HUQ2" s="194"/>
      <c r="HUR2" s="194"/>
      <c r="HUS2" s="194"/>
      <c r="HUT2" s="161"/>
      <c r="HUU2" s="195"/>
      <c r="HUV2" s="195"/>
      <c r="HUW2" s="161"/>
      <c r="HUX2" s="161"/>
      <c r="HUY2" s="161"/>
      <c r="HUZ2" s="161"/>
      <c r="HVA2" s="196"/>
      <c r="HVB2" s="196"/>
      <c r="HVC2" s="192"/>
      <c r="HVD2" s="181"/>
      <c r="HVE2" s="180"/>
      <c r="HVF2" s="197"/>
      <c r="HVG2" s="179"/>
      <c r="HVH2" s="196"/>
      <c r="HVI2" s="179"/>
      <c r="HVJ2" s="196"/>
      <c r="HVK2" s="196"/>
      <c r="HVL2" s="161"/>
      <c r="HVM2" s="193"/>
      <c r="HVN2" s="193"/>
      <c r="HVO2" s="194"/>
      <c r="HVP2" s="194"/>
      <c r="HVQ2" s="194"/>
      <c r="HVR2" s="194"/>
      <c r="HVS2" s="194"/>
      <c r="HVT2" s="161"/>
      <c r="HVU2" s="161"/>
      <c r="HVV2" s="194"/>
      <c r="HVW2" s="161"/>
      <c r="HVX2" s="193"/>
      <c r="HVY2" s="194"/>
      <c r="HVZ2" s="161"/>
      <c r="HWA2" s="161"/>
      <c r="HWB2" s="161"/>
      <c r="HWC2" s="194"/>
      <c r="HWD2" s="194"/>
      <c r="HWE2" s="194"/>
      <c r="HWF2" s="161"/>
      <c r="HWG2" s="194"/>
      <c r="HWH2" s="194"/>
      <c r="HWI2" s="161"/>
      <c r="HWJ2" s="194"/>
      <c r="HWK2" s="194"/>
      <c r="HWL2" s="194"/>
      <c r="HWM2" s="194"/>
      <c r="HWN2" s="194"/>
      <c r="HWO2" s="194"/>
      <c r="HWP2" s="161"/>
      <c r="HWQ2" s="195"/>
      <c r="HWR2" s="195"/>
      <c r="HWS2" s="161"/>
      <c r="HWT2" s="161"/>
      <c r="HWU2" s="161"/>
      <c r="HWV2" s="161"/>
      <c r="HWW2" s="196"/>
      <c r="HWX2" s="196"/>
      <c r="HWY2" s="192"/>
      <c r="HWZ2" s="181"/>
      <c r="HXA2" s="180"/>
      <c r="HXB2" s="197"/>
      <c r="HXC2" s="179"/>
      <c r="HXD2" s="196"/>
      <c r="HXE2" s="179"/>
      <c r="HXF2" s="196"/>
      <c r="HXG2" s="196"/>
      <c r="HXH2" s="161"/>
      <c r="HXI2" s="193"/>
      <c r="HXJ2" s="193"/>
      <c r="HXK2" s="194"/>
      <c r="HXL2" s="194"/>
      <c r="HXM2" s="194"/>
      <c r="HXN2" s="194"/>
      <c r="HXO2" s="194"/>
      <c r="HXP2" s="161"/>
      <c r="HXQ2" s="161"/>
      <c r="HXR2" s="194"/>
      <c r="HXS2" s="161"/>
      <c r="HXT2" s="193"/>
      <c r="HXU2" s="194"/>
      <c r="HXV2" s="161"/>
      <c r="HXW2" s="161"/>
      <c r="HXX2" s="161"/>
      <c r="HXY2" s="194"/>
      <c r="HXZ2" s="194"/>
      <c r="HYA2" s="194"/>
      <c r="HYB2" s="161"/>
      <c r="HYC2" s="194"/>
      <c r="HYD2" s="194"/>
      <c r="HYE2" s="161"/>
      <c r="HYF2" s="194"/>
      <c r="HYG2" s="194"/>
      <c r="HYH2" s="194"/>
      <c r="HYI2" s="194"/>
      <c r="HYJ2" s="194"/>
      <c r="HYK2" s="194"/>
      <c r="HYL2" s="161"/>
      <c r="HYM2" s="195"/>
      <c r="HYN2" s="195"/>
      <c r="HYO2" s="161"/>
      <c r="HYP2" s="161"/>
      <c r="HYQ2" s="161"/>
      <c r="HYR2" s="161"/>
      <c r="HYS2" s="196"/>
      <c r="HYT2" s="196"/>
      <c r="HYU2" s="192"/>
      <c r="HYV2" s="181"/>
      <c r="HYW2" s="180"/>
      <c r="HYX2" s="197"/>
      <c r="HYY2" s="179"/>
      <c r="HYZ2" s="196"/>
      <c r="HZA2" s="179"/>
      <c r="HZB2" s="196"/>
      <c r="HZC2" s="196"/>
      <c r="HZD2" s="161"/>
      <c r="HZE2" s="193"/>
      <c r="HZF2" s="193"/>
      <c r="HZG2" s="194"/>
      <c r="HZH2" s="194"/>
      <c r="HZI2" s="194"/>
      <c r="HZJ2" s="194"/>
      <c r="HZK2" s="194"/>
      <c r="HZL2" s="161"/>
      <c r="HZM2" s="161"/>
      <c r="HZN2" s="194"/>
      <c r="HZO2" s="161"/>
      <c r="HZP2" s="193"/>
      <c r="HZQ2" s="194"/>
      <c r="HZR2" s="161"/>
      <c r="HZS2" s="161"/>
      <c r="HZT2" s="161"/>
      <c r="HZU2" s="194"/>
      <c r="HZV2" s="194"/>
      <c r="HZW2" s="194"/>
      <c r="HZX2" s="161"/>
      <c r="HZY2" s="194"/>
      <c r="HZZ2" s="194"/>
      <c r="IAA2" s="161"/>
      <c r="IAB2" s="194"/>
      <c r="IAC2" s="194"/>
      <c r="IAD2" s="194"/>
      <c r="IAE2" s="194"/>
      <c r="IAF2" s="194"/>
      <c r="IAG2" s="194"/>
      <c r="IAH2" s="161"/>
      <c r="IAI2" s="195"/>
      <c r="IAJ2" s="195"/>
      <c r="IAK2" s="161"/>
      <c r="IAL2" s="161"/>
      <c r="IAM2" s="161"/>
      <c r="IAN2" s="161"/>
      <c r="IAO2" s="196"/>
      <c r="IAP2" s="196"/>
      <c r="IAQ2" s="192"/>
      <c r="IAR2" s="181"/>
      <c r="IAS2" s="180"/>
      <c r="IAT2" s="197"/>
      <c r="IAU2" s="179"/>
      <c r="IAV2" s="196"/>
      <c r="IAW2" s="179"/>
      <c r="IAX2" s="196"/>
      <c r="IAY2" s="196"/>
      <c r="IAZ2" s="161"/>
      <c r="IBA2" s="193"/>
      <c r="IBB2" s="193"/>
      <c r="IBC2" s="194"/>
      <c r="IBD2" s="194"/>
      <c r="IBE2" s="194"/>
      <c r="IBF2" s="194"/>
      <c r="IBG2" s="194"/>
      <c r="IBH2" s="161"/>
      <c r="IBI2" s="161"/>
      <c r="IBJ2" s="194"/>
      <c r="IBK2" s="161"/>
      <c r="IBL2" s="193"/>
      <c r="IBM2" s="194"/>
      <c r="IBN2" s="161"/>
      <c r="IBO2" s="161"/>
      <c r="IBP2" s="161"/>
      <c r="IBQ2" s="194"/>
      <c r="IBR2" s="194"/>
      <c r="IBS2" s="194"/>
      <c r="IBT2" s="161"/>
      <c r="IBU2" s="194"/>
      <c r="IBV2" s="194"/>
      <c r="IBW2" s="161"/>
      <c r="IBX2" s="194"/>
      <c r="IBY2" s="194"/>
      <c r="IBZ2" s="194"/>
      <c r="ICA2" s="194"/>
      <c r="ICB2" s="194"/>
      <c r="ICC2" s="194"/>
      <c r="ICD2" s="161"/>
      <c r="ICE2" s="195"/>
      <c r="ICF2" s="195"/>
      <c r="ICG2" s="161"/>
      <c r="ICH2" s="161"/>
      <c r="ICI2" s="161"/>
      <c r="ICJ2" s="161"/>
      <c r="ICK2" s="196"/>
      <c r="ICL2" s="196"/>
      <c r="ICM2" s="192"/>
      <c r="ICN2" s="181"/>
      <c r="ICO2" s="180"/>
      <c r="ICP2" s="197"/>
      <c r="ICQ2" s="179"/>
      <c r="ICR2" s="196"/>
      <c r="ICS2" s="179"/>
      <c r="ICT2" s="196"/>
      <c r="ICU2" s="196"/>
      <c r="ICV2" s="161"/>
      <c r="ICW2" s="193"/>
      <c r="ICX2" s="193"/>
      <c r="ICY2" s="194"/>
      <c r="ICZ2" s="194"/>
      <c r="IDA2" s="194"/>
      <c r="IDB2" s="194"/>
      <c r="IDC2" s="194"/>
      <c r="IDD2" s="161"/>
      <c r="IDE2" s="161"/>
      <c r="IDF2" s="194"/>
      <c r="IDG2" s="161"/>
      <c r="IDH2" s="193"/>
      <c r="IDI2" s="194"/>
      <c r="IDJ2" s="161"/>
      <c r="IDK2" s="161"/>
      <c r="IDL2" s="161"/>
      <c r="IDM2" s="194"/>
      <c r="IDN2" s="194"/>
      <c r="IDO2" s="194"/>
      <c r="IDP2" s="161"/>
      <c r="IDQ2" s="194"/>
      <c r="IDR2" s="194"/>
      <c r="IDS2" s="161"/>
      <c r="IDT2" s="194"/>
      <c r="IDU2" s="194"/>
      <c r="IDV2" s="194"/>
      <c r="IDW2" s="194"/>
      <c r="IDX2" s="194"/>
      <c r="IDY2" s="194"/>
      <c r="IDZ2" s="161"/>
      <c r="IEA2" s="195"/>
      <c r="IEB2" s="195"/>
      <c r="IEC2" s="161"/>
      <c r="IED2" s="161"/>
      <c r="IEE2" s="161"/>
      <c r="IEF2" s="161"/>
      <c r="IEG2" s="196"/>
      <c r="IEH2" s="196"/>
      <c r="IEI2" s="192"/>
      <c r="IEJ2" s="181"/>
      <c r="IEK2" s="180"/>
      <c r="IEL2" s="197"/>
      <c r="IEM2" s="179"/>
      <c r="IEN2" s="196"/>
      <c r="IEO2" s="179"/>
      <c r="IEP2" s="196"/>
      <c r="IEQ2" s="196"/>
      <c r="IER2" s="161"/>
      <c r="IES2" s="193"/>
      <c r="IET2" s="193"/>
      <c r="IEU2" s="194"/>
      <c r="IEV2" s="194"/>
      <c r="IEW2" s="194"/>
      <c r="IEX2" s="194"/>
      <c r="IEY2" s="194"/>
      <c r="IEZ2" s="161"/>
      <c r="IFA2" s="161"/>
      <c r="IFB2" s="194"/>
      <c r="IFC2" s="161"/>
      <c r="IFD2" s="193"/>
      <c r="IFE2" s="194"/>
      <c r="IFF2" s="161"/>
      <c r="IFG2" s="161"/>
      <c r="IFH2" s="161"/>
      <c r="IFI2" s="194"/>
      <c r="IFJ2" s="194"/>
      <c r="IFK2" s="194"/>
      <c r="IFL2" s="161"/>
      <c r="IFM2" s="194"/>
      <c r="IFN2" s="194"/>
      <c r="IFO2" s="161"/>
      <c r="IFP2" s="194"/>
      <c r="IFQ2" s="194"/>
      <c r="IFR2" s="194"/>
      <c r="IFS2" s="194"/>
      <c r="IFT2" s="194"/>
      <c r="IFU2" s="194"/>
      <c r="IFV2" s="161"/>
      <c r="IFW2" s="195"/>
      <c r="IFX2" s="195"/>
      <c r="IFY2" s="161"/>
      <c r="IFZ2" s="161"/>
      <c r="IGA2" s="161"/>
      <c r="IGB2" s="161"/>
      <c r="IGC2" s="196"/>
      <c r="IGD2" s="196"/>
      <c r="IGE2" s="192"/>
      <c r="IGF2" s="181"/>
      <c r="IGG2" s="180"/>
      <c r="IGH2" s="197"/>
      <c r="IGI2" s="179"/>
      <c r="IGJ2" s="196"/>
      <c r="IGK2" s="179"/>
      <c r="IGL2" s="196"/>
      <c r="IGM2" s="196"/>
      <c r="IGN2" s="161"/>
      <c r="IGO2" s="193"/>
      <c r="IGP2" s="193"/>
      <c r="IGQ2" s="194"/>
      <c r="IGR2" s="194"/>
      <c r="IGS2" s="194"/>
      <c r="IGT2" s="194"/>
      <c r="IGU2" s="194"/>
      <c r="IGV2" s="161"/>
      <c r="IGW2" s="161"/>
      <c r="IGX2" s="194"/>
      <c r="IGY2" s="161"/>
      <c r="IGZ2" s="193"/>
      <c r="IHA2" s="194"/>
      <c r="IHB2" s="161"/>
      <c r="IHC2" s="161"/>
      <c r="IHD2" s="161"/>
      <c r="IHE2" s="194"/>
      <c r="IHF2" s="194"/>
      <c r="IHG2" s="194"/>
      <c r="IHH2" s="161"/>
      <c r="IHI2" s="194"/>
      <c r="IHJ2" s="194"/>
      <c r="IHK2" s="161"/>
      <c r="IHL2" s="194"/>
      <c r="IHM2" s="194"/>
      <c r="IHN2" s="194"/>
      <c r="IHO2" s="194"/>
      <c r="IHP2" s="194"/>
      <c r="IHQ2" s="194"/>
      <c r="IHR2" s="161"/>
      <c r="IHS2" s="195"/>
      <c r="IHT2" s="195"/>
      <c r="IHU2" s="161"/>
      <c r="IHV2" s="161"/>
      <c r="IHW2" s="161"/>
      <c r="IHX2" s="161"/>
      <c r="IHY2" s="196"/>
      <c r="IHZ2" s="196"/>
      <c r="IIA2" s="192"/>
      <c r="IIB2" s="181"/>
      <c r="IIC2" s="180"/>
      <c r="IID2" s="197"/>
      <c r="IIE2" s="179"/>
      <c r="IIF2" s="196"/>
      <c r="IIG2" s="179"/>
      <c r="IIH2" s="196"/>
      <c r="III2" s="196"/>
      <c r="IIJ2" s="161"/>
      <c r="IIK2" s="193"/>
      <c r="IIL2" s="193"/>
      <c r="IIM2" s="194"/>
      <c r="IIN2" s="194"/>
      <c r="IIO2" s="194"/>
      <c r="IIP2" s="194"/>
      <c r="IIQ2" s="194"/>
      <c r="IIR2" s="161"/>
      <c r="IIS2" s="161"/>
      <c r="IIT2" s="194"/>
      <c r="IIU2" s="161"/>
      <c r="IIV2" s="193"/>
      <c r="IIW2" s="194"/>
      <c r="IIX2" s="161"/>
      <c r="IIY2" s="161"/>
      <c r="IIZ2" s="161"/>
      <c r="IJA2" s="194"/>
      <c r="IJB2" s="194"/>
      <c r="IJC2" s="194"/>
      <c r="IJD2" s="161"/>
      <c r="IJE2" s="194"/>
      <c r="IJF2" s="194"/>
      <c r="IJG2" s="161"/>
      <c r="IJH2" s="194"/>
      <c r="IJI2" s="194"/>
      <c r="IJJ2" s="194"/>
      <c r="IJK2" s="194"/>
      <c r="IJL2" s="194"/>
      <c r="IJM2" s="194"/>
      <c r="IJN2" s="161"/>
      <c r="IJO2" s="195"/>
      <c r="IJP2" s="195"/>
      <c r="IJQ2" s="161"/>
      <c r="IJR2" s="161"/>
      <c r="IJS2" s="161"/>
      <c r="IJT2" s="161"/>
      <c r="IJU2" s="196"/>
      <c r="IJV2" s="196"/>
      <c r="IJW2" s="192"/>
      <c r="IJX2" s="181"/>
      <c r="IJY2" s="180"/>
      <c r="IJZ2" s="197"/>
      <c r="IKA2" s="179"/>
      <c r="IKB2" s="196"/>
      <c r="IKC2" s="179"/>
      <c r="IKD2" s="196"/>
      <c r="IKE2" s="196"/>
      <c r="IKF2" s="161"/>
      <c r="IKG2" s="193"/>
      <c r="IKH2" s="193"/>
      <c r="IKI2" s="194"/>
      <c r="IKJ2" s="194"/>
      <c r="IKK2" s="194"/>
      <c r="IKL2" s="194"/>
      <c r="IKM2" s="194"/>
      <c r="IKN2" s="161"/>
      <c r="IKO2" s="161"/>
      <c r="IKP2" s="194"/>
      <c r="IKQ2" s="161"/>
      <c r="IKR2" s="193"/>
      <c r="IKS2" s="194"/>
      <c r="IKT2" s="161"/>
      <c r="IKU2" s="161"/>
      <c r="IKV2" s="161"/>
      <c r="IKW2" s="194"/>
      <c r="IKX2" s="194"/>
      <c r="IKY2" s="194"/>
      <c r="IKZ2" s="161"/>
      <c r="ILA2" s="194"/>
      <c r="ILB2" s="194"/>
      <c r="ILC2" s="161"/>
      <c r="ILD2" s="194"/>
      <c r="ILE2" s="194"/>
      <c r="ILF2" s="194"/>
      <c r="ILG2" s="194"/>
      <c r="ILH2" s="194"/>
      <c r="ILI2" s="194"/>
      <c r="ILJ2" s="161"/>
      <c r="ILK2" s="195"/>
      <c r="ILL2" s="195"/>
      <c r="ILM2" s="161"/>
      <c r="ILN2" s="161"/>
      <c r="ILO2" s="161"/>
      <c r="ILP2" s="161"/>
      <c r="ILQ2" s="196"/>
      <c r="ILR2" s="196"/>
      <c r="ILS2" s="192"/>
      <c r="ILT2" s="181"/>
      <c r="ILU2" s="180"/>
      <c r="ILV2" s="197"/>
      <c r="ILW2" s="179"/>
      <c r="ILX2" s="196"/>
      <c r="ILY2" s="179"/>
      <c r="ILZ2" s="196"/>
      <c r="IMA2" s="196"/>
      <c r="IMB2" s="161"/>
      <c r="IMC2" s="193"/>
      <c r="IMD2" s="193"/>
      <c r="IME2" s="194"/>
      <c r="IMF2" s="194"/>
      <c r="IMG2" s="194"/>
      <c r="IMH2" s="194"/>
      <c r="IMI2" s="194"/>
      <c r="IMJ2" s="161"/>
      <c r="IMK2" s="161"/>
      <c r="IML2" s="194"/>
      <c r="IMM2" s="161"/>
      <c r="IMN2" s="193"/>
      <c r="IMO2" s="194"/>
      <c r="IMP2" s="161"/>
      <c r="IMQ2" s="161"/>
      <c r="IMR2" s="161"/>
      <c r="IMS2" s="194"/>
      <c r="IMT2" s="194"/>
      <c r="IMU2" s="194"/>
      <c r="IMV2" s="161"/>
      <c r="IMW2" s="194"/>
      <c r="IMX2" s="194"/>
      <c r="IMY2" s="161"/>
      <c r="IMZ2" s="194"/>
      <c r="INA2" s="194"/>
      <c r="INB2" s="194"/>
      <c r="INC2" s="194"/>
      <c r="IND2" s="194"/>
      <c r="INE2" s="194"/>
      <c r="INF2" s="161"/>
      <c r="ING2" s="195"/>
      <c r="INH2" s="195"/>
      <c r="INI2" s="161"/>
      <c r="INJ2" s="161"/>
      <c r="INK2" s="161"/>
      <c r="INL2" s="161"/>
      <c r="INM2" s="196"/>
      <c r="INN2" s="196"/>
      <c r="INO2" s="192"/>
      <c r="INP2" s="181"/>
      <c r="INQ2" s="180"/>
      <c r="INR2" s="197"/>
      <c r="INS2" s="179"/>
      <c r="INT2" s="196"/>
      <c r="INU2" s="179"/>
      <c r="INV2" s="196"/>
      <c r="INW2" s="196"/>
      <c r="INX2" s="161"/>
      <c r="INY2" s="193"/>
      <c r="INZ2" s="193"/>
      <c r="IOA2" s="194"/>
      <c r="IOB2" s="194"/>
      <c r="IOC2" s="194"/>
      <c r="IOD2" s="194"/>
      <c r="IOE2" s="194"/>
      <c r="IOF2" s="161"/>
      <c r="IOG2" s="161"/>
      <c r="IOH2" s="194"/>
      <c r="IOI2" s="161"/>
      <c r="IOJ2" s="193"/>
      <c r="IOK2" s="194"/>
      <c r="IOL2" s="161"/>
      <c r="IOM2" s="161"/>
      <c r="ION2" s="161"/>
      <c r="IOO2" s="194"/>
      <c r="IOP2" s="194"/>
      <c r="IOQ2" s="194"/>
      <c r="IOR2" s="161"/>
      <c r="IOS2" s="194"/>
      <c r="IOT2" s="194"/>
      <c r="IOU2" s="161"/>
      <c r="IOV2" s="194"/>
      <c r="IOW2" s="194"/>
      <c r="IOX2" s="194"/>
      <c r="IOY2" s="194"/>
      <c r="IOZ2" s="194"/>
      <c r="IPA2" s="194"/>
      <c r="IPB2" s="161"/>
      <c r="IPC2" s="195"/>
      <c r="IPD2" s="195"/>
      <c r="IPE2" s="161"/>
      <c r="IPF2" s="161"/>
      <c r="IPG2" s="161"/>
      <c r="IPH2" s="161"/>
      <c r="IPI2" s="196"/>
      <c r="IPJ2" s="196"/>
      <c r="IPK2" s="192"/>
      <c r="IPL2" s="181"/>
      <c r="IPM2" s="180"/>
      <c r="IPN2" s="197"/>
      <c r="IPO2" s="179"/>
      <c r="IPP2" s="196"/>
      <c r="IPQ2" s="179"/>
      <c r="IPR2" s="196"/>
      <c r="IPS2" s="196"/>
      <c r="IPT2" s="161"/>
      <c r="IPU2" s="193"/>
      <c r="IPV2" s="193"/>
      <c r="IPW2" s="194"/>
      <c r="IPX2" s="194"/>
      <c r="IPY2" s="194"/>
      <c r="IPZ2" s="194"/>
      <c r="IQA2" s="194"/>
      <c r="IQB2" s="161"/>
      <c r="IQC2" s="161"/>
      <c r="IQD2" s="194"/>
      <c r="IQE2" s="161"/>
      <c r="IQF2" s="193"/>
      <c r="IQG2" s="194"/>
      <c r="IQH2" s="161"/>
      <c r="IQI2" s="161"/>
      <c r="IQJ2" s="161"/>
      <c r="IQK2" s="194"/>
      <c r="IQL2" s="194"/>
      <c r="IQM2" s="194"/>
      <c r="IQN2" s="161"/>
      <c r="IQO2" s="194"/>
      <c r="IQP2" s="194"/>
      <c r="IQQ2" s="161"/>
      <c r="IQR2" s="194"/>
      <c r="IQS2" s="194"/>
      <c r="IQT2" s="194"/>
      <c r="IQU2" s="194"/>
      <c r="IQV2" s="194"/>
      <c r="IQW2" s="194"/>
      <c r="IQX2" s="161"/>
      <c r="IQY2" s="195"/>
      <c r="IQZ2" s="195"/>
      <c r="IRA2" s="161"/>
      <c r="IRB2" s="161"/>
      <c r="IRC2" s="161"/>
      <c r="IRD2" s="161"/>
      <c r="IRE2" s="196"/>
      <c r="IRF2" s="196"/>
      <c r="IRG2" s="192"/>
      <c r="IRH2" s="181"/>
      <c r="IRI2" s="180"/>
      <c r="IRJ2" s="197"/>
      <c r="IRK2" s="179"/>
      <c r="IRL2" s="196"/>
      <c r="IRM2" s="179"/>
      <c r="IRN2" s="196"/>
      <c r="IRO2" s="196"/>
      <c r="IRP2" s="161"/>
      <c r="IRQ2" s="193"/>
      <c r="IRR2" s="193"/>
      <c r="IRS2" s="194"/>
      <c r="IRT2" s="194"/>
      <c r="IRU2" s="194"/>
      <c r="IRV2" s="194"/>
      <c r="IRW2" s="194"/>
      <c r="IRX2" s="161"/>
      <c r="IRY2" s="161"/>
      <c r="IRZ2" s="194"/>
      <c r="ISA2" s="161"/>
      <c r="ISB2" s="193"/>
      <c r="ISC2" s="194"/>
      <c r="ISD2" s="161"/>
      <c r="ISE2" s="161"/>
      <c r="ISF2" s="161"/>
      <c r="ISG2" s="194"/>
      <c r="ISH2" s="194"/>
      <c r="ISI2" s="194"/>
      <c r="ISJ2" s="161"/>
      <c r="ISK2" s="194"/>
      <c r="ISL2" s="194"/>
      <c r="ISM2" s="161"/>
      <c r="ISN2" s="194"/>
      <c r="ISO2" s="194"/>
      <c r="ISP2" s="194"/>
      <c r="ISQ2" s="194"/>
      <c r="ISR2" s="194"/>
      <c r="ISS2" s="194"/>
      <c r="IST2" s="161"/>
      <c r="ISU2" s="195"/>
      <c r="ISV2" s="195"/>
      <c r="ISW2" s="161"/>
      <c r="ISX2" s="161"/>
      <c r="ISY2" s="161"/>
      <c r="ISZ2" s="161"/>
      <c r="ITA2" s="196"/>
      <c r="ITB2" s="196"/>
      <c r="ITC2" s="192"/>
      <c r="ITD2" s="181"/>
      <c r="ITE2" s="180"/>
      <c r="ITF2" s="197"/>
      <c r="ITG2" s="179"/>
      <c r="ITH2" s="196"/>
      <c r="ITI2" s="179"/>
      <c r="ITJ2" s="196"/>
      <c r="ITK2" s="196"/>
      <c r="ITL2" s="161"/>
      <c r="ITM2" s="193"/>
      <c r="ITN2" s="193"/>
      <c r="ITO2" s="194"/>
      <c r="ITP2" s="194"/>
      <c r="ITQ2" s="194"/>
      <c r="ITR2" s="194"/>
      <c r="ITS2" s="194"/>
      <c r="ITT2" s="161"/>
      <c r="ITU2" s="161"/>
      <c r="ITV2" s="194"/>
      <c r="ITW2" s="161"/>
      <c r="ITX2" s="193"/>
      <c r="ITY2" s="194"/>
      <c r="ITZ2" s="161"/>
      <c r="IUA2" s="161"/>
      <c r="IUB2" s="161"/>
      <c r="IUC2" s="194"/>
      <c r="IUD2" s="194"/>
      <c r="IUE2" s="194"/>
      <c r="IUF2" s="161"/>
      <c r="IUG2" s="194"/>
      <c r="IUH2" s="194"/>
      <c r="IUI2" s="161"/>
      <c r="IUJ2" s="194"/>
      <c r="IUK2" s="194"/>
      <c r="IUL2" s="194"/>
      <c r="IUM2" s="194"/>
      <c r="IUN2" s="194"/>
      <c r="IUO2" s="194"/>
      <c r="IUP2" s="161"/>
      <c r="IUQ2" s="195"/>
      <c r="IUR2" s="195"/>
      <c r="IUS2" s="161"/>
      <c r="IUT2" s="161"/>
      <c r="IUU2" s="161"/>
      <c r="IUV2" s="161"/>
      <c r="IUW2" s="196"/>
      <c r="IUX2" s="196"/>
      <c r="IUY2" s="192"/>
      <c r="IUZ2" s="181"/>
      <c r="IVA2" s="180"/>
      <c r="IVB2" s="197"/>
      <c r="IVC2" s="179"/>
      <c r="IVD2" s="196"/>
      <c r="IVE2" s="179"/>
      <c r="IVF2" s="196"/>
      <c r="IVG2" s="196"/>
      <c r="IVH2" s="161"/>
      <c r="IVI2" s="193"/>
      <c r="IVJ2" s="193"/>
      <c r="IVK2" s="194"/>
      <c r="IVL2" s="194"/>
      <c r="IVM2" s="194"/>
      <c r="IVN2" s="194"/>
      <c r="IVO2" s="194"/>
      <c r="IVP2" s="161"/>
      <c r="IVQ2" s="161"/>
      <c r="IVR2" s="194"/>
      <c r="IVS2" s="161"/>
      <c r="IVT2" s="193"/>
      <c r="IVU2" s="194"/>
      <c r="IVV2" s="161"/>
      <c r="IVW2" s="161"/>
      <c r="IVX2" s="161"/>
      <c r="IVY2" s="194"/>
      <c r="IVZ2" s="194"/>
      <c r="IWA2" s="194"/>
      <c r="IWB2" s="161"/>
      <c r="IWC2" s="194"/>
      <c r="IWD2" s="194"/>
      <c r="IWE2" s="161"/>
      <c r="IWF2" s="194"/>
      <c r="IWG2" s="194"/>
      <c r="IWH2" s="194"/>
      <c r="IWI2" s="194"/>
      <c r="IWJ2" s="194"/>
      <c r="IWK2" s="194"/>
      <c r="IWL2" s="161"/>
      <c r="IWM2" s="195"/>
      <c r="IWN2" s="195"/>
      <c r="IWO2" s="161"/>
      <c r="IWP2" s="161"/>
      <c r="IWQ2" s="161"/>
      <c r="IWR2" s="161"/>
      <c r="IWS2" s="196"/>
      <c r="IWT2" s="196"/>
      <c r="IWU2" s="192"/>
      <c r="IWV2" s="181"/>
      <c r="IWW2" s="180"/>
      <c r="IWX2" s="197"/>
      <c r="IWY2" s="179"/>
      <c r="IWZ2" s="196"/>
      <c r="IXA2" s="179"/>
      <c r="IXB2" s="196"/>
      <c r="IXC2" s="196"/>
      <c r="IXD2" s="161"/>
      <c r="IXE2" s="193"/>
      <c r="IXF2" s="193"/>
      <c r="IXG2" s="194"/>
      <c r="IXH2" s="194"/>
      <c r="IXI2" s="194"/>
      <c r="IXJ2" s="194"/>
      <c r="IXK2" s="194"/>
      <c r="IXL2" s="161"/>
      <c r="IXM2" s="161"/>
      <c r="IXN2" s="194"/>
      <c r="IXO2" s="161"/>
      <c r="IXP2" s="193"/>
      <c r="IXQ2" s="194"/>
      <c r="IXR2" s="161"/>
      <c r="IXS2" s="161"/>
      <c r="IXT2" s="161"/>
      <c r="IXU2" s="194"/>
      <c r="IXV2" s="194"/>
      <c r="IXW2" s="194"/>
      <c r="IXX2" s="161"/>
      <c r="IXY2" s="194"/>
      <c r="IXZ2" s="194"/>
      <c r="IYA2" s="161"/>
      <c r="IYB2" s="194"/>
      <c r="IYC2" s="194"/>
      <c r="IYD2" s="194"/>
      <c r="IYE2" s="194"/>
      <c r="IYF2" s="194"/>
      <c r="IYG2" s="194"/>
      <c r="IYH2" s="161"/>
      <c r="IYI2" s="195"/>
      <c r="IYJ2" s="195"/>
      <c r="IYK2" s="161"/>
      <c r="IYL2" s="161"/>
      <c r="IYM2" s="161"/>
      <c r="IYN2" s="161"/>
      <c r="IYO2" s="196"/>
      <c r="IYP2" s="196"/>
      <c r="IYQ2" s="192"/>
      <c r="IYR2" s="181"/>
      <c r="IYS2" s="180"/>
      <c r="IYT2" s="197"/>
      <c r="IYU2" s="179"/>
      <c r="IYV2" s="196"/>
      <c r="IYW2" s="179"/>
      <c r="IYX2" s="196"/>
      <c r="IYY2" s="196"/>
      <c r="IYZ2" s="161"/>
      <c r="IZA2" s="193"/>
      <c r="IZB2" s="193"/>
      <c r="IZC2" s="194"/>
      <c r="IZD2" s="194"/>
      <c r="IZE2" s="194"/>
      <c r="IZF2" s="194"/>
      <c r="IZG2" s="194"/>
      <c r="IZH2" s="161"/>
      <c r="IZI2" s="161"/>
      <c r="IZJ2" s="194"/>
      <c r="IZK2" s="161"/>
      <c r="IZL2" s="193"/>
      <c r="IZM2" s="194"/>
      <c r="IZN2" s="161"/>
      <c r="IZO2" s="161"/>
      <c r="IZP2" s="161"/>
      <c r="IZQ2" s="194"/>
      <c r="IZR2" s="194"/>
      <c r="IZS2" s="194"/>
      <c r="IZT2" s="161"/>
      <c r="IZU2" s="194"/>
      <c r="IZV2" s="194"/>
      <c r="IZW2" s="161"/>
      <c r="IZX2" s="194"/>
      <c r="IZY2" s="194"/>
      <c r="IZZ2" s="194"/>
      <c r="JAA2" s="194"/>
      <c r="JAB2" s="194"/>
      <c r="JAC2" s="194"/>
      <c r="JAD2" s="161"/>
      <c r="JAE2" s="195"/>
      <c r="JAF2" s="195"/>
      <c r="JAG2" s="161"/>
      <c r="JAH2" s="161"/>
      <c r="JAI2" s="161"/>
      <c r="JAJ2" s="161"/>
      <c r="JAK2" s="196"/>
      <c r="JAL2" s="196"/>
      <c r="JAM2" s="192"/>
      <c r="JAN2" s="181"/>
      <c r="JAO2" s="180"/>
      <c r="JAP2" s="197"/>
      <c r="JAQ2" s="179"/>
      <c r="JAR2" s="196"/>
      <c r="JAS2" s="179"/>
      <c r="JAT2" s="196"/>
      <c r="JAU2" s="196"/>
      <c r="JAV2" s="161"/>
      <c r="JAW2" s="193"/>
      <c r="JAX2" s="193"/>
      <c r="JAY2" s="194"/>
      <c r="JAZ2" s="194"/>
      <c r="JBA2" s="194"/>
      <c r="JBB2" s="194"/>
      <c r="JBC2" s="194"/>
      <c r="JBD2" s="161"/>
      <c r="JBE2" s="161"/>
      <c r="JBF2" s="194"/>
      <c r="JBG2" s="161"/>
      <c r="JBH2" s="193"/>
      <c r="JBI2" s="194"/>
      <c r="JBJ2" s="161"/>
      <c r="JBK2" s="161"/>
      <c r="JBL2" s="161"/>
      <c r="JBM2" s="194"/>
      <c r="JBN2" s="194"/>
      <c r="JBO2" s="194"/>
      <c r="JBP2" s="161"/>
      <c r="JBQ2" s="194"/>
      <c r="JBR2" s="194"/>
      <c r="JBS2" s="161"/>
      <c r="JBT2" s="194"/>
      <c r="JBU2" s="194"/>
      <c r="JBV2" s="194"/>
      <c r="JBW2" s="194"/>
      <c r="JBX2" s="194"/>
      <c r="JBY2" s="194"/>
      <c r="JBZ2" s="161"/>
      <c r="JCA2" s="195"/>
      <c r="JCB2" s="195"/>
      <c r="JCC2" s="161"/>
      <c r="JCD2" s="161"/>
      <c r="JCE2" s="161"/>
      <c r="JCF2" s="161"/>
      <c r="JCG2" s="196"/>
      <c r="JCH2" s="196"/>
      <c r="JCI2" s="192"/>
      <c r="JCJ2" s="181"/>
      <c r="JCK2" s="180"/>
      <c r="JCL2" s="197"/>
      <c r="JCM2" s="179"/>
      <c r="JCN2" s="196"/>
      <c r="JCO2" s="179"/>
      <c r="JCP2" s="196"/>
      <c r="JCQ2" s="196"/>
      <c r="JCR2" s="161"/>
      <c r="JCS2" s="193"/>
      <c r="JCT2" s="193"/>
      <c r="JCU2" s="194"/>
      <c r="JCV2" s="194"/>
      <c r="JCW2" s="194"/>
      <c r="JCX2" s="194"/>
      <c r="JCY2" s="194"/>
      <c r="JCZ2" s="161"/>
      <c r="JDA2" s="161"/>
      <c r="JDB2" s="194"/>
      <c r="JDC2" s="161"/>
      <c r="JDD2" s="193"/>
      <c r="JDE2" s="194"/>
      <c r="JDF2" s="161"/>
      <c r="JDG2" s="161"/>
      <c r="JDH2" s="161"/>
      <c r="JDI2" s="194"/>
      <c r="JDJ2" s="194"/>
      <c r="JDK2" s="194"/>
      <c r="JDL2" s="161"/>
      <c r="JDM2" s="194"/>
      <c r="JDN2" s="194"/>
      <c r="JDO2" s="161"/>
      <c r="JDP2" s="194"/>
      <c r="JDQ2" s="194"/>
      <c r="JDR2" s="194"/>
      <c r="JDS2" s="194"/>
      <c r="JDT2" s="194"/>
      <c r="JDU2" s="194"/>
      <c r="JDV2" s="161"/>
      <c r="JDW2" s="195"/>
      <c r="JDX2" s="195"/>
      <c r="JDY2" s="161"/>
      <c r="JDZ2" s="161"/>
      <c r="JEA2" s="161"/>
      <c r="JEB2" s="161"/>
      <c r="JEC2" s="196"/>
      <c r="JED2" s="196"/>
      <c r="JEE2" s="192"/>
      <c r="JEF2" s="181"/>
      <c r="JEG2" s="180"/>
      <c r="JEH2" s="197"/>
      <c r="JEI2" s="179"/>
      <c r="JEJ2" s="196"/>
      <c r="JEK2" s="179"/>
      <c r="JEL2" s="196"/>
      <c r="JEM2" s="196"/>
      <c r="JEN2" s="161"/>
      <c r="JEO2" s="193"/>
      <c r="JEP2" s="193"/>
      <c r="JEQ2" s="194"/>
      <c r="JER2" s="194"/>
      <c r="JES2" s="194"/>
      <c r="JET2" s="194"/>
      <c r="JEU2" s="194"/>
      <c r="JEV2" s="161"/>
      <c r="JEW2" s="161"/>
      <c r="JEX2" s="194"/>
      <c r="JEY2" s="161"/>
      <c r="JEZ2" s="193"/>
      <c r="JFA2" s="194"/>
      <c r="JFB2" s="161"/>
      <c r="JFC2" s="161"/>
      <c r="JFD2" s="161"/>
      <c r="JFE2" s="194"/>
      <c r="JFF2" s="194"/>
      <c r="JFG2" s="194"/>
      <c r="JFH2" s="161"/>
      <c r="JFI2" s="194"/>
      <c r="JFJ2" s="194"/>
      <c r="JFK2" s="161"/>
      <c r="JFL2" s="194"/>
      <c r="JFM2" s="194"/>
      <c r="JFN2" s="194"/>
      <c r="JFO2" s="194"/>
      <c r="JFP2" s="194"/>
      <c r="JFQ2" s="194"/>
      <c r="JFR2" s="161"/>
      <c r="JFS2" s="195"/>
      <c r="JFT2" s="195"/>
      <c r="JFU2" s="161"/>
      <c r="JFV2" s="161"/>
      <c r="JFW2" s="161"/>
      <c r="JFX2" s="161"/>
      <c r="JFY2" s="196"/>
      <c r="JFZ2" s="196"/>
      <c r="JGA2" s="192"/>
      <c r="JGB2" s="181"/>
      <c r="JGC2" s="180"/>
      <c r="JGD2" s="197"/>
      <c r="JGE2" s="179"/>
      <c r="JGF2" s="196"/>
      <c r="JGG2" s="179"/>
      <c r="JGH2" s="196"/>
      <c r="JGI2" s="196"/>
      <c r="JGJ2" s="161"/>
      <c r="JGK2" s="193"/>
      <c r="JGL2" s="193"/>
      <c r="JGM2" s="194"/>
      <c r="JGN2" s="194"/>
      <c r="JGO2" s="194"/>
      <c r="JGP2" s="194"/>
      <c r="JGQ2" s="194"/>
      <c r="JGR2" s="161"/>
      <c r="JGS2" s="161"/>
      <c r="JGT2" s="194"/>
      <c r="JGU2" s="161"/>
      <c r="JGV2" s="193"/>
      <c r="JGW2" s="194"/>
      <c r="JGX2" s="161"/>
      <c r="JGY2" s="161"/>
      <c r="JGZ2" s="161"/>
      <c r="JHA2" s="194"/>
      <c r="JHB2" s="194"/>
      <c r="JHC2" s="194"/>
      <c r="JHD2" s="161"/>
      <c r="JHE2" s="194"/>
      <c r="JHF2" s="194"/>
      <c r="JHG2" s="161"/>
      <c r="JHH2" s="194"/>
      <c r="JHI2" s="194"/>
      <c r="JHJ2" s="194"/>
      <c r="JHK2" s="194"/>
      <c r="JHL2" s="194"/>
      <c r="JHM2" s="194"/>
      <c r="JHN2" s="161"/>
      <c r="JHO2" s="195"/>
      <c r="JHP2" s="195"/>
      <c r="JHQ2" s="161"/>
      <c r="JHR2" s="161"/>
      <c r="JHS2" s="161"/>
      <c r="JHT2" s="161"/>
      <c r="JHU2" s="196"/>
      <c r="JHV2" s="196"/>
      <c r="JHW2" s="192"/>
      <c r="JHX2" s="181"/>
      <c r="JHY2" s="180"/>
      <c r="JHZ2" s="197"/>
      <c r="JIA2" s="179"/>
      <c r="JIB2" s="196"/>
      <c r="JIC2" s="179"/>
      <c r="JID2" s="196"/>
      <c r="JIE2" s="196"/>
      <c r="JIF2" s="161"/>
      <c r="JIG2" s="193"/>
      <c r="JIH2" s="193"/>
      <c r="JII2" s="194"/>
      <c r="JIJ2" s="194"/>
      <c r="JIK2" s="194"/>
      <c r="JIL2" s="194"/>
      <c r="JIM2" s="194"/>
      <c r="JIN2" s="161"/>
      <c r="JIO2" s="161"/>
      <c r="JIP2" s="194"/>
      <c r="JIQ2" s="161"/>
      <c r="JIR2" s="193"/>
      <c r="JIS2" s="194"/>
      <c r="JIT2" s="161"/>
      <c r="JIU2" s="161"/>
      <c r="JIV2" s="161"/>
      <c r="JIW2" s="194"/>
      <c r="JIX2" s="194"/>
      <c r="JIY2" s="194"/>
      <c r="JIZ2" s="161"/>
      <c r="JJA2" s="194"/>
      <c r="JJB2" s="194"/>
      <c r="JJC2" s="161"/>
      <c r="JJD2" s="194"/>
      <c r="JJE2" s="194"/>
      <c r="JJF2" s="194"/>
      <c r="JJG2" s="194"/>
      <c r="JJH2" s="194"/>
      <c r="JJI2" s="194"/>
      <c r="JJJ2" s="161"/>
      <c r="JJK2" s="195"/>
      <c r="JJL2" s="195"/>
      <c r="JJM2" s="161"/>
      <c r="JJN2" s="161"/>
      <c r="JJO2" s="161"/>
      <c r="JJP2" s="161"/>
      <c r="JJQ2" s="196"/>
      <c r="JJR2" s="196"/>
      <c r="JJS2" s="192"/>
      <c r="JJT2" s="181"/>
      <c r="JJU2" s="180"/>
      <c r="JJV2" s="197"/>
      <c r="JJW2" s="179"/>
      <c r="JJX2" s="196"/>
      <c r="JJY2" s="179"/>
      <c r="JJZ2" s="196"/>
      <c r="JKA2" s="196"/>
      <c r="JKB2" s="161"/>
      <c r="JKC2" s="193"/>
      <c r="JKD2" s="193"/>
      <c r="JKE2" s="194"/>
      <c r="JKF2" s="194"/>
      <c r="JKG2" s="194"/>
      <c r="JKH2" s="194"/>
      <c r="JKI2" s="194"/>
      <c r="JKJ2" s="161"/>
      <c r="JKK2" s="161"/>
      <c r="JKL2" s="194"/>
      <c r="JKM2" s="161"/>
      <c r="JKN2" s="193"/>
      <c r="JKO2" s="194"/>
      <c r="JKP2" s="161"/>
      <c r="JKQ2" s="161"/>
      <c r="JKR2" s="161"/>
      <c r="JKS2" s="194"/>
      <c r="JKT2" s="194"/>
      <c r="JKU2" s="194"/>
      <c r="JKV2" s="161"/>
      <c r="JKW2" s="194"/>
      <c r="JKX2" s="194"/>
      <c r="JKY2" s="161"/>
      <c r="JKZ2" s="194"/>
      <c r="JLA2" s="194"/>
      <c r="JLB2" s="194"/>
      <c r="JLC2" s="194"/>
      <c r="JLD2" s="194"/>
      <c r="JLE2" s="194"/>
      <c r="JLF2" s="161"/>
      <c r="JLG2" s="195"/>
      <c r="JLH2" s="195"/>
      <c r="JLI2" s="161"/>
      <c r="JLJ2" s="161"/>
      <c r="JLK2" s="161"/>
      <c r="JLL2" s="161"/>
      <c r="JLM2" s="196"/>
      <c r="JLN2" s="196"/>
      <c r="JLO2" s="192"/>
      <c r="JLP2" s="181"/>
      <c r="JLQ2" s="180"/>
      <c r="JLR2" s="197"/>
      <c r="JLS2" s="179"/>
      <c r="JLT2" s="196"/>
      <c r="JLU2" s="179"/>
      <c r="JLV2" s="196"/>
      <c r="JLW2" s="196"/>
      <c r="JLX2" s="161"/>
      <c r="JLY2" s="193"/>
      <c r="JLZ2" s="193"/>
      <c r="JMA2" s="194"/>
      <c r="JMB2" s="194"/>
      <c r="JMC2" s="194"/>
      <c r="JMD2" s="194"/>
      <c r="JME2" s="194"/>
      <c r="JMF2" s="161"/>
      <c r="JMG2" s="161"/>
      <c r="JMH2" s="194"/>
      <c r="JMI2" s="161"/>
      <c r="JMJ2" s="193"/>
      <c r="JMK2" s="194"/>
      <c r="JML2" s="161"/>
      <c r="JMM2" s="161"/>
      <c r="JMN2" s="161"/>
      <c r="JMO2" s="194"/>
      <c r="JMP2" s="194"/>
      <c r="JMQ2" s="194"/>
      <c r="JMR2" s="161"/>
      <c r="JMS2" s="194"/>
      <c r="JMT2" s="194"/>
      <c r="JMU2" s="161"/>
      <c r="JMV2" s="194"/>
      <c r="JMW2" s="194"/>
      <c r="JMX2" s="194"/>
      <c r="JMY2" s="194"/>
      <c r="JMZ2" s="194"/>
      <c r="JNA2" s="194"/>
      <c r="JNB2" s="161"/>
      <c r="JNC2" s="195"/>
      <c r="JND2" s="195"/>
      <c r="JNE2" s="161"/>
      <c r="JNF2" s="161"/>
      <c r="JNG2" s="161"/>
      <c r="JNH2" s="161"/>
      <c r="JNI2" s="196"/>
      <c r="JNJ2" s="196"/>
      <c r="JNK2" s="192"/>
      <c r="JNL2" s="181"/>
      <c r="JNM2" s="180"/>
      <c r="JNN2" s="197"/>
      <c r="JNO2" s="179"/>
      <c r="JNP2" s="196"/>
      <c r="JNQ2" s="179"/>
      <c r="JNR2" s="196"/>
      <c r="JNS2" s="196"/>
      <c r="JNT2" s="161"/>
      <c r="JNU2" s="193"/>
      <c r="JNV2" s="193"/>
      <c r="JNW2" s="194"/>
      <c r="JNX2" s="194"/>
      <c r="JNY2" s="194"/>
      <c r="JNZ2" s="194"/>
      <c r="JOA2" s="194"/>
      <c r="JOB2" s="161"/>
      <c r="JOC2" s="161"/>
      <c r="JOD2" s="194"/>
      <c r="JOE2" s="161"/>
      <c r="JOF2" s="193"/>
      <c r="JOG2" s="194"/>
      <c r="JOH2" s="161"/>
      <c r="JOI2" s="161"/>
      <c r="JOJ2" s="161"/>
      <c r="JOK2" s="194"/>
      <c r="JOL2" s="194"/>
      <c r="JOM2" s="194"/>
      <c r="JON2" s="161"/>
      <c r="JOO2" s="194"/>
      <c r="JOP2" s="194"/>
      <c r="JOQ2" s="161"/>
      <c r="JOR2" s="194"/>
      <c r="JOS2" s="194"/>
      <c r="JOT2" s="194"/>
      <c r="JOU2" s="194"/>
      <c r="JOV2" s="194"/>
      <c r="JOW2" s="194"/>
      <c r="JOX2" s="161"/>
      <c r="JOY2" s="195"/>
      <c r="JOZ2" s="195"/>
      <c r="JPA2" s="161"/>
      <c r="JPB2" s="161"/>
      <c r="JPC2" s="161"/>
      <c r="JPD2" s="161"/>
      <c r="JPE2" s="196"/>
      <c r="JPF2" s="196"/>
      <c r="JPG2" s="192"/>
      <c r="JPH2" s="181"/>
      <c r="JPI2" s="180"/>
      <c r="JPJ2" s="197"/>
      <c r="JPK2" s="179"/>
      <c r="JPL2" s="196"/>
      <c r="JPM2" s="179"/>
      <c r="JPN2" s="196"/>
      <c r="JPO2" s="196"/>
      <c r="JPP2" s="161"/>
      <c r="JPQ2" s="193"/>
      <c r="JPR2" s="193"/>
      <c r="JPS2" s="194"/>
      <c r="JPT2" s="194"/>
      <c r="JPU2" s="194"/>
      <c r="JPV2" s="194"/>
      <c r="JPW2" s="194"/>
      <c r="JPX2" s="161"/>
      <c r="JPY2" s="161"/>
      <c r="JPZ2" s="194"/>
      <c r="JQA2" s="161"/>
      <c r="JQB2" s="193"/>
      <c r="JQC2" s="194"/>
      <c r="JQD2" s="161"/>
      <c r="JQE2" s="161"/>
      <c r="JQF2" s="161"/>
      <c r="JQG2" s="194"/>
      <c r="JQH2" s="194"/>
      <c r="JQI2" s="194"/>
      <c r="JQJ2" s="161"/>
      <c r="JQK2" s="194"/>
      <c r="JQL2" s="194"/>
      <c r="JQM2" s="161"/>
      <c r="JQN2" s="194"/>
      <c r="JQO2" s="194"/>
      <c r="JQP2" s="194"/>
      <c r="JQQ2" s="194"/>
      <c r="JQR2" s="194"/>
      <c r="JQS2" s="194"/>
      <c r="JQT2" s="161"/>
      <c r="JQU2" s="195"/>
      <c r="JQV2" s="195"/>
      <c r="JQW2" s="161"/>
      <c r="JQX2" s="161"/>
      <c r="JQY2" s="161"/>
      <c r="JQZ2" s="161"/>
      <c r="JRA2" s="196"/>
      <c r="JRB2" s="196"/>
      <c r="JRC2" s="192"/>
      <c r="JRD2" s="181"/>
      <c r="JRE2" s="180"/>
      <c r="JRF2" s="197"/>
      <c r="JRG2" s="179"/>
      <c r="JRH2" s="196"/>
      <c r="JRI2" s="179"/>
      <c r="JRJ2" s="196"/>
      <c r="JRK2" s="196"/>
      <c r="JRL2" s="161"/>
      <c r="JRM2" s="193"/>
      <c r="JRN2" s="193"/>
      <c r="JRO2" s="194"/>
      <c r="JRP2" s="194"/>
      <c r="JRQ2" s="194"/>
      <c r="JRR2" s="194"/>
      <c r="JRS2" s="194"/>
      <c r="JRT2" s="161"/>
      <c r="JRU2" s="161"/>
      <c r="JRV2" s="194"/>
      <c r="JRW2" s="161"/>
      <c r="JRX2" s="193"/>
      <c r="JRY2" s="194"/>
      <c r="JRZ2" s="161"/>
      <c r="JSA2" s="161"/>
      <c r="JSB2" s="161"/>
      <c r="JSC2" s="194"/>
      <c r="JSD2" s="194"/>
      <c r="JSE2" s="194"/>
      <c r="JSF2" s="161"/>
      <c r="JSG2" s="194"/>
      <c r="JSH2" s="194"/>
      <c r="JSI2" s="161"/>
      <c r="JSJ2" s="194"/>
      <c r="JSK2" s="194"/>
      <c r="JSL2" s="194"/>
      <c r="JSM2" s="194"/>
      <c r="JSN2" s="194"/>
      <c r="JSO2" s="194"/>
      <c r="JSP2" s="161"/>
      <c r="JSQ2" s="195"/>
      <c r="JSR2" s="195"/>
      <c r="JSS2" s="161"/>
      <c r="JST2" s="161"/>
      <c r="JSU2" s="161"/>
      <c r="JSV2" s="161"/>
      <c r="JSW2" s="196"/>
      <c r="JSX2" s="196"/>
      <c r="JSY2" s="192"/>
      <c r="JSZ2" s="181"/>
      <c r="JTA2" s="180"/>
      <c r="JTB2" s="197"/>
      <c r="JTC2" s="179"/>
      <c r="JTD2" s="196"/>
      <c r="JTE2" s="179"/>
      <c r="JTF2" s="196"/>
      <c r="JTG2" s="196"/>
      <c r="JTH2" s="161"/>
      <c r="JTI2" s="193"/>
      <c r="JTJ2" s="193"/>
      <c r="JTK2" s="194"/>
      <c r="JTL2" s="194"/>
      <c r="JTM2" s="194"/>
      <c r="JTN2" s="194"/>
      <c r="JTO2" s="194"/>
      <c r="JTP2" s="161"/>
      <c r="JTQ2" s="161"/>
      <c r="JTR2" s="194"/>
      <c r="JTS2" s="161"/>
      <c r="JTT2" s="193"/>
      <c r="JTU2" s="194"/>
      <c r="JTV2" s="161"/>
      <c r="JTW2" s="161"/>
      <c r="JTX2" s="161"/>
      <c r="JTY2" s="194"/>
      <c r="JTZ2" s="194"/>
      <c r="JUA2" s="194"/>
      <c r="JUB2" s="161"/>
      <c r="JUC2" s="194"/>
      <c r="JUD2" s="194"/>
      <c r="JUE2" s="161"/>
      <c r="JUF2" s="194"/>
      <c r="JUG2" s="194"/>
      <c r="JUH2" s="194"/>
      <c r="JUI2" s="194"/>
      <c r="JUJ2" s="194"/>
      <c r="JUK2" s="194"/>
      <c r="JUL2" s="161"/>
      <c r="JUM2" s="195"/>
      <c r="JUN2" s="195"/>
      <c r="JUO2" s="161"/>
      <c r="JUP2" s="161"/>
      <c r="JUQ2" s="161"/>
      <c r="JUR2" s="161"/>
      <c r="JUS2" s="196"/>
      <c r="JUT2" s="196"/>
      <c r="JUU2" s="192"/>
      <c r="JUV2" s="181"/>
      <c r="JUW2" s="180"/>
      <c r="JUX2" s="197"/>
      <c r="JUY2" s="179"/>
      <c r="JUZ2" s="196"/>
      <c r="JVA2" s="179"/>
      <c r="JVB2" s="196"/>
      <c r="JVC2" s="196"/>
      <c r="JVD2" s="161"/>
      <c r="JVE2" s="193"/>
      <c r="JVF2" s="193"/>
      <c r="JVG2" s="194"/>
      <c r="JVH2" s="194"/>
      <c r="JVI2" s="194"/>
      <c r="JVJ2" s="194"/>
      <c r="JVK2" s="194"/>
      <c r="JVL2" s="161"/>
      <c r="JVM2" s="161"/>
      <c r="JVN2" s="194"/>
      <c r="JVO2" s="161"/>
      <c r="JVP2" s="193"/>
      <c r="JVQ2" s="194"/>
      <c r="JVR2" s="161"/>
      <c r="JVS2" s="161"/>
      <c r="JVT2" s="161"/>
      <c r="JVU2" s="194"/>
      <c r="JVV2" s="194"/>
      <c r="JVW2" s="194"/>
      <c r="JVX2" s="161"/>
      <c r="JVY2" s="194"/>
      <c r="JVZ2" s="194"/>
      <c r="JWA2" s="161"/>
      <c r="JWB2" s="194"/>
      <c r="JWC2" s="194"/>
      <c r="JWD2" s="194"/>
      <c r="JWE2" s="194"/>
      <c r="JWF2" s="194"/>
      <c r="JWG2" s="194"/>
      <c r="JWH2" s="161"/>
      <c r="JWI2" s="195"/>
      <c r="JWJ2" s="195"/>
      <c r="JWK2" s="161"/>
      <c r="JWL2" s="161"/>
      <c r="JWM2" s="161"/>
      <c r="JWN2" s="161"/>
      <c r="JWO2" s="196"/>
      <c r="JWP2" s="196"/>
      <c r="JWQ2" s="192"/>
      <c r="JWR2" s="181"/>
      <c r="JWS2" s="180"/>
      <c r="JWT2" s="197"/>
      <c r="JWU2" s="179"/>
      <c r="JWV2" s="196"/>
      <c r="JWW2" s="179"/>
      <c r="JWX2" s="196"/>
      <c r="JWY2" s="196"/>
      <c r="JWZ2" s="161"/>
      <c r="JXA2" s="193"/>
      <c r="JXB2" s="193"/>
      <c r="JXC2" s="194"/>
      <c r="JXD2" s="194"/>
      <c r="JXE2" s="194"/>
      <c r="JXF2" s="194"/>
      <c r="JXG2" s="194"/>
      <c r="JXH2" s="161"/>
      <c r="JXI2" s="161"/>
      <c r="JXJ2" s="194"/>
      <c r="JXK2" s="161"/>
      <c r="JXL2" s="193"/>
      <c r="JXM2" s="194"/>
      <c r="JXN2" s="161"/>
      <c r="JXO2" s="161"/>
      <c r="JXP2" s="161"/>
      <c r="JXQ2" s="194"/>
      <c r="JXR2" s="194"/>
      <c r="JXS2" s="194"/>
      <c r="JXT2" s="161"/>
      <c r="JXU2" s="194"/>
      <c r="JXV2" s="194"/>
      <c r="JXW2" s="161"/>
      <c r="JXX2" s="194"/>
      <c r="JXY2" s="194"/>
      <c r="JXZ2" s="194"/>
      <c r="JYA2" s="194"/>
      <c r="JYB2" s="194"/>
      <c r="JYC2" s="194"/>
      <c r="JYD2" s="161"/>
      <c r="JYE2" s="195"/>
      <c r="JYF2" s="195"/>
      <c r="JYG2" s="161"/>
      <c r="JYH2" s="161"/>
      <c r="JYI2" s="161"/>
      <c r="JYJ2" s="161"/>
      <c r="JYK2" s="196"/>
      <c r="JYL2" s="196"/>
      <c r="JYM2" s="192"/>
      <c r="JYN2" s="181"/>
      <c r="JYO2" s="180"/>
      <c r="JYP2" s="197"/>
      <c r="JYQ2" s="179"/>
      <c r="JYR2" s="196"/>
      <c r="JYS2" s="179"/>
      <c r="JYT2" s="196"/>
      <c r="JYU2" s="196"/>
      <c r="JYV2" s="161"/>
      <c r="JYW2" s="193"/>
      <c r="JYX2" s="193"/>
      <c r="JYY2" s="194"/>
      <c r="JYZ2" s="194"/>
      <c r="JZA2" s="194"/>
      <c r="JZB2" s="194"/>
      <c r="JZC2" s="194"/>
      <c r="JZD2" s="161"/>
      <c r="JZE2" s="161"/>
      <c r="JZF2" s="194"/>
      <c r="JZG2" s="161"/>
      <c r="JZH2" s="193"/>
      <c r="JZI2" s="194"/>
      <c r="JZJ2" s="161"/>
      <c r="JZK2" s="161"/>
      <c r="JZL2" s="161"/>
      <c r="JZM2" s="194"/>
      <c r="JZN2" s="194"/>
      <c r="JZO2" s="194"/>
      <c r="JZP2" s="161"/>
      <c r="JZQ2" s="194"/>
      <c r="JZR2" s="194"/>
      <c r="JZS2" s="161"/>
      <c r="JZT2" s="194"/>
      <c r="JZU2" s="194"/>
      <c r="JZV2" s="194"/>
      <c r="JZW2" s="194"/>
      <c r="JZX2" s="194"/>
      <c r="JZY2" s="194"/>
      <c r="JZZ2" s="161"/>
      <c r="KAA2" s="195"/>
      <c r="KAB2" s="195"/>
      <c r="KAC2" s="161"/>
      <c r="KAD2" s="161"/>
      <c r="KAE2" s="161"/>
      <c r="KAF2" s="161"/>
      <c r="KAG2" s="196"/>
      <c r="KAH2" s="196"/>
      <c r="KAI2" s="192"/>
      <c r="KAJ2" s="181"/>
      <c r="KAK2" s="180"/>
      <c r="KAL2" s="197"/>
      <c r="KAM2" s="179"/>
      <c r="KAN2" s="196"/>
      <c r="KAO2" s="179"/>
      <c r="KAP2" s="196"/>
      <c r="KAQ2" s="196"/>
      <c r="KAR2" s="161"/>
      <c r="KAS2" s="193"/>
      <c r="KAT2" s="193"/>
      <c r="KAU2" s="194"/>
      <c r="KAV2" s="194"/>
      <c r="KAW2" s="194"/>
      <c r="KAX2" s="194"/>
      <c r="KAY2" s="194"/>
      <c r="KAZ2" s="161"/>
      <c r="KBA2" s="161"/>
      <c r="KBB2" s="194"/>
      <c r="KBC2" s="161"/>
      <c r="KBD2" s="193"/>
      <c r="KBE2" s="194"/>
      <c r="KBF2" s="161"/>
      <c r="KBG2" s="161"/>
      <c r="KBH2" s="161"/>
      <c r="KBI2" s="194"/>
      <c r="KBJ2" s="194"/>
      <c r="KBK2" s="194"/>
      <c r="KBL2" s="161"/>
      <c r="KBM2" s="194"/>
      <c r="KBN2" s="194"/>
      <c r="KBO2" s="161"/>
      <c r="KBP2" s="194"/>
      <c r="KBQ2" s="194"/>
      <c r="KBR2" s="194"/>
      <c r="KBS2" s="194"/>
      <c r="KBT2" s="194"/>
      <c r="KBU2" s="194"/>
      <c r="KBV2" s="161"/>
      <c r="KBW2" s="195"/>
      <c r="KBX2" s="195"/>
      <c r="KBY2" s="161"/>
      <c r="KBZ2" s="161"/>
      <c r="KCA2" s="161"/>
      <c r="KCB2" s="161"/>
      <c r="KCC2" s="196"/>
      <c r="KCD2" s="196"/>
      <c r="KCE2" s="192"/>
      <c r="KCF2" s="181"/>
      <c r="KCG2" s="180"/>
      <c r="KCH2" s="197"/>
      <c r="KCI2" s="179"/>
      <c r="KCJ2" s="196"/>
      <c r="KCK2" s="179"/>
      <c r="KCL2" s="196"/>
      <c r="KCM2" s="196"/>
      <c r="KCN2" s="161"/>
      <c r="KCO2" s="193"/>
      <c r="KCP2" s="193"/>
      <c r="KCQ2" s="194"/>
      <c r="KCR2" s="194"/>
      <c r="KCS2" s="194"/>
      <c r="KCT2" s="194"/>
      <c r="KCU2" s="194"/>
      <c r="KCV2" s="161"/>
      <c r="KCW2" s="161"/>
      <c r="KCX2" s="194"/>
      <c r="KCY2" s="161"/>
      <c r="KCZ2" s="193"/>
      <c r="KDA2" s="194"/>
      <c r="KDB2" s="161"/>
      <c r="KDC2" s="161"/>
      <c r="KDD2" s="161"/>
      <c r="KDE2" s="194"/>
      <c r="KDF2" s="194"/>
      <c r="KDG2" s="194"/>
      <c r="KDH2" s="161"/>
      <c r="KDI2" s="194"/>
      <c r="KDJ2" s="194"/>
      <c r="KDK2" s="161"/>
      <c r="KDL2" s="194"/>
      <c r="KDM2" s="194"/>
      <c r="KDN2" s="194"/>
      <c r="KDO2" s="194"/>
      <c r="KDP2" s="194"/>
      <c r="KDQ2" s="194"/>
      <c r="KDR2" s="161"/>
      <c r="KDS2" s="195"/>
      <c r="KDT2" s="195"/>
      <c r="KDU2" s="161"/>
      <c r="KDV2" s="161"/>
      <c r="KDW2" s="161"/>
      <c r="KDX2" s="161"/>
      <c r="KDY2" s="196"/>
      <c r="KDZ2" s="196"/>
      <c r="KEA2" s="192"/>
      <c r="KEB2" s="181"/>
      <c r="KEC2" s="180"/>
      <c r="KED2" s="197"/>
      <c r="KEE2" s="179"/>
      <c r="KEF2" s="196"/>
      <c r="KEG2" s="179"/>
      <c r="KEH2" s="196"/>
      <c r="KEI2" s="196"/>
      <c r="KEJ2" s="161"/>
      <c r="KEK2" s="193"/>
      <c r="KEL2" s="193"/>
      <c r="KEM2" s="194"/>
      <c r="KEN2" s="194"/>
      <c r="KEO2" s="194"/>
      <c r="KEP2" s="194"/>
      <c r="KEQ2" s="194"/>
      <c r="KER2" s="161"/>
      <c r="KES2" s="161"/>
      <c r="KET2" s="194"/>
      <c r="KEU2" s="161"/>
      <c r="KEV2" s="193"/>
      <c r="KEW2" s="194"/>
      <c r="KEX2" s="161"/>
      <c r="KEY2" s="161"/>
      <c r="KEZ2" s="161"/>
      <c r="KFA2" s="194"/>
      <c r="KFB2" s="194"/>
      <c r="KFC2" s="194"/>
      <c r="KFD2" s="161"/>
      <c r="KFE2" s="194"/>
      <c r="KFF2" s="194"/>
      <c r="KFG2" s="161"/>
      <c r="KFH2" s="194"/>
      <c r="KFI2" s="194"/>
      <c r="KFJ2" s="194"/>
      <c r="KFK2" s="194"/>
      <c r="KFL2" s="194"/>
      <c r="KFM2" s="194"/>
      <c r="KFN2" s="161"/>
      <c r="KFO2" s="195"/>
      <c r="KFP2" s="195"/>
      <c r="KFQ2" s="161"/>
      <c r="KFR2" s="161"/>
      <c r="KFS2" s="161"/>
      <c r="KFT2" s="161"/>
      <c r="KFU2" s="196"/>
      <c r="KFV2" s="196"/>
      <c r="KFW2" s="192"/>
      <c r="KFX2" s="181"/>
      <c r="KFY2" s="180"/>
      <c r="KFZ2" s="197"/>
      <c r="KGA2" s="179"/>
      <c r="KGB2" s="196"/>
      <c r="KGC2" s="179"/>
      <c r="KGD2" s="196"/>
      <c r="KGE2" s="196"/>
      <c r="KGF2" s="161"/>
      <c r="KGG2" s="193"/>
      <c r="KGH2" s="193"/>
      <c r="KGI2" s="194"/>
      <c r="KGJ2" s="194"/>
      <c r="KGK2" s="194"/>
      <c r="KGL2" s="194"/>
      <c r="KGM2" s="194"/>
      <c r="KGN2" s="161"/>
      <c r="KGO2" s="161"/>
      <c r="KGP2" s="194"/>
      <c r="KGQ2" s="161"/>
      <c r="KGR2" s="193"/>
      <c r="KGS2" s="194"/>
      <c r="KGT2" s="161"/>
      <c r="KGU2" s="161"/>
      <c r="KGV2" s="161"/>
      <c r="KGW2" s="194"/>
      <c r="KGX2" s="194"/>
      <c r="KGY2" s="194"/>
      <c r="KGZ2" s="161"/>
      <c r="KHA2" s="194"/>
      <c r="KHB2" s="194"/>
      <c r="KHC2" s="161"/>
      <c r="KHD2" s="194"/>
      <c r="KHE2" s="194"/>
      <c r="KHF2" s="194"/>
      <c r="KHG2" s="194"/>
      <c r="KHH2" s="194"/>
      <c r="KHI2" s="194"/>
      <c r="KHJ2" s="161"/>
      <c r="KHK2" s="195"/>
      <c r="KHL2" s="195"/>
      <c r="KHM2" s="161"/>
      <c r="KHN2" s="161"/>
      <c r="KHO2" s="161"/>
      <c r="KHP2" s="161"/>
      <c r="KHQ2" s="196"/>
      <c r="KHR2" s="196"/>
      <c r="KHS2" s="192"/>
      <c r="KHT2" s="181"/>
      <c r="KHU2" s="180"/>
      <c r="KHV2" s="197"/>
      <c r="KHW2" s="179"/>
      <c r="KHX2" s="196"/>
      <c r="KHY2" s="179"/>
      <c r="KHZ2" s="196"/>
      <c r="KIA2" s="196"/>
      <c r="KIB2" s="161"/>
      <c r="KIC2" s="193"/>
      <c r="KID2" s="193"/>
      <c r="KIE2" s="194"/>
      <c r="KIF2" s="194"/>
      <c r="KIG2" s="194"/>
      <c r="KIH2" s="194"/>
      <c r="KII2" s="194"/>
      <c r="KIJ2" s="161"/>
      <c r="KIK2" s="161"/>
      <c r="KIL2" s="194"/>
      <c r="KIM2" s="161"/>
      <c r="KIN2" s="193"/>
      <c r="KIO2" s="194"/>
      <c r="KIP2" s="161"/>
      <c r="KIQ2" s="161"/>
      <c r="KIR2" s="161"/>
      <c r="KIS2" s="194"/>
      <c r="KIT2" s="194"/>
      <c r="KIU2" s="194"/>
      <c r="KIV2" s="161"/>
      <c r="KIW2" s="194"/>
      <c r="KIX2" s="194"/>
      <c r="KIY2" s="161"/>
      <c r="KIZ2" s="194"/>
      <c r="KJA2" s="194"/>
      <c r="KJB2" s="194"/>
      <c r="KJC2" s="194"/>
      <c r="KJD2" s="194"/>
      <c r="KJE2" s="194"/>
      <c r="KJF2" s="161"/>
      <c r="KJG2" s="195"/>
      <c r="KJH2" s="195"/>
      <c r="KJI2" s="161"/>
      <c r="KJJ2" s="161"/>
      <c r="KJK2" s="161"/>
      <c r="KJL2" s="161"/>
      <c r="KJM2" s="196"/>
      <c r="KJN2" s="196"/>
      <c r="KJO2" s="192"/>
      <c r="KJP2" s="181"/>
      <c r="KJQ2" s="180"/>
      <c r="KJR2" s="197"/>
      <c r="KJS2" s="179"/>
      <c r="KJT2" s="196"/>
      <c r="KJU2" s="179"/>
      <c r="KJV2" s="196"/>
      <c r="KJW2" s="196"/>
      <c r="KJX2" s="161"/>
      <c r="KJY2" s="193"/>
      <c r="KJZ2" s="193"/>
      <c r="KKA2" s="194"/>
      <c r="KKB2" s="194"/>
      <c r="KKC2" s="194"/>
      <c r="KKD2" s="194"/>
      <c r="KKE2" s="194"/>
      <c r="KKF2" s="161"/>
      <c r="KKG2" s="161"/>
      <c r="KKH2" s="194"/>
      <c r="KKI2" s="161"/>
      <c r="KKJ2" s="193"/>
      <c r="KKK2" s="194"/>
      <c r="KKL2" s="161"/>
      <c r="KKM2" s="161"/>
      <c r="KKN2" s="161"/>
      <c r="KKO2" s="194"/>
      <c r="KKP2" s="194"/>
      <c r="KKQ2" s="194"/>
      <c r="KKR2" s="161"/>
      <c r="KKS2" s="194"/>
      <c r="KKT2" s="194"/>
      <c r="KKU2" s="161"/>
      <c r="KKV2" s="194"/>
      <c r="KKW2" s="194"/>
      <c r="KKX2" s="194"/>
      <c r="KKY2" s="194"/>
      <c r="KKZ2" s="194"/>
      <c r="KLA2" s="194"/>
      <c r="KLB2" s="161"/>
      <c r="KLC2" s="195"/>
      <c r="KLD2" s="195"/>
      <c r="KLE2" s="161"/>
      <c r="KLF2" s="161"/>
      <c r="KLG2" s="161"/>
      <c r="KLH2" s="161"/>
      <c r="KLI2" s="196"/>
      <c r="KLJ2" s="196"/>
      <c r="KLK2" s="192"/>
      <c r="KLL2" s="181"/>
      <c r="KLM2" s="180"/>
      <c r="KLN2" s="197"/>
      <c r="KLO2" s="179"/>
      <c r="KLP2" s="196"/>
      <c r="KLQ2" s="179"/>
      <c r="KLR2" s="196"/>
      <c r="KLS2" s="196"/>
      <c r="KLT2" s="161"/>
      <c r="KLU2" s="193"/>
      <c r="KLV2" s="193"/>
      <c r="KLW2" s="194"/>
      <c r="KLX2" s="194"/>
      <c r="KLY2" s="194"/>
      <c r="KLZ2" s="194"/>
      <c r="KMA2" s="194"/>
      <c r="KMB2" s="161"/>
      <c r="KMC2" s="161"/>
      <c r="KMD2" s="194"/>
      <c r="KME2" s="161"/>
      <c r="KMF2" s="193"/>
      <c r="KMG2" s="194"/>
      <c r="KMH2" s="161"/>
      <c r="KMI2" s="161"/>
      <c r="KMJ2" s="161"/>
      <c r="KMK2" s="194"/>
      <c r="KML2" s="194"/>
      <c r="KMM2" s="194"/>
      <c r="KMN2" s="161"/>
      <c r="KMO2" s="194"/>
      <c r="KMP2" s="194"/>
      <c r="KMQ2" s="161"/>
      <c r="KMR2" s="194"/>
      <c r="KMS2" s="194"/>
      <c r="KMT2" s="194"/>
      <c r="KMU2" s="194"/>
      <c r="KMV2" s="194"/>
      <c r="KMW2" s="194"/>
      <c r="KMX2" s="161"/>
      <c r="KMY2" s="195"/>
      <c r="KMZ2" s="195"/>
      <c r="KNA2" s="161"/>
      <c r="KNB2" s="161"/>
      <c r="KNC2" s="161"/>
      <c r="KND2" s="161"/>
      <c r="KNE2" s="196"/>
      <c r="KNF2" s="196"/>
      <c r="KNG2" s="192"/>
      <c r="KNH2" s="181"/>
      <c r="KNI2" s="180"/>
      <c r="KNJ2" s="197"/>
      <c r="KNK2" s="179"/>
      <c r="KNL2" s="196"/>
      <c r="KNM2" s="179"/>
      <c r="KNN2" s="196"/>
      <c r="KNO2" s="196"/>
      <c r="KNP2" s="161"/>
      <c r="KNQ2" s="193"/>
      <c r="KNR2" s="193"/>
      <c r="KNS2" s="194"/>
      <c r="KNT2" s="194"/>
      <c r="KNU2" s="194"/>
      <c r="KNV2" s="194"/>
      <c r="KNW2" s="194"/>
      <c r="KNX2" s="161"/>
      <c r="KNY2" s="161"/>
      <c r="KNZ2" s="194"/>
      <c r="KOA2" s="161"/>
      <c r="KOB2" s="193"/>
      <c r="KOC2" s="194"/>
      <c r="KOD2" s="161"/>
      <c r="KOE2" s="161"/>
      <c r="KOF2" s="161"/>
      <c r="KOG2" s="194"/>
      <c r="KOH2" s="194"/>
      <c r="KOI2" s="194"/>
      <c r="KOJ2" s="161"/>
      <c r="KOK2" s="194"/>
      <c r="KOL2" s="194"/>
      <c r="KOM2" s="161"/>
      <c r="KON2" s="194"/>
      <c r="KOO2" s="194"/>
      <c r="KOP2" s="194"/>
      <c r="KOQ2" s="194"/>
      <c r="KOR2" s="194"/>
      <c r="KOS2" s="194"/>
      <c r="KOT2" s="161"/>
      <c r="KOU2" s="195"/>
      <c r="KOV2" s="195"/>
      <c r="KOW2" s="161"/>
      <c r="KOX2" s="161"/>
      <c r="KOY2" s="161"/>
      <c r="KOZ2" s="161"/>
      <c r="KPA2" s="196"/>
      <c r="KPB2" s="196"/>
      <c r="KPC2" s="192"/>
      <c r="KPD2" s="181"/>
      <c r="KPE2" s="180"/>
      <c r="KPF2" s="197"/>
      <c r="KPG2" s="179"/>
      <c r="KPH2" s="196"/>
      <c r="KPI2" s="179"/>
      <c r="KPJ2" s="196"/>
      <c r="KPK2" s="196"/>
      <c r="KPL2" s="161"/>
      <c r="KPM2" s="193"/>
      <c r="KPN2" s="193"/>
      <c r="KPO2" s="194"/>
      <c r="KPP2" s="194"/>
      <c r="KPQ2" s="194"/>
      <c r="KPR2" s="194"/>
      <c r="KPS2" s="194"/>
      <c r="KPT2" s="161"/>
      <c r="KPU2" s="161"/>
      <c r="KPV2" s="194"/>
      <c r="KPW2" s="161"/>
      <c r="KPX2" s="193"/>
      <c r="KPY2" s="194"/>
      <c r="KPZ2" s="161"/>
      <c r="KQA2" s="161"/>
      <c r="KQB2" s="161"/>
      <c r="KQC2" s="194"/>
      <c r="KQD2" s="194"/>
      <c r="KQE2" s="194"/>
      <c r="KQF2" s="161"/>
      <c r="KQG2" s="194"/>
      <c r="KQH2" s="194"/>
      <c r="KQI2" s="161"/>
      <c r="KQJ2" s="194"/>
      <c r="KQK2" s="194"/>
      <c r="KQL2" s="194"/>
      <c r="KQM2" s="194"/>
      <c r="KQN2" s="194"/>
      <c r="KQO2" s="194"/>
      <c r="KQP2" s="161"/>
      <c r="KQQ2" s="195"/>
      <c r="KQR2" s="195"/>
      <c r="KQS2" s="161"/>
      <c r="KQT2" s="161"/>
      <c r="KQU2" s="161"/>
      <c r="KQV2" s="161"/>
      <c r="KQW2" s="196"/>
      <c r="KQX2" s="196"/>
      <c r="KQY2" s="192"/>
      <c r="KQZ2" s="181"/>
      <c r="KRA2" s="180"/>
      <c r="KRB2" s="197"/>
      <c r="KRC2" s="179"/>
      <c r="KRD2" s="196"/>
      <c r="KRE2" s="179"/>
      <c r="KRF2" s="196"/>
      <c r="KRG2" s="196"/>
      <c r="KRH2" s="161"/>
      <c r="KRI2" s="193"/>
      <c r="KRJ2" s="193"/>
      <c r="KRK2" s="194"/>
      <c r="KRL2" s="194"/>
      <c r="KRM2" s="194"/>
      <c r="KRN2" s="194"/>
      <c r="KRO2" s="194"/>
      <c r="KRP2" s="161"/>
      <c r="KRQ2" s="161"/>
      <c r="KRR2" s="194"/>
      <c r="KRS2" s="161"/>
      <c r="KRT2" s="193"/>
      <c r="KRU2" s="194"/>
      <c r="KRV2" s="161"/>
      <c r="KRW2" s="161"/>
      <c r="KRX2" s="161"/>
      <c r="KRY2" s="194"/>
      <c r="KRZ2" s="194"/>
      <c r="KSA2" s="194"/>
      <c r="KSB2" s="161"/>
      <c r="KSC2" s="194"/>
      <c r="KSD2" s="194"/>
      <c r="KSE2" s="161"/>
      <c r="KSF2" s="194"/>
      <c r="KSG2" s="194"/>
      <c r="KSH2" s="194"/>
      <c r="KSI2" s="194"/>
      <c r="KSJ2" s="194"/>
      <c r="KSK2" s="194"/>
      <c r="KSL2" s="161"/>
      <c r="KSM2" s="195"/>
      <c r="KSN2" s="195"/>
      <c r="KSO2" s="161"/>
      <c r="KSP2" s="161"/>
      <c r="KSQ2" s="161"/>
      <c r="KSR2" s="161"/>
      <c r="KSS2" s="196"/>
      <c r="KST2" s="196"/>
      <c r="KSU2" s="192"/>
      <c r="KSV2" s="181"/>
      <c r="KSW2" s="180"/>
      <c r="KSX2" s="197"/>
      <c r="KSY2" s="179"/>
      <c r="KSZ2" s="196"/>
      <c r="KTA2" s="179"/>
      <c r="KTB2" s="196"/>
      <c r="KTC2" s="196"/>
      <c r="KTD2" s="161"/>
      <c r="KTE2" s="193"/>
      <c r="KTF2" s="193"/>
      <c r="KTG2" s="194"/>
      <c r="KTH2" s="194"/>
      <c r="KTI2" s="194"/>
      <c r="KTJ2" s="194"/>
      <c r="KTK2" s="194"/>
      <c r="KTL2" s="161"/>
      <c r="KTM2" s="161"/>
      <c r="KTN2" s="194"/>
      <c r="KTO2" s="161"/>
      <c r="KTP2" s="193"/>
      <c r="KTQ2" s="194"/>
      <c r="KTR2" s="161"/>
      <c r="KTS2" s="161"/>
      <c r="KTT2" s="161"/>
      <c r="KTU2" s="194"/>
      <c r="KTV2" s="194"/>
      <c r="KTW2" s="194"/>
      <c r="KTX2" s="161"/>
      <c r="KTY2" s="194"/>
      <c r="KTZ2" s="194"/>
      <c r="KUA2" s="161"/>
      <c r="KUB2" s="194"/>
      <c r="KUC2" s="194"/>
      <c r="KUD2" s="194"/>
      <c r="KUE2" s="194"/>
      <c r="KUF2" s="194"/>
      <c r="KUG2" s="194"/>
      <c r="KUH2" s="161"/>
      <c r="KUI2" s="195"/>
      <c r="KUJ2" s="195"/>
      <c r="KUK2" s="161"/>
      <c r="KUL2" s="161"/>
      <c r="KUM2" s="161"/>
      <c r="KUN2" s="161"/>
      <c r="KUO2" s="196"/>
      <c r="KUP2" s="196"/>
      <c r="KUQ2" s="192"/>
      <c r="KUR2" s="181"/>
      <c r="KUS2" s="180"/>
      <c r="KUT2" s="197"/>
      <c r="KUU2" s="179"/>
      <c r="KUV2" s="196"/>
      <c r="KUW2" s="179"/>
      <c r="KUX2" s="196"/>
      <c r="KUY2" s="196"/>
      <c r="KUZ2" s="161"/>
      <c r="KVA2" s="193"/>
      <c r="KVB2" s="193"/>
      <c r="KVC2" s="194"/>
      <c r="KVD2" s="194"/>
      <c r="KVE2" s="194"/>
      <c r="KVF2" s="194"/>
      <c r="KVG2" s="194"/>
      <c r="KVH2" s="161"/>
      <c r="KVI2" s="161"/>
      <c r="KVJ2" s="194"/>
      <c r="KVK2" s="161"/>
      <c r="KVL2" s="193"/>
      <c r="KVM2" s="194"/>
      <c r="KVN2" s="161"/>
      <c r="KVO2" s="161"/>
      <c r="KVP2" s="161"/>
      <c r="KVQ2" s="194"/>
      <c r="KVR2" s="194"/>
      <c r="KVS2" s="194"/>
      <c r="KVT2" s="161"/>
      <c r="KVU2" s="194"/>
      <c r="KVV2" s="194"/>
      <c r="KVW2" s="161"/>
      <c r="KVX2" s="194"/>
      <c r="KVY2" s="194"/>
      <c r="KVZ2" s="194"/>
      <c r="KWA2" s="194"/>
      <c r="KWB2" s="194"/>
      <c r="KWC2" s="194"/>
      <c r="KWD2" s="161"/>
      <c r="KWE2" s="195"/>
      <c r="KWF2" s="195"/>
      <c r="KWG2" s="161"/>
      <c r="KWH2" s="161"/>
      <c r="KWI2" s="161"/>
      <c r="KWJ2" s="161"/>
      <c r="KWK2" s="196"/>
      <c r="KWL2" s="196"/>
      <c r="KWM2" s="192"/>
      <c r="KWN2" s="181"/>
      <c r="KWO2" s="180"/>
      <c r="KWP2" s="197"/>
      <c r="KWQ2" s="179"/>
      <c r="KWR2" s="196"/>
      <c r="KWS2" s="179"/>
      <c r="KWT2" s="196"/>
      <c r="KWU2" s="196"/>
      <c r="KWV2" s="161"/>
      <c r="KWW2" s="193"/>
      <c r="KWX2" s="193"/>
      <c r="KWY2" s="194"/>
      <c r="KWZ2" s="194"/>
      <c r="KXA2" s="194"/>
      <c r="KXB2" s="194"/>
      <c r="KXC2" s="194"/>
      <c r="KXD2" s="161"/>
      <c r="KXE2" s="161"/>
      <c r="KXF2" s="194"/>
      <c r="KXG2" s="161"/>
      <c r="KXH2" s="193"/>
      <c r="KXI2" s="194"/>
      <c r="KXJ2" s="161"/>
      <c r="KXK2" s="161"/>
      <c r="KXL2" s="161"/>
      <c r="KXM2" s="194"/>
      <c r="KXN2" s="194"/>
      <c r="KXO2" s="194"/>
      <c r="KXP2" s="161"/>
      <c r="KXQ2" s="194"/>
      <c r="KXR2" s="194"/>
      <c r="KXS2" s="161"/>
      <c r="KXT2" s="194"/>
      <c r="KXU2" s="194"/>
      <c r="KXV2" s="194"/>
      <c r="KXW2" s="194"/>
      <c r="KXX2" s="194"/>
      <c r="KXY2" s="194"/>
      <c r="KXZ2" s="161"/>
      <c r="KYA2" s="195"/>
      <c r="KYB2" s="195"/>
      <c r="KYC2" s="161"/>
      <c r="KYD2" s="161"/>
      <c r="KYE2" s="161"/>
      <c r="KYF2" s="161"/>
      <c r="KYG2" s="196"/>
      <c r="KYH2" s="196"/>
      <c r="KYI2" s="192"/>
      <c r="KYJ2" s="181"/>
      <c r="KYK2" s="180"/>
      <c r="KYL2" s="197"/>
      <c r="KYM2" s="179"/>
      <c r="KYN2" s="196"/>
      <c r="KYO2" s="179"/>
      <c r="KYP2" s="196"/>
      <c r="KYQ2" s="196"/>
      <c r="KYR2" s="161"/>
      <c r="KYS2" s="193"/>
      <c r="KYT2" s="193"/>
      <c r="KYU2" s="194"/>
      <c r="KYV2" s="194"/>
      <c r="KYW2" s="194"/>
      <c r="KYX2" s="194"/>
      <c r="KYY2" s="194"/>
      <c r="KYZ2" s="161"/>
      <c r="KZA2" s="161"/>
      <c r="KZB2" s="194"/>
      <c r="KZC2" s="161"/>
      <c r="KZD2" s="193"/>
      <c r="KZE2" s="194"/>
      <c r="KZF2" s="161"/>
      <c r="KZG2" s="161"/>
      <c r="KZH2" s="161"/>
      <c r="KZI2" s="194"/>
      <c r="KZJ2" s="194"/>
      <c r="KZK2" s="194"/>
      <c r="KZL2" s="161"/>
      <c r="KZM2" s="194"/>
      <c r="KZN2" s="194"/>
      <c r="KZO2" s="161"/>
      <c r="KZP2" s="194"/>
      <c r="KZQ2" s="194"/>
      <c r="KZR2" s="194"/>
      <c r="KZS2" s="194"/>
      <c r="KZT2" s="194"/>
      <c r="KZU2" s="194"/>
      <c r="KZV2" s="161"/>
      <c r="KZW2" s="195"/>
      <c r="KZX2" s="195"/>
      <c r="KZY2" s="161"/>
      <c r="KZZ2" s="161"/>
      <c r="LAA2" s="161"/>
      <c r="LAB2" s="161"/>
      <c r="LAC2" s="196"/>
      <c r="LAD2" s="196"/>
      <c r="LAE2" s="192"/>
      <c r="LAF2" s="181"/>
      <c r="LAG2" s="180"/>
      <c r="LAH2" s="197"/>
      <c r="LAI2" s="179"/>
      <c r="LAJ2" s="196"/>
      <c r="LAK2" s="179"/>
      <c r="LAL2" s="196"/>
      <c r="LAM2" s="196"/>
      <c r="LAN2" s="161"/>
      <c r="LAO2" s="193"/>
      <c r="LAP2" s="193"/>
      <c r="LAQ2" s="194"/>
      <c r="LAR2" s="194"/>
      <c r="LAS2" s="194"/>
      <c r="LAT2" s="194"/>
      <c r="LAU2" s="194"/>
      <c r="LAV2" s="161"/>
      <c r="LAW2" s="161"/>
      <c r="LAX2" s="194"/>
      <c r="LAY2" s="161"/>
      <c r="LAZ2" s="193"/>
      <c r="LBA2" s="194"/>
      <c r="LBB2" s="161"/>
      <c r="LBC2" s="161"/>
      <c r="LBD2" s="161"/>
      <c r="LBE2" s="194"/>
      <c r="LBF2" s="194"/>
      <c r="LBG2" s="194"/>
      <c r="LBH2" s="161"/>
      <c r="LBI2" s="194"/>
      <c r="LBJ2" s="194"/>
      <c r="LBK2" s="161"/>
      <c r="LBL2" s="194"/>
      <c r="LBM2" s="194"/>
      <c r="LBN2" s="194"/>
      <c r="LBO2" s="194"/>
      <c r="LBP2" s="194"/>
      <c r="LBQ2" s="194"/>
      <c r="LBR2" s="161"/>
      <c r="LBS2" s="195"/>
      <c r="LBT2" s="195"/>
      <c r="LBU2" s="161"/>
      <c r="LBV2" s="161"/>
      <c r="LBW2" s="161"/>
      <c r="LBX2" s="161"/>
      <c r="LBY2" s="196"/>
      <c r="LBZ2" s="196"/>
      <c r="LCA2" s="192"/>
      <c r="LCB2" s="181"/>
      <c r="LCC2" s="180"/>
      <c r="LCD2" s="197"/>
      <c r="LCE2" s="179"/>
      <c r="LCF2" s="196"/>
      <c r="LCG2" s="179"/>
      <c r="LCH2" s="196"/>
      <c r="LCI2" s="196"/>
      <c r="LCJ2" s="161"/>
      <c r="LCK2" s="193"/>
      <c r="LCL2" s="193"/>
      <c r="LCM2" s="194"/>
      <c r="LCN2" s="194"/>
      <c r="LCO2" s="194"/>
      <c r="LCP2" s="194"/>
      <c r="LCQ2" s="194"/>
      <c r="LCR2" s="161"/>
      <c r="LCS2" s="161"/>
      <c r="LCT2" s="194"/>
      <c r="LCU2" s="161"/>
      <c r="LCV2" s="193"/>
      <c r="LCW2" s="194"/>
      <c r="LCX2" s="161"/>
      <c r="LCY2" s="161"/>
      <c r="LCZ2" s="161"/>
      <c r="LDA2" s="194"/>
      <c r="LDB2" s="194"/>
      <c r="LDC2" s="194"/>
      <c r="LDD2" s="161"/>
      <c r="LDE2" s="194"/>
      <c r="LDF2" s="194"/>
      <c r="LDG2" s="161"/>
      <c r="LDH2" s="194"/>
      <c r="LDI2" s="194"/>
      <c r="LDJ2" s="194"/>
      <c r="LDK2" s="194"/>
      <c r="LDL2" s="194"/>
      <c r="LDM2" s="194"/>
      <c r="LDN2" s="161"/>
      <c r="LDO2" s="195"/>
      <c r="LDP2" s="195"/>
      <c r="LDQ2" s="161"/>
      <c r="LDR2" s="161"/>
      <c r="LDS2" s="161"/>
      <c r="LDT2" s="161"/>
      <c r="LDU2" s="196"/>
      <c r="LDV2" s="196"/>
      <c r="LDW2" s="192"/>
      <c r="LDX2" s="181"/>
      <c r="LDY2" s="180"/>
      <c r="LDZ2" s="197"/>
      <c r="LEA2" s="179"/>
      <c r="LEB2" s="196"/>
      <c r="LEC2" s="179"/>
      <c r="LED2" s="196"/>
      <c r="LEE2" s="196"/>
      <c r="LEF2" s="161"/>
      <c r="LEG2" s="193"/>
      <c r="LEH2" s="193"/>
      <c r="LEI2" s="194"/>
      <c r="LEJ2" s="194"/>
      <c r="LEK2" s="194"/>
      <c r="LEL2" s="194"/>
      <c r="LEM2" s="194"/>
      <c r="LEN2" s="161"/>
      <c r="LEO2" s="161"/>
      <c r="LEP2" s="194"/>
      <c r="LEQ2" s="161"/>
      <c r="LER2" s="193"/>
      <c r="LES2" s="194"/>
      <c r="LET2" s="161"/>
      <c r="LEU2" s="161"/>
      <c r="LEV2" s="161"/>
      <c r="LEW2" s="194"/>
      <c r="LEX2" s="194"/>
      <c r="LEY2" s="194"/>
      <c r="LEZ2" s="161"/>
      <c r="LFA2" s="194"/>
      <c r="LFB2" s="194"/>
      <c r="LFC2" s="161"/>
      <c r="LFD2" s="194"/>
      <c r="LFE2" s="194"/>
      <c r="LFF2" s="194"/>
      <c r="LFG2" s="194"/>
      <c r="LFH2" s="194"/>
      <c r="LFI2" s="194"/>
      <c r="LFJ2" s="161"/>
      <c r="LFK2" s="195"/>
      <c r="LFL2" s="195"/>
      <c r="LFM2" s="161"/>
      <c r="LFN2" s="161"/>
      <c r="LFO2" s="161"/>
      <c r="LFP2" s="161"/>
      <c r="LFQ2" s="196"/>
      <c r="LFR2" s="196"/>
      <c r="LFS2" s="192"/>
      <c r="LFT2" s="181"/>
      <c r="LFU2" s="180"/>
      <c r="LFV2" s="197"/>
      <c r="LFW2" s="179"/>
      <c r="LFX2" s="196"/>
      <c r="LFY2" s="179"/>
      <c r="LFZ2" s="196"/>
      <c r="LGA2" s="196"/>
      <c r="LGB2" s="161"/>
      <c r="LGC2" s="193"/>
      <c r="LGD2" s="193"/>
      <c r="LGE2" s="194"/>
      <c r="LGF2" s="194"/>
      <c r="LGG2" s="194"/>
      <c r="LGH2" s="194"/>
      <c r="LGI2" s="194"/>
      <c r="LGJ2" s="161"/>
      <c r="LGK2" s="161"/>
      <c r="LGL2" s="194"/>
      <c r="LGM2" s="161"/>
      <c r="LGN2" s="193"/>
      <c r="LGO2" s="194"/>
      <c r="LGP2" s="161"/>
      <c r="LGQ2" s="161"/>
      <c r="LGR2" s="161"/>
      <c r="LGS2" s="194"/>
      <c r="LGT2" s="194"/>
      <c r="LGU2" s="194"/>
      <c r="LGV2" s="161"/>
      <c r="LGW2" s="194"/>
      <c r="LGX2" s="194"/>
      <c r="LGY2" s="161"/>
      <c r="LGZ2" s="194"/>
      <c r="LHA2" s="194"/>
      <c r="LHB2" s="194"/>
      <c r="LHC2" s="194"/>
      <c r="LHD2" s="194"/>
      <c r="LHE2" s="194"/>
      <c r="LHF2" s="161"/>
      <c r="LHG2" s="195"/>
      <c r="LHH2" s="195"/>
      <c r="LHI2" s="161"/>
      <c r="LHJ2" s="161"/>
      <c r="LHK2" s="161"/>
      <c r="LHL2" s="161"/>
      <c r="LHM2" s="196"/>
      <c r="LHN2" s="196"/>
      <c r="LHO2" s="192"/>
      <c r="LHP2" s="181"/>
      <c r="LHQ2" s="180"/>
      <c r="LHR2" s="197"/>
      <c r="LHS2" s="179"/>
      <c r="LHT2" s="196"/>
      <c r="LHU2" s="179"/>
      <c r="LHV2" s="196"/>
      <c r="LHW2" s="196"/>
      <c r="LHX2" s="161"/>
      <c r="LHY2" s="193"/>
      <c r="LHZ2" s="193"/>
      <c r="LIA2" s="194"/>
      <c r="LIB2" s="194"/>
      <c r="LIC2" s="194"/>
      <c r="LID2" s="194"/>
      <c r="LIE2" s="194"/>
      <c r="LIF2" s="161"/>
      <c r="LIG2" s="161"/>
      <c r="LIH2" s="194"/>
      <c r="LII2" s="161"/>
      <c r="LIJ2" s="193"/>
      <c r="LIK2" s="194"/>
      <c r="LIL2" s="161"/>
      <c r="LIM2" s="161"/>
      <c r="LIN2" s="161"/>
      <c r="LIO2" s="194"/>
      <c r="LIP2" s="194"/>
      <c r="LIQ2" s="194"/>
      <c r="LIR2" s="161"/>
      <c r="LIS2" s="194"/>
      <c r="LIT2" s="194"/>
      <c r="LIU2" s="161"/>
      <c r="LIV2" s="194"/>
      <c r="LIW2" s="194"/>
      <c r="LIX2" s="194"/>
      <c r="LIY2" s="194"/>
      <c r="LIZ2" s="194"/>
      <c r="LJA2" s="194"/>
      <c r="LJB2" s="161"/>
      <c r="LJC2" s="195"/>
      <c r="LJD2" s="195"/>
      <c r="LJE2" s="161"/>
      <c r="LJF2" s="161"/>
      <c r="LJG2" s="161"/>
      <c r="LJH2" s="161"/>
      <c r="LJI2" s="196"/>
      <c r="LJJ2" s="196"/>
      <c r="LJK2" s="192"/>
      <c r="LJL2" s="181"/>
      <c r="LJM2" s="180"/>
      <c r="LJN2" s="197"/>
      <c r="LJO2" s="179"/>
      <c r="LJP2" s="196"/>
      <c r="LJQ2" s="179"/>
      <c r="LJR2" s="196"/>
      <c r="LJS2" s="196"/>
      <c r="LJT2" s="161"/>
      <c r="LJU2" s="193"/>
      <c r="LJV2" s="193"/>
      <c r="LJW2" s="194"/>
      <c r="LJX2" s="194"/>
      <c r="LJY2" s="194"/>
      <c r="LJZ2" s="194"/>
      <c r="LKA2" s="194"/>
      <c r="LKB2" s="161"/>
      <c r="LKC2" s="161"/>
      <c r="LKD2" s="194"/>
      <c r="LKE2" s="161"/>
      <c r="LKF2" s="193"/>
      <c r="LKG2" s="194"/>
      <c r="LKH2" s="161"/>
      <c r="LKI2" s="161"/>
      <c r="LKJ2" s="161"/>
      <c r="LKK2" s="194"/>
      <c r="LKL2" s="194"/>
      <c r="LKM2" s="194"/>
      <c r="LKN2" s="161"/>
      <c r="LKO2" s="194"/>
      <c r="LKP2" s="194"/>
      <c r="LKQ2" s="161"/>
      <c r="LKR2" s="194"/>
      <c r="LKS2" s="194"/>
      <c r="LKT2" s="194"/>
      <c r="LKU2" s="194"/>
      <c r="LKV2" s="194"/>
      <c r="LKW2" s="194"/>
      <c r="LKX2" s="161"/>
      <c r="LKY2" s="195"/>
      <c r="LKZ2" s="195"/>
      <c r="LLA2" s="161"/>
      <c r="LLB2" s="161"/>
      <c r="LLC2" s="161"/>
      <c r="LLD2" s="161"/>
      <c r="LLE2" s="196"/>
      <c r="LLF2" s="196"/>
      <c r="LLG2" s="192"/>
      <c r="LLH2" s="181"/>
      <c r="LLI2" s="180"/>
      <c r="LLJ2" s="197"/>
      <c r="LLK2" s="179"/>
      <c r="LLL2" s="196"/>
      <c r="LLM2" s="179"/>
      <c r="LLN2" s="196"/>
      <c r="LLO2" s="196"/>
      <c r="LLP2" s="161"/>
      <c r="LLQ2" s="193"/>
      <c r="LLR2" s="193"/>
      <c r="LLS2" s="194"/>
      <c r="LLT2" s="194"/>
      <c r="LLU2" s="194"/>
      <c r="LLV2" s="194"/>
      <c r="LLW2" s="194"/>
      <c r="LLX2" s="161"/>
      <c r="LLY2" s="161"/>
      <c r="LLZ2" s="194"/>
      <c r="LMA2" s="161"/>
      <c r="LMB2" s="193"/>
      <c r="LMC2" s="194"/>
      <c r="LMD2" s="161"/>
      <c r="LME2" s="161"/>
      <c r="LMF2" s="161"/>
      <c r="LMG2" s="194"/>
      <c r="LMH2" s="194"/>
      <c r="LMI2" s="194"/>
      <c r="LMJ2" s="161"/>
      <c r="LMK2" s="194"/>
      <c r="LML2" s="194"/>
      <c r="LMM2" s="161"/>
      <c r="LMN2" s="194"/>
      <c r="LMO2" s="194"/>
      <c r="LMP2" s="194"/>
      <c r="LMQ2" s="194"/>
      <c r="LMR2" s="194"/>
      <c r="LMS2" s="194"/>
      <c r="LMT2" s="161"/>
      <c r="LMU2" s="195"/>
      <c r="LMV2" s="195"/>
      <c r="LMW2" s="161"/>
      <c r="LMX2" s="161"/>
      <c r="LMY2" s="161"/>
      <c r="LMZ2" s="161"/>
      <c r="LNA2" s="196"/>
      <c r="LNB2" s="196"/>
      <c r="LNC2" s="192"/>
      <c r="LND2" s="181"/>
      <c r="LNE2" s="180"/>
      <c r="LNF2" s="197"/>
      <c r="LNG2" s="179"/>
      <c r="LNH2" s="196"/>
      <c r="LNI2" s="179"/>
      <c r="LNJ2" s="196"/>
      <c r="LNK2" s="196"/>
      <c r="LNL2" s="161"/>
      <c r="LNM2" s="193"/>
      <c r="LNN2" s="193"/>
      <c r="LNO2" s="194"/>
      <c r="LNP2" s="194"/>
      <c r="LNQ2" s="194"/>
      <c r="LNR2" s="194"/>
      <c r="LNS2" s="194"/>
      <c r="LNT2" s="161"/>
      <c r="LNU2" s="161"/>
      <c r="LNV2" s="194"/>
      <c r="LNW2" s="161"/>
      <c r="LNX2" s="193"/>
      <c r="LNY2" s="194"/>
      <c r="LNZ2" s="161"/>
      <c r="LOA2" s="161"/>
      <c r="LOB2" s="161"/>
      <c r="LOC2" s="194"/>
      <c r="LOD2" s="194"/>
      <c r="LOE2" s="194"/>
      <c r="LOF2" s="161"/>
      <c r="LOG2" s="194"/>
      <c r="LOH2" s="194"/>
      <c r="LOI2" s="161"/>
      <c r="LOJ2" s="194"/>
      <c r="LOK2" s="194"/>
      <c r="LOL2" s="194"/>
      <c r="LOM2" s="194"/>
      <c r="LON2" s="194"/>
      <c r="LOO2" s="194"/>
      <c r="LOP2" s="161"/>
      <c r="LOQ2" s="195"/>
      <c r="LOR2" s="195"/>
      <c r="LOS2" s="161"/>
      <c r="LOT2" s="161"/>
      <c r="LOU2" s="161"/>
      <c r="LOV2" s="161"/>
      <c r="LOW2" s="196"/>
      <c r="LOX2" s="196"/>
      <c r="LOY2" s="192"/>
      <c r="LOZ2" s="181"/>
      <c r="LPA2" s="180"/>
      <c r="LPB2" s="197"/>
      <c r="LPC2" s="179"/>
      <c r="LPD2" s="196"/>
      <c r="LPE2" s="179"/>
      <c r="LPF2" s="196"/>
      <c r="LPG2" s="196"/>
      <c r="LPH2" s="161"/>
      <c r="LPI2" s="193"/>
      <c r="LPJ2" s="193"/>
      <c r="LPK2" s="194"/>
      <c r="LPL2" s="194"/>
      <c r="LPM2" s="194"/>
      <c r="LPN2" s="194"/>
      <c r="LPO2" s="194"/>
      <c r="LPP2" s="161"/>
      <c r="LPQ2" s="161"/>
      <c r="LPR2" s="194"/>
      <c r="LPS2" s="161"/>
      <c r="LPT2" s="193"/>
      <c r="LPU2" s="194"/>
      <c r="LPV2" s="161"/>
      <c r="LPW2" s="161"/>
      <c r="LPX2" s="161"/>
      <c r="LPY2" s="194"/>
      <c r="LPZ2" s="194"/>
      <c r="LQA2" s="194"/>
      <c r="LQB2" s="161"/>
      <c r="LQC2" s="194"/>
      <c r="LQD2" s="194"/>
      <c r="LQE2" s="161"/>
      <c r="LQF2" s="194"/>
      <c r="LQG2" s="194"/>
      <c r="LQH2" s="194"/>
      <c r="LQI2" s="194"/>
      <c r="LQJ2" s="194"/>
      <c r="LQK2" s="194"/>
      <c r="LQL2" s="161"/>
      <c r="LQM2" s="195"/>
      <c r="LQN2" s="195"/>
      <c r="LQO2" s="161"/>
      <c r="LQP2" s="161"/>
      <c r="LQQ2" s="161"/>
      <c r="LQR2" s="161"/>
      <c r="LQS2" s="196"/>
      <c r="LQT2" s="196"/>
      <c r="LQU2" s="192"/>
      <c r="LQV2" s="181"/>
      <c r="LQW2" s="180"/>
      <c r="LQX2" s="197"/>
      <c r="LQY2" s="179"/>
      <c r="LQZ2" s="196"/>
      <c r="LRA2" s="179"/>
      <c r="LRB2" s="196"/>
      <c r="LRC2" s="196"/>
      <c r="LRD2" s="161"/>
      <c r="LRE2" s="193"/>
      <c r="LRF2" s="193"/>
      <c r="LRG2" s="194"/>
      <c r="LRH2" s="194"/>
      <c r="LRI2" s="194"/>
      <c r="LRJ2" s="194"/>
      <c r="LRK2" s="194"/>
      <c r="LRL2" s="161"/>
      <c r="LRM2" s="161"/>
      <c r="LRN2" s="194"/>
      <c r="LRO2" s="161"/>
      <c r="LRP2" s="193"/>
      <c r="LRQ2" s="194"/>
      <c r="LRR2" s="161"/>
      <c r="LRS2" s="161"/>
      <c r="LRT2" s="161"/>
      <c r="LRU2" s="194"/>
      <c r="LRV2" s="194"/>
      <c r="LRW2" s="194"/>
      <c r="LRX2" s="161"/>
      <c r="LRY2" s="194"/>
      <c r="LRZ2" s="194"/>
      <c r="LSA2" s="161"/>
      <c r="LSB2" s="194"/>
      <c r="LSC2" s="194"/>
      <c r="LSD2" s="194"/>
      <c r="LSE2" s="194"/>
      <c r="LSF2" s="194"/>
      <c r="LSG2" s="194"/>
      <c r="LSH2" s="161"/>
      <c r="LSI2" s="195"/>
      <c r="LSJ2" s="195"/>
      <c r="LSK2" s="161"/>
      <c r="LSL2" s="161"/>
      <c r="LSM2" s="161"/>
      <c r="LSN2" s="161"/>
      <c r="LSO2" s="196"/>
      <c r="LSP2" s="196"/>
      <c r="LSQ2" s="192"/>
      <c r="LSR2" s="181"/>
      <c r="LSS2" s="180"/>
      <c r="LST2" s="197"/>
      <c r="LSU2" s="179"/>
      <c r="LSV2" s="196"/>
      <c r="LSW2" s="179"/>
      <c r="LSX2" s="196"/>
      <c r="LSY2" s="196"/>
      <c r="LSZ2" s="161"/>
      <c r="LTA2" s="193"/>
      <c r="LTB2" s="193"/>
      <c r="LTC2" s="194"/>
      <c r="LTD2" s="194"/>
      <c r="LTE2" s="194"/>
      <c r="LTF2" s="194"/>
      <c r="LTG2" s="194"/>
      <c r="LTH2" s="161"/>
      <c r="LTI2" s="161"/>
      <c r="LTJ2" s="194"/>
      <c r="LTK2" s="161"/>
      <c r="LTL2" s="193"/>
      <c r="LTM2" s="194"/>
      <c r="LTN2" s="161"/>
      <c r="LTO2" s="161"/>
      <c r="LTP2" s="161"/>
      <c r="LTQ2" s="194"/>
      <c r="LTR2" s="194"/>
      <c r="LTS2" s="194"/>
      <c r="LTT2" s="161"/>
      <c r="LTU2" s="194"/>
      <c r="LTV2" s="194"/>
      <c r="LTW2" s="161"/>
      <c r="LTX2" s="194"/>
      <c r="LTY2" s="194"/>
      <c r="LTZ2" s="194"/>
      <c r="LUA2" s="194"/>
      <c r="LUB2" s="194"/>
      <c r="LUC2" s="194"/>
      <c r="LUD2" s="161"/>
      <c r="LUE2" s="195"/>
      <c r="LUF2" s="195"/>
      <c r="LUG2" s="161"/>
      <c r="LUH2" s="161"/>
      <c r="LUI2" s="161"/>
      <c r="LUJ2" s="161"/>
      <c r="LUK2" s="196"/>
      <c r="LUL2" s="196"/>
      <c r="LUM2" s="192"/>
      <c r="LUN2" s="181"/>
      <c r="LUO2" s="180"/>
      <c r="LUP2" s="197"/>
      <c r="LUQ2" s="179"/>
      <c r="LUR2" s="196"/>
      <c r="LUS2" s="179"/>
      <c r="LUT2" s="196"/>
      <c r="LUU2" s="196"/>
      <c r="LUV2" s="161"/>
      <c r="LUW2" s="193"/>
      <c r="LUX2" s="193"/>
      <c r="LUY2" s="194"/>
      <c r="LUZ2" s="194"/>
      <c r="LVA2" s="194"/>
      <c r="LVB2" s="194"/>
      <c r="LVC2" s="194"/>
      <c r="LVD2" s="161"/>
      <c r="LVE2" s="161"/>
      <c r="LVF2" s="194"/>
      <c r="LVG2" s="161"/>
      <c r="LVH2" s="193"/>
      <c r="LVI2" s="194"/>
      <c r="LVJ2" s="161"/>
      <c r="LVK2" s="161"/>
      <c r="LVL2" s="161"/>
      <c r="LVM2" s="194"/>
      <c r="LVN2" s="194"/>
      <c r="LVO2" s="194"/>
      <c r="LVP2" s="161"/>
      <c r="LVQ2" s="194"/>
      <c r="LVR2" s="194"/>
      <c r="LVS2" s="161"/>
      <c r="LVT2" s="194"/>
      <c r="LVU2" s="194"/>
      <c r="LVV2" s="194"/>
      <c r="LVW2" s="194"/>
      <c r="LVX2" s="194"/>
      <c r="LVY2" s="194"/>
      <c r="LVZ2" s="161"/>
      <c r="LWA2" s="195"/>
      <c r="LWB2" s="195"/>
      <c r="LWC2" s="161"/>
      <c r="LWD2" s="161"/>
      <c r="LWE2" s="161"/>
      <c r="LWF2" s="161"/>
      <c r="LWG2" s="196"/>
      <c r="LWH2" s="196"/>
      <c r="LWI2" s="192"/>
      <c r="LWJ2" s="181"/>
      <c r="LWK2" s="180"/>
      <c r="LWL2" s="197"/>
      <c r="LWM2" s="179"/>
      <c r="LWN2" s="196"/>
      <c r="LWO2" s="179"/>
      <c r="LWP2" s="196"/>
      <c r="LWQ2" s="196"/>
      <c r="LWR2" s="161"/>
      <c r="LWS2" s="193"/>
      <c r="LWT2" s="193"/>
      <c r="LWU2" s="194"/>
      <c r="LWV2" s="194"/>
      <c r="LWW2" s="194"/>
      <c r="LWX2" s="194"/>
      <c r="LWY2" s="194"/>
      <c r="LWZ2" s="161"/>
      <c r="LXA2" s="161"/>
      <c r="LXB2" s="194"/>
      <c r="LXC2" s="161"/>
      <c r="LXD2" s="193"/>
      <c r="LXE2" s="194"/>
      <c r="LXF2" s="161"/>
      <c r="LXG2" s="161"/>
      <c r="LXH2" s="161"/>
      <c r="LXI2" s="194"/>
      <c r="LXJ2" s="194"/>
      <c r="LXK2" s="194"/>
      <c r="LXL2" s="161"/>
      <c r="LXM2" s="194"/>
      <c r="LXN2" s="194"/>
      <c r="LXO2" s="161"/>
      <c r="LXP2" s="194"/>
      <c r="LXQ2" s="194"/>
      <c r="LXR2" s="194"/>
      <c r="LXS2" s="194"/>
      <c r="LXT2" s="194"/>
      <c r="LXU2" s="194"/>
      <c r="LXV2" s="161"/>
      <c r="LXW2" s="195"/>
      <c r="LXX2" s="195"/>
      <c r="LXY2" s="161"/>
      <c r="LXZ2" s="161"/>
      <c r="LYA2" s="161"/>
      <c r="LYB2" s="161"/>
      <c r="LYC2" s="196"/>
      <c r="LYD2" s="196"/>
      <c r="LYE2" s="192"/>
      <c r="LYF2" s="181"/>
      <c r="LYG2" s="180"/>
      <c r="LYH2" s="197"/>
      <c r="LYI2" s="179"/>
      <c r="LYJ2" s="196"/>
      <c r="LYK2" s="179"/>
      <c r="LYL2" s="196"/>
      <c r="LYM2" s="196"/>
      <c r="LYN2" s="161"/>
      <c r="LYO2" s="193"/>
      <c r="LYP2" s="193"/>
      <c r="LYQ2" s="194"/>
      <c r="LYR2" s="194"/>
      <c r="LYS2" s="194"/>
      <c r="LYT2" s="194"/>
      <c r="LYU2" s="194"/>
      <c r="LYV2" s="161"/>
      <c r="LYW2" s="161"/>
      <c r="LYX2" s="194"/>
      <c r="LYY2" s="161"/>
      <c r="LYZ2" s="193"/>
      <c r="LZA2" s="194"/>
      <c r="LZB2" s="161"/>
      <c r="LZC2" s="161"/>
      <c r="LZD2" s="161"/>
      <c r="LZE2" s="194"/>
      <c r="LZF2" s="194"/>
      <c r="LZG2" s="194"/>
      <c r="LZH2" s="161"/>
      <c r="LZI2" s="194"/>
      <c r="LZJ2" s="194"/>
      <c r="LZK2" s="161"/>
      <c r="LZL2" s="194"/>
      <c r="LZM2" s="194"/>
      <c r="LZN2" s="194"/>
      <c r="LZO2" s="194"/>
      <c r="LZP2" s="194"/>
      <c r="LZQ2" s="194"/>
      <c r="LZR2" s="161"/>
      <c r="LZS2" s="195"/>
      <c r="LZT2" s="195"/>
      <c r="LZU2" s="161"/>
      <c r="LZV2" s="161"/>
      <c r="LZW2" s="161"/>
      <c r="LZX2" s="161"/>
      <c r="LZY2" s="196"/>
      <c r="LZZ2" s="196"/>
      <c r="MAA2" s="192"/>
      <c r="MAB2" s="181"/>
      <c r="MAC2" s="180"/>
      <c r="MAD2" s="197"/>
      <c r="MAE2" s="179"/>
      <c r="MAF2" s="196"/>
      <c r="MAG2" s="179"/>
      <c r="MAH2" s="196"/>
      <c r="MAI2" s="196"/>
      <c r="MAJ2" s="161"/>
      <c r="MAK2" s="193"/>
      <c r="MAL2" s="193"/>
      <c r="MAM2" s="194"/>
      <c r="MAN2" s="194"/>
      <c r="MAO2" s="194"/>
      <c r="MAP2" s="194"/>
      <c r="MAQ2" s="194"/>
      <c r="MAR2" s="161"/>
      <c r="MAS2" s="161"/>
      <c r="MAT2" s="194"/>
      <c r="MAU2" s="161"/>
      <c r="MAV2" s="193"/>
      <c r="MAW2" s="194"/>
      <c r="MAX2" s="161"/>
      <c r="MAY2" s="161"/>
      <c r="MAZ2" s="161"/>
      <c r="MBA2" s="194"/>
      <c r="MBB2" s="194"/>
      <c r="MBC2" s="194"/>
      <c r="MBD2" s="161"/>
      <c r="MBE2" s="194"/>
      <c r="MBF2" s="194"/>
      <c r="MBG2" s="161"/>
      <c r="MBH2" s="194"/>
      <c r="MBI2" s="194"/>
      <c r="MBJ2" s="194"/>
      <c r="MBK2" s="194"/>
      <c r="MBL2" s="194"/>
      <c r="MBM2" s="194"/>
      <c r="MBN2" s="161"/>
      <c r="MBO2" s="195"/>
      <c r="MBP2" s="195"/>
      <c r="MBQ2" s="161"/>
      <c r="MBR2" s="161"/>
      <c r="MBS2" s="161"/>
      <c r="MBT2" s="161"/>
      <c r="MBU2" s="196"/>
      <c r="MBV2" s="196"/>
      <c r="MBW2" s="192"/>
      <c r="MBX2" s="181"/>
      <c r="MBY2" s="180"/>
      <c r="MBZ2" s="197"/>
      <c r="MCA2" s="179"/>
      <c r="MCB2" s="196"/>
      <c r="MCC2" s="179"/>
      <c r="MCD2" s="196"/>
      <c r="MCE2" s="196"/>
      <c r="MCF2" s="161"/>
      <c r="MCG2" s="193"/>
      <c r="MCH2" s="193"/>
      <c r="MCI2" s="194"/>
      <c r="MCJ2" s="194"/>
      <c r="MCK2" s="194"/>
      <c r="MCL2" s="194"/>
      <c r="MCM2" s="194"/>
      <c r="MCN2" s="161"/>
      <c r="MCO2" s="161"/>
      <c r="MCP2" s="194"/>
      <c r="MCQ2" s="161"/>
      <c r="MCR2" s="193"/>
      <c r="MCS2" s="194"/>
      <c r="MCT2" s="161"/>
      <c r="MCU2" s="161"/>
      <c r="MCV2" s="161"/>
      <c r="MCW2" s="194"/>
      <c r="MCX2" s="194"/>
      <c r="MCY2" s="194"/>
      <c r="MCZ2" s="161"/>
      <c r="MDA2" s="194"/>
      <c r="MDB2" s="194"/>
      <c r="MDC2" s="161"/>
      <c r="MDD2" s="194"/>
      <c r="MDE2" s="194"/>
      <c r="MDF2" s="194"/>
      <c r="MDG2" s="194"/>
      <c r="MDH2" s="194"/>
      <c r="MDI2" s="194"/>
      <c r="MDJ2" s="161"/>
      <c r="MDK2" s="195"/>
      <c r="MDL2" s="195"/>
      <c r="MDM2" s="161"/>
      <c r="MDN2" s="161"/>
      <c r="MDO2" s="161"/>
      <c r="MDP2" s="161"/>
      <c r="MDQ2" s="196"/>
      <c r="MDR2" s="196"/>
      <c r="MDS2" s="192"/>
      <c r="MDT2" s="181"/>
      <c r="MDU2" s="180"/>
      <c r="MDV2" s="197"/>
      <c r="MDW2" s="179"/>
      <c r="MDX2" s="196"/>
      <c r="MDY2" s="179"/>
      <c r="MDZ2" s="196"/>
      <c r="MEA2" s="196"/>
      <c r="MEB2" s="161"/>
      <c r="MEC2" s="193"/>
      <c r="MED2" s="193"/>
      <c r="MEE2" s="194"/>
      <c r="MEF2" s="194"/>
      <c r="MEG2" s="194"/>
      <c r="MEH2" s="194"/>
      <c r="MEI2" s="194"/>
      <c r="MEJ2" s="161"/>
      <c r="MEK2" s="161"/>
      <c r="MEL2" s="194"/>
      <c r="MEM2" s="161"/>
      <c r="MEN2" s="193"/>
      <c r="MEO2" s="194"/>
      <c r="MEP2" s="161"/>
      <c r="MEQ2" s="161"/>
      <c r="MER2" s="161"/>
      <c r="MES2" s="194"/>
      <c r="MET2" s="194"/>
      <c r="MEU2" s="194"/>
      <c r="MEV2" s="161"/>
      <c r="MEW2" s="194"/>
      <c r="MEX2" s="194"/>
      <c r="MEY2" s="161"/>
      <c r="MEZ2" s="194"/>
      <c r="MFA2" s="194"/>
      <c r="MFB2" s="194"/>
      <c r="MFC2" s="194"/>
      <c r="MFD2" s="194"/>
      <c r="MFE2" s="194"/>
      <c r="MFF2" s="161"/>
      <c r="MFG2" s="195"/>
      <c r="MFH2" s="195"/>
      <c r="MFI2" s="161"/>
      <c r="MFJ2" s="161"/>
      <c r="MFK2" s="161"/>
      <c r="MFL2" s="161"/>
      <c r="MFM2" s="196"/>
      <c r="MFN2" s="196"/>
      <c r="MFO2" s="192"/>
      <c r="MFP2" s="181"/>
      <c r="MFQ2" s="180"/>
      <c r="MFR2" s="197"/>
      <c r="MFS2" s="179"/>
      <c r="MFT2" s="196"/>
      <c r="MFU2" s="179"/>
      <c r="MFV2" s="196"/>
      <c r="MFW2" s="196"/>
      <c r="MFX2" s="161"/>
      <c r="MFY2" s="193"/>
      <c r="MFZ2" s="193"/>
      <c r="MGA2" s="194"/>
      <c r="MGB2" s="194"/>
      <c r="MGC2" s="194"/>
      <c r="MGD2" s="194"/>
      <c r="MGE2" s="194"/>
      <c r="MGF2" s="161"/>
      <c r="MGG2" s="161"/>
      <c r="MGH2" s="194"/>
      <c r="MGI2" s="161"/>
      <c r="MGJ2" s="193"/>
      <c r="MGK2" s="194"/>
      <c r="MGL2" s="161"/>
      <c r="MGM2" s="161"/>
      <c r="MGN2" s="161"/>
      <c r="MGO2" s="194"/>
      <c r="MGP2" s="194"/>
      <c r="MGQ2" s="194"/>
      <c r="MGR2" s="161"/>
      <c r="MGS2" s="194"/>
      <c r="MGT2" s="194"/>
      <c r="MGU2" s="161"/>
      <c r="MGV2" s="194"/>
      <c r="MGW2" s="194"/>
      <c r="MGX2" s="194"/>
      <c r="MGY2" s="194"/>
      <c r="MGZ2" s="194"/>
      <c r="MHA2" s="194"/>
      <c r="MHB2" s="161"/>
      <c r="MHC2" s="195"/>
      <c r="MHD2" s="195"/>
      <c r="MHE2" s="161"/>
      <c r="MHF2" s="161"/>
      <c r="MHG2" s="161"/>
      <c r="MHH2" s="161"/>
      <c r="MHI2" s="196"/>
      <c r="MHJ2" s="196"/>
      <c r="MHK2" s="192"/>
      <c r="MHL2" s="181"/>
      <c r="MHM2" s="180"/>
      <c r="MHN2" s="197"/>
      <c r="MHO2" s="179"/>
      <c r="MHP2" s="196"/>
      <c r="MHQ2" s="179"/>
      <c r="MHR2" s="196"/>
      <c r="MHS2" s="196"/>
      <c r="MHT2" s="161"/>
      <c r="MHU2" s="193"/>
      <c r="MHV2" s="193"/>
      <c r="MHW2" s="194"/>
      <c r="MHX2" s="194"/>
      <c r="MHY2" s="194"/>
      <c r="MHZ2" s="194"/>
      <c r="MIA2" s="194"/>
      <c r="MIB2" s="161"/>
      <c r="MIC2" s="161"/>
      <c r="MID2" s="194"/>
      <c r="MIE2" s="161"/>
      <c r="MIF2" s="193"/>
      <c r="MIG2" s="194"/>
      <c r="MIH2" s="161"/>
      <c r="MII2" s="161"/>
      <c r="MIJ2" s="161"/>
      <c r="MIK2" s="194"/>
      <c r="MIL2" s="194"/>
      <c r="MIM2" s="194"/>
      <c r="MIN2" s="161"/>
      <c r="MIO2" s="194"/>
      <c r="MIP2" s="194"/>
      <c r="MIQ2" s="161"/>
      <c r="MIR2" s="194"/>
      <c r="MIS2" s="194"/>
      <c r="MIT2" s="194"/>
      <c r="MIU2" s="194"/>
      <c r="MIV2" s="194"/>
      <c r="MIW2" s="194"/>
      <c r="MIX2" s="161"/>
      <c r="MIY2" s="195"/>
      <c r="MIZ2" s="195"/>
      <c r="MJA2" s="161"/>
      <c r="MJB2" s="161"/>
      <c r="MJC2" s="161"/>
      <c r="MJD2" s="161"/>
      <c r="MJE2" s="196"/>
      <c r="MJF2" s="196"/>
      <c r="MJG2" s="192"/>
      <c r="MJH2" s="181"/>
      <c r="MJI2" s="180"/>
      <c r="MJJ2" s="197"/>
      <c r="MJK2" s="179"/>
      <c r="MJL2" s="196"/>
      <c r="MJM2" s="179"/>
      <c r="MJN2" s="196"/>
      <c r="MJO2" s="196"/>
      <c r="MJP2" s="161"/>
      <c r="MJQ2" s="193"/>
      <c r="MJR2" s="193"/>
      <c r="MJS2" s="194"/>
      <c r="MJT2" s="194"/>
      <c r="MJU2" s="194"/>
      <c r="MJV2" s="194"/>
      <c r="MJW2" s="194"/>
      <c r="MJX2" s="161"/>
      <c r="MJY2" s="161"/>
      <c r="MJZ2" s="194"/>
      <c r="MKA2" s="161"/>
      <c r="MKB2" s="193"/>
      <c r="MKC2" s="194"/>
      <c r="MKD2" s="161"/>
      <c r="MKE2" s="161"/>
      <c r="MKF2" s="161"/>
      <c r="MKG2" s="194"/>
      <c r="MKH2" s="194"/>
      <c r="MKI2" s="194"/>
      <c r="MKJ2" s="161"/>
      <c r="MKK2" s="194"/>
      <c r="MKL2" s="194"/>
      <c r="MKM2" s="161"/>
      <c r="MKN2" s="194"/>
      <c r="MKO2" s="194"/>
      <c r="MKP2" s="194"/>
      <c r="MKQ2" s="194"/>
      <c r="MKR2" s="194"/>
      <c r="MKS2" s="194"/>
      <c r="MKT2" s="161"/>
      <c r="MKU2" s="195"/>
      <c r="MKV2" s="195"/>
      <c r="MKW2" s="161"/>
      <c r="MKX2" s="161"/>
      <c r="MKY2" s="161"/>
      <c r="MKZ2" s="161"/>
      <c r="MLA2" s="196"/>
      <c r="MLB2" s="196"/>
      <c r="MLC2" s="192"/>
      <c r="MLD2" s="181"/>
      <c r="MLE2" s="180"/>
      <c r="MLF2" s="197"/>
      <c r="MLG2" s="179"/>
      <c r="MLH2" s="196"/>
      <c r="MLI2" s="179"/>
      <c r="MLJ2" s="196"/>
      <c r="MLK2" s="196"/>
      <c r="MLL2" s="161"/>
      <c r="MLM2" s="193"/>
      <c r="MLN2" s="193"/>
      <c r="MLO2" s="194"/>
      <c r="MLP2" s="194"/>
      <c r="MLQ2" s="194"/>
      <c r="MLR2" s="194"/>
      <c r="MLS2" s="194"/>
      <c r="MLT2" s="161"/>
      <c r="MLU2" s="161"/>
      <c r="MLV2" s="194"/>
      <c r="MLW2" s="161"/>
      <c r="MLX2" s="193"/>
      <c r="MLY2" s="194"/>
      <c r="MLZ2" s="161"/>
      <c r="MMA2" s="161"/>
      <c r="MMB2" s="161"/>
      <c r="MMC2" s="194"/>
      <c r="MMD2" s="194"/>
      <c r="MME2" s="194"/>
      <c r="MMF2" s="161"/>
      <c r="MMG2" s="194"/>
      <c r="MMH2" s="194"/>
      <c r="MMI2" s="161"/>
      <c r="MMJ2" s="194"/>
      <c r="MMK2" s="194"/>
      <c r="MML2" s="194"/>
      <c r="MMM2" s="194"/>
      <c r="MMN2" s="194"/>
      <c r="MMO2" s="194"/>
      <c r="MMP2" s="161"/>
      <c r="MMQ2" s="195"/>
      <c r="MMR2" s="195"/>
      <c r="MMS2" s="161"/>
      <c r="MMT2" s="161"/>
      <c r="MMU2" s="161"/>
      <c r="MMV2" s="161"/>
      <c r="MMW2" s="196"/>
      <c r="MMX2" s="196"/>
      <c r="MMY2" s="192"/>
      <c r="MMZ2" s="181"/>
      <c r="MNA2" s="180"/>
      <c r="MNB2" s="197"/>
      <c r="MNC2" s="179"/>
      <c r="MND2" s="196"/>
      <c r="MNE2" s="179"/>
      <c r="MNF2" s="196"/>
      <c r="MNG2" s="196"/>
      <c r="MNH2" s="161"/>
      <c r="MNI2" s="193"/>
      <c r="MNJ2" s="193"/>
      <c r="MNK2" s="194"/>
      <c r="MNL2" s="194"/>
      <c r="MNM2" s="194"/>
      <c r="MNN2" s="194"/>
      <c r="MNO2" s="194"/>
      <c r="MNP2" s="161"/>
      <c r="MNQ2" s="161"/>
      <c r="MNR2" s="194"/>
      <c r="MNS2" s="161"/>
      <c r="MNT2" s="193"/>
      <c r="MNU2" s="194"/>
      <c r="MNV2" s="161"/>
      <c r="MNW2" s="161"/>
      <c r="MNX2" s="161"/>
      <c r="MNY2" s="194"/>
      <c r="MNZ2" s="194"/>
      <c r="MOA2" s="194"/>
      <c r="MOB2" s="161"/>
      <c r="MOC2" s="194"/>
      <c r="MOD2" s="194"/>
      <c r="MOE2" s="161"/>
      <c r="MOF2" s="194"/>
      <c r="MOG2" s="194"/>
      <c r="MOH2" s="194"/>
      <c r="MOI2" s="194"/>
      <c r="MOJ2" s="194"/>
      <c r="MOK2" s="194"/>
      <c r="MOL2" s="161"/>
      <c r="MOM2" s="195"/>
      <c r="MON2" s="195"/>
      <c r="MOO2" s="161"/>
      <c r="MOP2" s="161"/>
      <c r="MOQ2" s="161"/>
      <c r="MOR2" s="161"/>
      <c r="MOS2" s="196"/>
      <c r="MOT2" s="196"/>
      <c r="MOU2" s="192"/>
      <c r="MOV2" s="181"/>
      <c r="MOW2" s="180"/>
      <c r="MOX2" s="197"/>
      <c r="MOY2" s="179"/>
      <c r="MOZ2" s="196"/>
      <c r="MPA2" s="179"/>
      <c r="MPB2" s="196"/>
      <c r="MPC2" s="196"/>
      <c r="MPD2" s="161"/>
      <c r="MPE2" s="193"/>
      <c r="MPF2" s="193"/>
      <c r="MPG2" s="194"/>
      <c r="MPH2" s="194"/>
      <c r="MPI2" s="194"/>
      <c r="MPJ2" s="194"/>
      <c r="MPK2" s="194"/>
      <c r="MPL2" s="161"/>
      <c r="MPM2" s="161"/>
      <c r="MPN2" s="194"/>
      <c r="MPO2" s="161"/>
      <c r="MPP2" s="193"/>
      <c r="MPQ2" s="194"/>
      <c r="MPR2" s="161"/>
      <c r="MPS2" s="161"/>
      <c r="MPT2" s="161"/>
      <c r="MPU2" s="194"/>
      <c r="MPV2" s="194"/>
      <c r="MPW2" s="194"/>
      <c r="MPX2" s="161"/>
      <c r="MPY2" s="194"/>
      <c r="MPZ2" s="194"/>
      <c r="MQA2" s="161"/>
      <c r="MQB2" s="194"/>
      <c r="MQC2" s="194"/>
      <c r="MQD2" s="194"/>
      <c r="MQE2" s="194"/>
      <c r="MQF2" s="194"/>
      <c r="MQG2" s="194"/>
      <c r="MQH2" s="161"/>
      <c r="MQI2" s="195"/>
      <c r="MQJ2" s="195"/>
      <c r="MQK2" s="161"/>
      <c r="MQL2" s="161"/>
      <c r="MQM2" s="161"/>
      <c r="MQN2" s="161"/>
      <c r="MQO2" s="196"/>
      <c r="MQP2" s="196"/>
      <c r="MQQ2" s="192"/>
      <c r="MQR2" s="181"/>
      <c r="MQS2" s="180"/>
      <c r="MQT2" s="197"/>
      <c r="MQU2" s="179"/>
      <c r="MQV2" s="196"/>
      <c r="MQW2" s="179"/>
      <c r="MQX2" s="196"/>
      <c r="MQY2" s="196"/>
      <c r="MQZ2" s="161"/>
      <c r="MRA2" s="193"/>
      <c r="MRB2" s="193"/>
      <c r="MRC2" s="194"/>
      <c r="MRD2" s="194"/>
      <c r="MRE2" s="194"/>
      <c r="MRF2" s="194"/>
      <c r="MRG2" s="194"/>
      <c r="MRH2" s="161"/>
      <c r="MRI2" s="161"/>
      <c r="MRJ2" s="194"/>
      <c r="MRK2" s="161"/>
      <c r="MRL2" s="193"/>
      <c r="MRM2" s="194"/>
      <c r="MRN2" s="161"/>
      <c r="MRO2" s="161"/>
      <c r="MRP2" s="161"/>
      <c r="MRQ2" s="194"/>
      <c r="MRR2" s="194"/>
      <c r="MRS2" s="194"/>
      <c r="MRT2" s="161"/>
      <c r="MRU2" s="194"/>
      <c r="MRV2" s="194"/>
      <c r="MRW2" s="161"/>
      <c r="MRX2" s="194"/>
      <c r="MRY2" s="194"/>
      <c r="MRZ2" s="194"/>
      <c r="MSA2" s="194"/>
      <c r="MSB2" s="194"/>
      <c r="MSC2" s="194"/>
      <c r="MSD2" s="161"/>
      <c r="MSE2" s="195"/>
      <c r="MSF2" s="195"/>
      <c r="MSG2" s="161"/>
      <c r="MSH2" s="161"/>
      <c r="MSI2" s="161"/>
      <c r="MSJ2" s="161"/>
      <c r="MSK2" s="196"/>
      <c r="MSL2" s="196"/>
      <c r="MSM2" s="192"/>
      <c r="MSN2" s="181"/>
      <c r="MSO2" s="180"/>
      <c r="MSP2" s="197"/>
      <c r="MSQ2" s="179"/>
      <c r="MSR2" s="196"/>
      <c r="MSS2" s="179"/>
      <c r="MST2" s="196"/>
      <c r="MSU2" s="196"/>
      <c r="MSV2" s="161"/>
      <c r="MSW2" s="193"/>
      <c r="MSX2" s="193"/>
      <c r="MSY2" s="194"/>
      <c r="MSZ2" s="194"/>
      <c r="MTA2" s="194"/>
      <c r="MTB2" s="194"/>
      <c r="MTC2" s="194"/>
      <c r="MTD2" s="161"/>
      <c r="MTE2" s="161"/>
      <c r="MTF2" s="194"/>
      <c r="MTG2" s="161"/>
      <c r="MTH2" s="193"/>
      <c r="MTI2" s="194"/>
      <c r="MTJ2" s="161"/>
      <c r="MTK2" s="161"/>
      <c r="MTL2" s="161"/>
      <c r="MTM2" s="194"/>
      <c r="MTN2" s="194"/>
      <c r="MTO2" s="194"/>
      <c r="MTP2" s="161"/>
      <c r="MTQ2" s="194"/>
      <c r="MTR2" s="194"/>
      <c r="MTS2" s="161"/>
      <c r="MTT2" s="194"/>
      <c r="MTU2" s="194"/>
      <c r="MTV2" s="194"/>
      <c r="MTW2" s="194"/>
      <c r="MTX2" s="194"/>
      <c r="MTY2" s="194"/>
      <c r="MTZ2" s="161"/>
      <c r="MUA2" s="195"/>
      <c r="MUB2" s="195"/>
      <c r="MUC2" s="161"/>
      <c r="MUD2" s="161"/>
      <c r="MUE2" s="161"/>
      <c r="MUF2" s="161"/>
      <c r="MUG2" s="196"/>
      <c r="MUH2" s="196"/>
      <c r="MUI2" s="192"/>
      <c r="MUJ2" s="181"/>
      <c r="MUK2" s="180"/>
      <c r="MUL2" s="197"/>
      <c r="MUM2" s="179"/>
      <c r="MUN2" s="196"/>
      <c r="MUO2" s="179"/>
      <c r="MUP2" s="196"/>
      <c r="MUQ2" s="196"/>
      <c r="MUR2" s="161"/>
      <c r="MUS2" s="193"/>
      <c r="MUT2" s="193"/>
      <c r="MUU2" s="194"/>
      <c r="MUV2" s="194"/>
      <c r="MUW2" s="194"/>
      <c r="MUX2" s="194"/>
      <c r="MUY2" s="194"/>
      <c r="MUZ2" s="161"/>
      <c r="MVA2" s="161"/>
      <c r="MVB2" s="194"/>
      <c r="MVC2" s="161"/>
      <c r="MVD2" s="193"/>
      <c r="MVE2" s="194"/>
      <c r="MVF2" s="161"/>
      <c r="MVG2" s="161"/>
      <c r="MVH2" s="161"/>
      <c r="MVI2" s="194"/>
      <c r="MVJ2" s="194"/>
      <c r="MVK2" s="194"/>
      <c r="MVL2" s="161"/>
      <c r="MVM2" s="194"/>
      <c r="MVN2" s="194"/>
      <c r="MVO2" s="161"/>
      <c r="MVP2" s="194"/>
      <c r="MVQ2" s="194"/>
      <c r="MVR2" s="194"/>
      <c r="MVS2" s="194"/>
      <c r="MVT2" s="194"/>
      <c r="MVU2" s="194"/>
      <c r="MVV2" s="161"/>
      <c r="MVW2" s="195"/>
      <c r="MVX2" s="195"/>
      <c r="MVY2" s="161"/>
      <c r="MVZ2" s="161"/>
      <c r="MWA2" s="161"/>
      <c r="MWB2" s="161"/>
      <c r="MWC2" s="196"/>
      <c r="MWD2" s="196"/>
      <c r="MWE2" s="192"/>
      <c r="MWF2" s="181"/>
      <c r="MWG2" s="180"/>
      <c r="MWH2" s="197"/>
      <c r="MWI2" s="179"/>
      <c r="MWJ2" s="196"/>
      <c r="MWK2" s="179"/>
      <c r="MWL2" s="196"/>
      <c r="MWM2" s="196"/>
      <c r="MWN2" s="161"/>
      <c r="MWO2" s="193"/>
      <c r="MWP2" s="193"/>
      <c r="MWQ2" s="194"/>
      <c r="MWR2" s="194"/>
      <c r="MWS2" s="194"/>
      <c r="MWT2" s="194"/>
      <c r="MWU2" s="194"/>
      <c r="MWV2" s="161"/>
      <c r="MWW2" s="161"/>
      <c r="MWX2" s="194"/>
      <c r="MWY2" s="161"/>
      <c r="MWZ2" s="193"/>
      <c r="MXA2" s="194"/>
      <c r="MXB2" s="161"/>
      <c r="MXC2" s="161"/>
      <c r="MXD2" s="161"/>
      <c r="MXE2" s="194"/>
      <c r="MXF2" s="194"/>
      <c r="MXG2" s="194"/>
      <c r="MXH2" s="161"/>
      <c r="MXI2" s="194"/>
      <c r="MXJ2" s="194"/>
      <c r="MXK2" s="161"/>
      <c r="MXL2" s="194"/>
      <c r="MXM2" s="194"/>
      <c r="MXN2" s="194"/>
      <c r="MXO2" s="194"/>
      <c r="MXP2" s="194"/>
      <c r="MXQ2" s="194"/>
      <c r="MXR2" s="161"/>
      <c r="MXS2" s="195"/>
      <c r="MXT2" s="195"/>
      <c r="MXU2" s="161"/>
      <c r="MXV2" s="161"/>
      <c r="MXW2" s="161"/>
      <c r="MXX2" s="161"/>
      <c r="MXY2" s="196"/>
      <c r="MXZ2" s="196"/>
      <c r="MYA2" s="192"/>
      <c r="MYB2" s="181"/>
      <c r="MYC2" s="180"/>
      <c r="MYD2" s="197"/>
      <c r="MYE2" s="179"/>
      <c r="MYF2" s="196"/>
      <c r="MYG2" s="179"/>
      <c r="MYH2" s="196"/>
      <c r="MYI2" s="196"/>
      <c r="MYJ2" s="161"/>
      <c r="MYK2" s="193"/>
      <c r="MYL2" s="193"/>
      <c r="MYM2" s="194"/>
      <c r="MYN2" s="194"/>
      <c r="MYO2" s="194"/>
      <c r="MYP2" s="194"/>
      <c r="MYQ2" s="194"/>
      <c r="MYR2" s="161"/>
      <c r="MYS2" s="161"/>
      <c r="MYT2" s="194"/>
      <c r="MYU2" s="161"/>
      <c r="MYV2" s="193"/>
      <c r="MYW2" s="194"/>
      <c r="MYX2" s="161"/>
      <c r="MYY2" s="161"/>
      <c r="MYZ2" s="161"/>
      <c r="MZA2" s="194"/>
      <c r="MZB2" s="194"/>
      <c r="MZC2" s="194"/>
      <c r="MZD2" s="161"/>
      <c r="MZE2" s="194"/>
      <c r="MZF2" s="194"/>
      <c r="MZG2" s="161"/>
      <c r="MZH2" s="194"/>
      <c r="MZI2" s="194"/>
      <c r="MZJ2" s="194"/>
      <c r="MZK2" s="194"/>
      <c r="MZL2" s="194"/>
      <c r="MZM2" s="194"/>
      <c r="MZN2" s="161"/>
      <c r="MZO2" s="195"/>
      <c r="MZP2" s="195"/>
      <c r="MZQ2" s="161"/>
      <c r="MZR2" s="161"/>
      <c r="MZS2" s="161"/>
      <c r="MZT2" s="161"/>
      <c r="MZU2" s="196"/>
      <c r="MZV2" s="196"/>
      <c r="MZW2" s="192"/>
      <c r="MZX2" s="181"/>
      <c r="MZY2" s="180"/>
      <c r="MZZ2" s="197"/>
      <c r="NAA2" s="179"/>
      <c r="NAB2" s="196"/>
      <c r="NAC2" s="179"/>
      <c r="NAD2" s="196"/>
      <c r="NAE2" s="196"/>
      <c r="NAF2" s="161"/>
      <c r="NAG2" s="193"/>
      <c r="NAH2" s="193"/>
      <c r="NAI2" s="194"/>
      <c r="NAJ2" s="194"/>
      <c r="NAK2" s="194"/>
      <c r="NAL2" s="194"/>
      <c r="NAM2" s="194"/>
      <c r="NAN2" s="161"/>
      <c r="NAO2" s="161"/>
      <c r="NAP2" s="194"/>
      <c r="NAQ2" s="161"/>
      <c r="NAR2" s="193"/>
      <c r="NAS2" s="194"/>
      <c r="NAT2" s="161"/>
      <c r="NAU2" s="161"/>
      <c r="NAV2" s="161"/>
      <c r="NAW2" s="194"/>
      <c r="NAX2" s="194"/>
      <c r="NAY2" s="194"/>
      <c r="NAZ2" s="161"/>
      <c r="NBA2" s="194"/>
      <c r="NBB2" s="194"/>
      <c r="NBC2" s="161"/>
      <c r="NBD2" s="194"/>
      <c r="NBE2" s="194"/>
      <c r="NBF2" s="194"/>
      <c r="NBG2" s="194"/>
      <c r="NBH2" s="194"/>
      <c r="NBI2" s="194"/>
      <c r="NBJ2" s="161"/>
      <c r="NBK2" s="195"/>
      <c r="NBL2" s="195"/>
      <c r="NBM2" s="161"/>
      <c r="NBN2" s="161"/>
      <c r="NBO2" s="161"/>
      <c r="NBP2" s="161"/>
      <c r="NBQ2" s="196"/>
      <c r="NBR2" s="196"/>
      <c r="NBS2" s="192"/>
      <c r="NBT2" s="181"/>
      <c r="NBU2" s="180"/>
      <c r="NBV2" s="197"/>
      <c r="NBW2" s="179"/>
      <c r="NBX2" s="196"/>
      <c r="NBY2" s="179"/>
      <c r="NBZ2" s="196"/>
      <c r="NCA2" s="196"/>
      <c r="NCB2" s="161"/>
      <c r="NCC2" s="193"/>
      <c r="NCD2" s="193"/>
      <c r="NCE2" s="194"/>
      <c r="NCF2" s="194"/>
      <c r="NCG2" s="194"/>
      <c r="NCH2" s="194"/>
      <c r="NCI2" s="194"/>
      <c r="NCJ2" s="161"/>
      <c r="NCK2" s="161"/>
      <c r="NCL2" s="194"/>
      <c r="NCM2" s="161"/>
      <c r="NCN2" s="193"/>
      <c r="NCO2" s="194"/>
      <c r="NCP2" s="161"/>
      <c r="NCQ2" s="161"/>
      <c r="NCR2" s="161"/>
      <c r="NCS2" s="194"/>
      <c r="NCT2" s="194"/>
      <c r="NCU2" s="194"/>
      <c r="NCV2" s="161"/>
      <c r="NCW2" s="194"/>
      <c r="NCX2" s="194"/>
      <c r="NCY2" s="161"/>
      <c r="NCZ2" s="194"/>
      <c r="NDA2" s="194"/>
      <c r="NDB2" s="194"/>
      <c r="NDC2" s="194"/>
      <c r="NDD2" s="194"/>
      <c r="NDE2" s="194"/>
      <c r="NDF2" s="161"/>
      <c r="NDG2" s="195"/>
      <c r="NDH2" s="195"/>
      <c r="NDI2" s="161"/>
      <c r="NDJ2" s="161"/>
      <c r="NDK2" s="161"/>
      <c r="NDL2" s="161"/>
      <c r="NDM2" s="196"/>
      <c r="NDN2" s="196"/>
      <c r="NDO2" s="192"/>
      <c r="NDP2" s="181"/>
      <c r="NDQ2" s="180"/>
      <c r="NDR2" s="197"/>
      <c r="NDS2" s="179"/>
      <c r="NDT2" s="196"/>
      <c r="NDU2" s="179"/>
      <c r="NDV2" s="196"/>
      <c r="NDW2" s="196"/>
      <c r="NDX2" s="161"/>
      <c r="NDY2" s="193"/>
      <c r="NDZ2" s="193"/>
      <c r="NEA2" s="194"/>
      <c r="NEB2" s="194"/>
      <c r="NEC2" s="194"/>
      <c r="NED2" s="194"/>
      <c r="NEE2" s="194"/>
      <c r="NEF2" s="161"/>
      <c r="NEG2" s="161"/>
      <c r="NEH2" s="194"/>
      <c r="NEI2" s="161"/>
      <c r="NEJ2" s="193"/>
      <c r="NEK2" s="194"/>
      <c r="NEL2" s="161"/>
      <c r="NEM2" s="161"/>
      <c r="NEN2" s="161"/>
      <c r="NEO2" s="194"/>
      <c r="NEP2" s="194"/>
      <c r="NEQ2" s="194"/>
      <c r="NER2" s="161"/>
      <c r="NES2" s="194"/>
      <c r="NET2" s="194"/>
      <c r="NEU2" s="161"/>
      <c r="NEV2" s="194"/>
      <c r="NEW2" s="194"/>
      <c r="NEX2" s="194"/>
      <c r="NEY2" s="194"/>
      <c r="NEZ2" s="194"/>
      <c r="NFA2" s="194"/>
      <c r="NFB2" s="161"/>
      <c r="NFC2" s="195"/>
      <c r="NFD2" s="195"/>
      <c r="NFE2" s="161"/>
      <c r="NFF2" s="161"/>
      <c r="NFG2" s="161"/>
      <c r="NFH2" s="161"/>
      <c r="NFI2" s="196"/>
      <c r="NFJ2" s="196"/>
      <c r="NFK2" s="192"/>
      <c r="NFL2" s="181"/>
      <c r="NFM2" s="180"/>
      <c r="NFN2" s="197"/>
      <c r="NFO2" s="179"/>
      <c r="NFP2" s="196"/>
      <c r="NFQ2" s="179"/>
      <c r="NFR2" s="196"/>
      <c r="NFS2" s="196"/>
      <c r="NFT2" s="161"/>
      <c r="NFU2" s="193"/>
      <c r="NFV2" s="193"/>
      <c r="NFW2" s="194"/>
      <c r="NFX2" s="194"/>
      <c r="NFY2" s="194"/>
      <c r="NFZ2" s="194"/>
      <c r="NGA2" s="194"/>
      <c r="NGB2" s="161"/>
      <c r="NGC2" s="161"/>
      <c r="NGD2" s="194"/>
      <c r="NGE2" s="161"/>
      <c r="NGF2" s="193"/>
      <c r="NGG2" s="194"/>
      <c r="NGH2" s="161"/>
      <c r="NGI2" s="161"/>
      <c r="NGJ2" s="161"/>
      <c r="NGK2" s="194"/>
      <c r="NGL2" s="194"/>
      <c r="NGM2" s="194"/>
      <c r="NGN2" s="161"/>
      <c r="NGO2" s="194"/>
      <c r="NGP2" s="194"/>
      <c r="NGQ2" s="161"/>
      <c r="NGR2" s="194"/>
      <c r="NGS2" s="194"/>
      <c r="NGT2" s="194"/>
      <c r="NGU2" s="194"/>
      <c r="NGV2" s="194"/>
      <c r="NGW2" s="194"/>
      <c r="NGX2" s="161"/>
      <c r="NGY2" s="195"/>
      <c r="NGZ2" s="195"/>
      <c r="NHA2" s="161"/>
      <c r="NHB2" s="161"/>
      <c r="NHC2" s="161"/>
      <c r="NHD2" s="161"/>
      <c r="NHE2" s="196"/>
      <c r="NHF2" s="196"/>
      <c r="NHG2" s="192"/>
      <c r="NHH2" s="181"/>
      <c r="NHI2" s="180"/>
      <c r="NHJ2" s="197"/>
      <c r="NHK2" s="179"/>
      <c r="NHL2" s="196"/>
      <c r="NHM2" s="179"/>
      <c r="NHN2" s="196"/>
      <c r="NHO2" s="196"/>
      <c r="NHP2" s="161"/>
      <c r="NHQ2" s="193"/>
      <c r="NHR2" s="193"/>
      <c r="NHS2" s="194"/>
      <c r="NHT2" s="194"/>
      <c r="NHU2" s="194"/>
      <c r="NHV2" s="194"/>
      <c r="NHW2" s="194"/>
      <c r="NHX2" s="161"/>
      <c r="NHY2" s="161"/>
      <c r="NHZ2" s="194"/>
      <c r="NIA2" s="161"/>
      <c r="NIB2" s="193"/>
      <c r="NIC2" s="194"/>
      <c r="NID2" s="161"/>
      <c r="NIE2" s="161"/>
      <c r="NIF2" s="161"/>
      <c r="NIG2" s="194"/>
      <c r="NIH2" s="194"/>
      <c r="NII2" s="194"/>
      <c r="NIJ2" s="161"/>
      <c r="NIK2" s="194"/>
      <c r="NIL2" s="194"/>
      <c r="NIM2" s="161"/>
      <c r="NIN2" s="194"/>
      <c r="NIO2" s="194"/>
      <c r="NIP2" s="194"/>
      <c r="NIQ2" s="194"/>
      <c r="NIR2" s="194"/>
      <c r="NIS2" s="194"/>
      <c r="NIT2" s="161"/>
      <c r="NIU2" s="195"/>
      <c r="NIV2" s="195"/>
      <c r="NIW2" s="161"/>
      <c r="NIX2" s="161"/>
      <c r="NIY2" s="161"/>
      <c r="NIZ2" s="161"/>
      <c r="NJA2" s="196"/>
      <c r="NJB2" s="196"/>
      <c r="NJC2" s="192"/>
      <c r="NJD2" s="181"/>
      <c r="NJE2" s="180"/>
      <c r="NJF2" s="197"/>
      <c r="NJG2" s="179"/>
      <c r="NJH2" s="196"/>
      <c r="NJI2" s="179"/>
      <c r="NJJ2" s="196"/>
      <c r="NJK2" s="196"/>
      <c r="NJL2" s="161"/>
      <c r="NJM2" s="193"/>
      <c r="NJN2" s="193"/>
      <c r="NJO2" s="194"/>
      <c r="NJP2" s="194"/>
      <c r="NJQ2" s="194"/>
      <c r="NJR2" s="194"/>
      <c r="NJS2" s="194"/>
      <c r="NJT2" s="161"/>
      <c r="NJU2" s="161"/>
      <c r="NJV2" s="194"/>
      <c r="NJW2" s="161"/>
      <c r="NJX2" s="193"/>
      <c r="NJY2" s="194"/>
      <c r="NJZ2" s="161"/>
      <c r="NKA2" s="161"/>
      <c r="NKB2" s="161"/>
      <c r="NKC2" s="194"/>
      <c r="NKD2" s="194"/>
      <c r="NKE2" s="194"/>
      <c r="NKF2" s="161"/>
      <c r="NKG2" s="194"/>
      <c r="NKH2" s="194"/>
      <c r="NKI2" s="161"/>
      <c r="NKJ2" s="194"/>
      <c r="NKK2" s="194"/>
      <c r="NKL2" s="194"/>
      <c r="NKM2" s="194"/>
      <c r="NKN2" s="194"/>
      <c r="NKO2" s="194"/>
      <c r="NKP2" s="161"/>
      <c r="NKQ2" s="195"/>
      <c r="NKR2" s="195"/>
      <c r="NKS2" s="161"/>
      <c r="NKT2" s="161"/>
      <c r="NKU2" s="161"/>
      <c r="NKV2" s="161"/>
      <c r="NKW2" s="196"/>
      <c r="NKX2" s="196"/>
      <c r="NKY2" s="192"/>
      <c r="NKZ2" s="181"/>
      <c r="NLA2" s="180"/>
      <c r="NLB2" s="197"/>
      <c r="NLC2" s="179"/>
      <c r="NLD2" s="196"/>
      <c r="NLE2" s="179"/>
      <c r="NLF2" s="196"/>
      <c r="NLG2" s="196"/>
      <c r="NLH2" s="161"/>
      <c r="NLI2" s="193"/>
      <c r="NLJ2" s="193"/>
      <c r="NLK2" s="194"/>
      <c r="NLL2" s="194"/>
      <c r="NLM2" s="194"/>
      <c r="NLN2" s="194"/>
      <c r="NLO2" s="194"/>
      <c r="NLP2" s="161"/>
      <c r="NLQ2" s="161"/>
      <c r="NLR2" s="194"/>
      <c r="NLS2" s="161"/>
      <c r="NLT2" s="193"/>
      <c r="NLU2" s="194"/>
      <c r="NLV2" s="161"/>
      <c r="NLW2" s="161"/>
      <c r="NLX2" s="161"/>
      <c r="NLY2" s="194"/>
      <c r="NLZ2" s="194"/>
      <c r="NMA2" s="194"/>
      <c r="NMB2" s="161"/>
      <c r="NMC2" s="194"/>
      <c r="NMD2" s="194"/>
      <c r="NME2" s="161"/>
      <c r="NMF2" s="194"/>
      <c r="NMG2" s="194"/>
      <c r="NMH2" s="194"/>
      <c r="NMI2" s="194"/>
      <c r="NMJ2" s="194"/>
      <c r="NMK2" s="194"/>
      <c r="NML2" s="161"/>
      <c r="NMM2" s="195"/>
      <c r="NMN2" s="195"/>
      <c r="NMO2" s="161"/>
      <c r="NMP2" s="161"/>
      <c r="NMQ2" s="161"/>
      <c r="NMR2" s="161"/>
      <c r="NMS2" s="196"/>
      <c r="NMT2" s="196"/>
      <c r="NMU2" s="192"/>
      <c r="NMV2" s="181"/>
      <c r="NMW2" s="180"/>
      <c r="NMX2" s="197"/>
      <c r="NMY2" s="179"/>
      <c r="NMZ2" s="196"/>
      <c r="NNA2" s="179"/>
      <c r="NNB2" s="196"/>
      <c r="NNC2" s="196"/>
      <c r="NND2" s="161"/>
      <c r="NNE2" s="193"/>
      <c r="NNF2" s="193"/>
      <c r="NNG2" s="194"/>
      <c r="NNH2" s="194"/>
      <c r="NNI2" s="194"/>
      <c r="NNJ2" s="194"/>
      <c r="NNK2" s="194"/>
      <c r="NNL2" s="161"/>
      <c r="NNM2" s="161"/>
      <c r="NNN2" s="194"/>
      <c r="NNO2" s="161"/>
      <c r="NNP2" s="193"/>
      <c r="NNQ2" s="194"/>
      <c r="NNR2" s="161"/>
      <c r="NNS2" s="161"/>
      <c r="NNT2" s="161"/>
      <c r="NNU2" s="194"/>
      <c r="NNV2" s="194"/>
      <c r="NNW2" s="194"/>
      <c r="NNX2" s="161"/>
      <c r="NNY2" s="194"/>
      <c r="NNZ2" s="194"/>
      <c r="NOA2" s="161"/>
      <c r="NOB2" s="194"/>
      <c r="NOC2" s="194"/>
      <c r="NOD2" s="194"/>
      <c r="NOE2" s="194"/>
      <c r="NOF2" s="194"/>
      <c r="NOG2" s="194"/>
      <c r="NOH2" s="161"/>
      <c r="NOI2" s="195"/>
      <c r="NOJ2" s="195"/>
      <c r="NOK2" s="161"/>
      <c r="NOL2" s="161"/>
      <c r="NOM2" s="161"/>
      <c r="NON2" s="161"/>
      <c r="NOO2" s="196"/>
      <c r="NOP2" s="196"/>
      <c r="NOQ2" s="192"/>
      <c r="NOR2" s="181"/>
      <c r="NOS2" s="180"/>
      <c r="NOT2" s="197"/>
      <c r="NOU2" s="179"/>
      <c r="NOV2" s="196"/>
      <c r="NOW2" s="179"/>
      <c r="NOX2" s="196"/>
      <c r="NOY2" s="196"/>
      <c r="NOZ2" s="161"/>
      <c r="NPA2" s="193"/>
      <c r="NPB2" s="193"/>
      <c r="NPC2" s="194"/>
      <c r="NPD2" s="194"/>
      <c r="NPE2" s="194"/>
      <c r="NPF2" s="194"/>
      <c r="NPG2" s="194"/>
      <c r="NPH2" s="161"/>
      <c r="NPI2" s="161"/>
      <c r="NPJ2" s="194"/>
      <c r="NPK2" s="161"/>
      <c r="NPL2" s="193"/>
      <c r="NPM2" s="194"/>
      <c r="NPN2" s="161"/>
      <c r="NPO2" s="161"/>
      <c r="NPP2" s="161"/>
      <c r="NPQ2" s="194"/>
      <c r="NPR2" s="194"/>
      <c r="NPS2" s="194"/>
      <c r="NPT2" s="161"/>
      <c r="NPU2" s="194"/>
      <c r="NPV2" s="194"/>
      <c r="NPW2" s="161"/>
      <c r="NPX2" s="194"/>
      <c r="NPY2" s="194"/>
      <c r="NPZ2" s="194"/>
      <c r="NQA2" s="194"/>
      <c r="NQB2" s="194"/>
      <c r="NQC2" s="194"/>
      <c r="NQD2" s="161"/>
      <c r="NQE2" s="195"/>
      <c r="NQF2" s="195"/>
      <c r="NQG2" s="161"/>
      <c r="NQH2" s="161"/>
      <c r="NQI2" s="161"/>
      <c r="NQJ2" s="161"/>
      <c r="NQK2" s="196"/>
      <c r="NQL2" s="196"/>
      <c r="NQM2" s="192"/>
      <c r="NQN2" s="181"/>
      <c r="NQO2" s="180"/>
      <c r="NQP2" s="197"/>
      <c r="NQQ2" s="179"/>
      <c r="NQR2" s="196"/>
      <c r="NQS2" s="179"/>
      <c r="NQT2" s="196"/>
      <c r="NQU2" s="196"/>
      <c r="NQV2" s="161"/>
      <c r="NQW2" s="193"/>
      <c r="NQX2" s="193"/>
      <c r="NQY2" s="194"/>
      <c r="NQZ2" s="194"/>
      <c r="NRA2" s="194"/>
      <c r="NRB2" s="194"/>
      <c r="NRC2" s="194"/>
      <c r="NRD2" s="161"/>
      <c r="NRE2" s="161"/>
      <c r="NRF2" s="194"/>
      <c r="NRG2" s="161"/>
      <c r="NRH2" s="193"/>
      <c r="NRI2" s="194"/>
      <c r="NRJ2" s="161"/>
      <c r="NRK2" s="161"/>
      <c r="NRL2" s="161"/>
      <c r="NRM2" s="194"/>
      <c r="NRN2" s="194"/>
      <c r="NRO2" s="194"/>
      <c r="NRP2" s="161"/>
      <c r="NRQ2" s="194"/>
      <c r="NRR2" s="194"/>
      <c r="NRS2" s="161"/>
      <c r="NRT2" s="194"/>
      <c r="NRU2" s="194"/>
      <c r="NRV2" s="194"/>
      <c r="NRW2" s="194"/>
      <c r="NRX2" s="194"/>
      <c r="NRY2" s="194"/>
      <c r="NRZ2" s="161"/>
      <c r="NSA2" s="195"/>
      <c r="NSB2" s="195"/>
      <c r="NSC2" s="161"/>
      <c r="NSD2" s="161"/>
      <c r="NSE2" s="161"/>
      <c r="NSF2" s="161"/>
      <c r="NSG2" s="196"/>
      <c r="NSH2" s="196"/>
      <c r="NSI2" s="192"/>
      <c r="NSJ2" s="181"/>
      <c r="NSK2" s="180"/>
      <c r="NSL2" s="197"/>
      <c r="NSM2" s="179"/>
      <c r="NSN2" s="196"/>
      <c r="NSO2" s="179"/>
      <c r="NSP2" s="196"/>
      <c r="NSQ2" s="196"/>
      <c r="NSR2" s="161"/>
      <c r="NSS2" s="193"/>
      <c r="NST2" s="193"/>
      <c r="NSU2" s="194"/>
      <c r="NSV2" s="194"/>
      <c r="NSW2" s="194"/>
      <c r="NSX2" s="194"/>
      <c r="NSY2" s="194"/>
      <c r="NSZ2" s="161"/>
      <c r="NTA2" s="161"/>
      <c r="NTB2" s="194"/>
      <c r="NTC2" s="161"/>
      <c r="NTD2" s="193"/>
      <c r="NTE2" s="194"/>
      <c r="NTF2" s="161"/>
      <c r="NTG2" s="161"/>
      <c r="NTH2" s="161"/>
      <c r="NTI2" s="194"/>
      <c r="NTJ2" s="194"/>
      <c r="NTK2" s="194"/>
      <c r="NTL2" s="161"/>
      <c r="NTM2" s="194"/>
      <c r="NTN2" s="194"/>
      <c r="NTO2" s="161"/>
      <c r="NTP2" s="194"/>
      <c r="NTQ2" s="194"/>
      <c r="NTR2" s="194"/>
      <c r="NTS2" s="194"/>
      <c r="NTT2" s="194"/>
      <c r="NTU2" s="194"/>
      <c r="NTV2" s="161"/>
      <c r="NTW2" s="195"/>
      <c r="NTX2" s="195"/>
      <c r="NTY2" s="161"/>
      <c r="NTZ2" s="161"/>
      <c r="NUA2" s="161"/>
      <c r="NUB2" s="161"/>
      <c r="NUC2" s="196"/>
      <c r="NUD2" s="196"/>
      <c r="NUE2" s="192"/>
      <c r="NUF2" s="181"/>
      <c r="NUG2" s="180"/>
      <c r="NUH2" s="197"/>
      <c r="NUI2" s="179"/>
      <c r="NUJ2" s="196"/>
      <c r="NUK2" s="179"/>
      <c r="NUL2" s="196"/>
      <c r="NUM2" s="196"/>
      <c r="NUN2" s="161"/>
      <c r="NUO2" s="193"/>
      <c r="NUP2" s="193"/>
      <c r="NUQ2" s="194"/>
      <c r="NUR2" s="194"/>
      <c r="NUS2" s="194"/>
      <c r="NUT2" s="194"/>
      <c r="NUU2" s="194"/>
      <c r="NUV2" s="161"/>
      <c r="NUW2" s="161"/>
      <c r="NUX2" s="194"/>
      <c r="NUY2" s="161"/>
      <c r="NUZ2" s="193"/>
      <c r="NVA2" s="194"/>
      <c r="NVB2" s="161"/>
      <c r="NVC2" s="161"/>
      <c r="NVD2" s="161"/>
      <c r="NVE2" s="194"/>
      <c r="NVF2" s="194"/>
      <c r="NVG2" s="194"/>
      <c r="NVH2" s="161"/>
      <c r="NVI2" s="194"/>
      <c r="NVJ2" s="194"/>
      <c r="NVK2" s="161"/>
      <c r="NVL2" s="194"/>
      <c r="NVM2" s="194"/>
      <c r="NVN2" s="194"/>
      <c r="NVO2" s="194"/>
      <c r="NVP2" s="194"/>
      <c r="NVQ2" s="194"/>
      <c r="NVR2" s="161"/>
      <c r="NVS2" s="195"/>
      <c r="NVT2" s="195"/>
      <c r="NVU2" s="161"/>
      <c r="NVV2" s="161"/>
      <c r="NVW2" s="161"/>
      <c r="NVX2" s="161"/>
      <c r="NVY2" s="196"/>
      <c r="NVZ2" s="196"/>
      <c r="NWA2" s="192"/>
      <c r="NWB2" s="181"/>
      <c r="NWC2" s="180"/>
      <c r="NWD2" s="197"/>
      <c r="NWE2" s="179"/>
      <c r="NWF2" s="196"/>
      <c r="NWG2" s="179"/>
      <c r="NWH2" s="196"/>
      <c r="NWI2" s="196"/>
      <c r="NWJ2" s="161"/>
      <c r="NWK2" s="193"/>
      <c r="NWL2" s="193"/>
      <c r="NWM2" s="194"/>
      <c r="NWN2" s="194"/>
      <c r="NWO2" s="194"/>
      <c r="NWP2" s="194"/>
      <c r="NWQ2" s="194"/>
      <c r="NWR2" s="161"/>
      <c r="NWS2" s="161"/>
      <c r="NWT2" s="194"/>
      <c r="NWU2" s="161"/>
      <c r="NWV2" s="193"/>
      <c r="NWW2" s="194"/>
      <c r="NWX2" s="161"/>
      <c r="NWY2" s="161"/>
      <c r="NWZ2" s="161"/>
      <c r="NXA2" s="194"/>
      <c r="NXB2" s="194"/>
      <c r="NXC2" s="194"/>
      <c r="NXD2" s="161"/>
      <c r="NXE2" s="194"/>
      <c r="NXF2" s="194"/>
      <c r="NXG2" s="161"/>
      <c r="NXH2" s="194"/>
      <c r="NXI2" s="194"/>
      <c r="NXJ2" s="194"/>
      <c r="NXK2" s="194"/>
      <c r="NXL2" s="194"/>
      <c r="NXM2" s="194"/>
      <c r="NXN2" s="161"/>
      <c r="NXO2" s="195"/>
      <c r="NXP2" s="195"/>
      <c r="NXQ2" s="161"/>
      <c r="NXR2" s="161"/>
      <c r="NXS2" s="161"/>
      <c r="NXT2" s="161"/>
      <c r="NXU2" s="196"/>
      <c r="NXV2" s="196"/>
      <c r="NXW2" s="192"/>
      <c r="NXX2" s="181"/>
      <c r="NXY2" s="180"/>
      <c r="NXZ2" s="197"/>
      <c r="NYA2" s="179"/>
      <c r="NYB2" s="196"/>
      <c r="NYC2" s="179"/>
      <c r="NYD2" s="196"/>
      <c r="NYE2" s="196"/>
      <c r="NYF2" s="161"/>
      <c r="NYG2" s="193"/>
      <c r="NYH2" s="193"/>
      <c r="NYI2" s="194"/>
      <c r="NYJ2" s="194"/>
      <c r="NYK2" s="194"/>
      <c r="NYL2" s="194"/>
      <c r="NYM2" s="194"/>
      <c r="NYN2" s="161"/>
      <c r="NYO2" s="161"/>
      <c r="NYP2" s="194"/>
      <c r="NYQ2" s="161"/>
      <c r="NYR2" s="193"/>
      <c r="NYS2" s="194"/>
      <c r="NYT2" s="161"/>
      <c r="NYU2" s="161"/>
      <c r="NYV2" s="161"/>
      <c r="NYW2" s="194"/>
      <c r="NYX2" s="194"/>
      <c r="NYY2" s="194"/>
      <c r="NYZ2" s="161"/>
      <c r="NZA2" s="194"/>
      <c r="NZB2" s="194"/>
      <c r="NZC2" s="161"/>
      <c r="NZD2" s="194"/>
      <c r="NZE2" s="194"/>
      <c r="NZF2" s="194"/>
      <c r="NZG2" s="194"/>
      <c r="NZH2" s="194"/>
      <c r="NZI2" s="194"/>
      <c r="NZJ2" s="161"/>
      <c r="NZK2" s="195"/>
      <c r="NZL2" s="195"/>
      <c r="NZM2" s="161"/>
      <c r="NZN2" s="161"/>
      <c r="NZO2" s="161"/>
      <c r="NZP2" s="161"/>
      <c r="NZQ2" s="196"/>
      <c r="NZR2" s="196"/>
      <c r="NZS2" s="192"/>
      <c r="NZT2" s="181"/>
      <c r="NZU2" s="180"/>
      <c r="NZV2" s="197"/>
      <c r="NZW2" s="179"/>
      <c r="NZX2" s="196"/>
      <c r="NZY2" s="179"/>
      <c r="NZZ2" s="196"/>
      <c r="OAA2" s="196"/>
      <c r="OAB2" s="161"/>
      <c r="OAC2" s="193"/>
      <c r="OAD2" s="193"/>
      <c r="OAE2" s="194"/>
      <c r="OAF2" s="194"/>
      <c r="OAG2" s="194"/>
      <c r="OAH2" s="194"/>
      <c r="OAI2" s="194"/>
      <c r="OAJ2" s="161"/>
      <c r="OAK2" s="161"/>
      <c r="OAL2" s="194"/>
      <c r="OAM2" s="161"/>
      <c r="OAN2" s="193"/>
      <c r="OAO2" s="194"/>
      <c r="OAP2" s="161"/>
      <c r="OAQ2" s="161"/>
      <c r="OAR2" s="161"/>
      <c r="OAS2" s="194"/>
      <c r="OAT2" s="194"/>
      <c r="OAU2" s="194"/>
      <c r="OAV2" s="161"/>
      <c r="OAW2" s="194"/>
      <c r="OAX2" s="194"/>
      <c r="OAY2" s="161"/>
      <c r="OAZ2" s="194"/>
      <c r="OBA2" s="194"/>
      <c r="OBB2" s="194"/>
      <c r="OBC2" s="194"/>
      <c r="OBD2" s="194"/>
      <c r="OBE2" s="194"/>
      <c r="OBF2" s="161"/>
      <c r="OBG2" s="195"/>
      <c r="OBH2" s="195"/>
      <c r="OBI2" s="161"/>
      <c r="OBJ2" s="161"/>
      <c r="OBK2" s="161"/>
      <c r="OBL2" s="161"/>
      <c r="OBM2" s="196"/>
      <c r="OBN2" s="196"/>
      <c r="OBO2" s="192"/>
      <c r="OBP2" s="181"/>
      <c r="OBQ2" s="180"/>
      <c r="OBR2" s="197"/>
      <c r="OBS2" s="179"/>
      <c r="OBT2" s="196"/>
      <c r="OBU2" s="179"/>
      <c r="OBV2" s="196"/>
      <c r="OBW2" s="196"/>
      <c r="OBX2" s="161"/>
      <c r="OBY2" s="193"/>
      <c r="OBZ2" s="193"/>
      <c r="OCA2" s="194"/>
      <c r="OCB2" s="194"/>
      <c r="OCC2" s="194"/>
      <c r="OCD2" s="194"/>
      <c r="OCE2" s="194"/>
      <c r="OCF2" s="161"/>
      <c r="OCG2" s="161"/>
      <c r="OCH2" s="194"/>
      <c r="OCI2" s="161"/>
      <c r="OCJ2" s="193"/>
      <c r="OCK2" s="194"/>
      <c r="OCL2" s="161"/>
      <c r="OCM2" s="161"/>
      <c r="OCN2" s="161"/>
      <c r="OCO2" s="194"/>
      <c r="OCP2" s="194"/>
      <c r="OCQ2" s="194"/>
      <c r="OCR2" s="161"/>
      <c r="OCS2" s="194"/>
      <c r="OCT2" s="194"/>
      <c r="OCU2" s="161"/>
      <c r="OCV2" s="194"/>
      <c r="OCW2" s="194"/>
      <c r="OCX2" s="194"/>
      <c r="OCY2" s="194"/>
      <c r="OCZ2" s="194"/>
      <c r="ODA2" s="194"/>
      <c r="ODB2" s="161"/>
      <c r="ODC2" s="195"/>
      <c r="ODD2" s="195"/>
      <c r="ODE2" s="161"/>
      <c r="ODF2" s="161"/>
      <c r="ODG2" s="161"/>
      <c r="ODH2" s="161"/>
      <c r="ODI2" s="196"/>
      <c r="ODJ2" s="196"/>
      <c r="ODK2" s="192"/>
      <c r="ODL2" s="181"/>
      <c r="ODM2" s="180"/>
      <c r="ODN2" s="197"/>
      <c r="ODO2" s="179"/>
      <c r="ODP2" s="196"/>
      <c r="ODQ2" s="179"/>
      <c r="ODR2" s="196"/>
      <c r="ODS2" s="196"/>
      <c r="ODT2" s="161"/>
      <c r="ODU2" s="193"/>
      <c r="ODV2" s="193"/>
      <c r="ODW2" s="194"/>
      <c r="ODX2" s="194"/>
      <c r="ODY2" s="194"/>
      <c r="ODZ2" s="194"/>
      <c r="OEA2" s="194"/>
      <c r="OEB2" s="161"/>
      <c r="OEC2" s="161"/>
      <c r="OED2" s="194"/>
      <c r="OEE2" s="161"/>
      <c r="OEF2" s="193"/>
      <c r="OEG2" s="194"/>
      <c r="OEH2" s="161"/>
      <c r="OEI2" s="161"/>
      <c r="OEJ2" s="161"/>
      <c r="OEK2" s="194"/>
      <c r="OEL2" s="194"/>
      <c r="OEM2" s="194"/>
      <c r="OEN2" s="161"/>
      <c r="OEO2" s="194"/>
      <c r="OEP2" s="194"/>
      <c r="OEQ2" s="161"/>
      <c r="OER2" s="194"/>
      <c r="OES2" s="194"/>
      <c r="OET2" s="194"/>
      <c r="OEU2" s="194"/>
      <c r="OEV2" s="194"/>
      <c r="OEW2" s="194"/>
      <c r="OEX2" s="161"/>
      <c r="OEY2" s="195"/>
      <c r="OEZ2" s="195"/>
      <c r="OFA2" s="161"/>
      <c r="OFB2" s="161"/>
      <c r="OFC2" s="161"/>
      <c r="OFD2" s="161"/>
      <c r="OFE2" s="196"/>
      <c r="OFF2" s="196"/>
      <c r="OFG2" s="192"/>
      <c r="OFH2" s="181"/>
      <c r="OFI2" s="180"/>
      <c r="OFJ2" s="197"/>
      <c r="OFK2" s="179"/>
      <c r="OFL2" s="196"/>
      <c r="OFM2" s="179"/>
      <c r="OFN2" s="196"/>
      <c r="OFO2" s="196"/>
      <c r="OFP2" s="161"/>
      <c r="OFQ2" s="193"/>
      <c r="OFR2" s="193"/>
      <c r="OFS2" s="194"/>
      <c r="OFT2" s="194"/>
      <c r="OFU2" s="194"/>
      <c r="OFV2" s="194"/>
      <c r="OFW2" s="194"/>
      <c r="OFX2" s="161"/>
      <c r="OFY2" s="161"/>
      <c r="OFZ2" s="194"/>
      <c r="OGA2" s="161"/>
      <c r="OGB2" s="193"/>
      <c r="OGC2" s="194"/>
      <c r="OGD2" s="161"/>
      <c r="OGE2" s="161"/>
      <c r="OGF2" s="161"/>
      <c r="OGG2" s="194"/>
      <c r="OGH2" s="194"/>
      <c r="OGI2" s="194"/>
      <c r="OGJ2" s="161"/>
      <c r="OGK2" s="194"/>
      <c r="OGL2" s="194"/>
      <c r="OGM2" s="161"/>
      <c r="OGN2" s="194"/>
      <c r="OGO2" s="194"/>
      <c r="OGP2" s="194"/>
      <c r="OGQ2" s="194"/>
      <c r="OGR2" s="194"/>
      <c r="OGS2" s="194"/>
      <c r="OGT2" s="161"/>
      <c r="OGU2" s="195"/>
      <c r="OGV2" s="195"/>
      <c r="OGW2" s="161"/>
      <c r="OGX2" s="161"/>
      <c r="OGY2" s="161"/>
      <c r="OGZ2" s="161"/>
      <c r="OHA2" s="196"/>
      <c r="OHB2" s="196"/>
      <c r="OHC2" s="192"/>
      <c r="OHD2" s="181"/>
      <c r="OHE2" s="180"/>
      <c r="OHF2" s="197"/>
      <c r="OHG2" s="179"/>
      <c r="OHH2" s="196"/>
      <c r="OHI2" s="179"/>
      <c r="OHJ2" s="196"/>
      <c r="OHK2" s="196"/>
      <c r="OHL2" s="161"/>
      <c r="OHM2" s="193"/>
      <c r="OHN2" s="193"/>
      <c r="OHO2" s="194"/>
      <c r="OHP2" s="194"/>
      <c r="OHQ2" s="194"/>
      <c r="OHR2" s="194"/>
      <c r="OHS2" s="194"/>
      <c r="OHT2" s="161"/>
      <c r="OHU2" s="161"/>
      <c r="OHV2" s="194"/>
      <c r="OHW2" s="161"/>
      <c r="OHX2" s="193"/>
      <c r="OHY2" s="194"/>
      <c r="OHZ2" s="161"/>
      <c r="OIA2" s="161"/>
      <c r="OIB2" s="161"/>
      <c r="OIC2" s="194"/>
      <c r="OID2" s="194"/>
      <c r="OIE2" s="194"/>
      <c r="OIF2" s="161"/>
      <c r="OIG2" s="194"/>
      <c r="OIH2" s="194"/>
      <c r="OII2" s="161"/>
      <c r="OIJ2" s="194"/>
      <c r="OIK2" s="194"/>
      <c r="OIL2" s="194"/>
      <c r="OIM2" s="194"/>
      <c r="OIN2" s="194"/>
      <c r="OIO2" s="194"/>
      <c r="OIP2" s="161"/>
      <c r="OIQ2" s="195"/>
      <c r="OIR2" s="195"/>
      <c r="OIS2" s="161"/>
      <c r="OIT2" s="161"/>
      <c r="OIU2" s="161"/>
      <c r="OIV2" s="161"/>
      <c r="OIW2" s="196"/>
      <c r="OIX2" s="196"/>
      <c r="OIY2" s="192"/>
      <c r="OIZ2" s="181"/>
      <c r="OJA2" s="180"/>
      <c r="OJB2" s="197"/>
      <c r="OJC2" s="179"/>
      <c r="OJD2" s="196"/>
      <c r="OJE2" s="179"/>
      <c r="OJF2" s="196"/>
      <c r="OJG2" s="196"/>
      <c r="OJH2" s="161"/>
      <c r="OJI2" s="193"/>
      <c r="OJJ2" s="193"/>
      <c r="OJK2" s="194"/>
      <c r="OJL2" s="194"/>
      <c r="OJM2" s="194"/>
      <c r="OJN2" s="194"/>
      <c r="OJO2" s="194"/>
      <c r="OJP2" s="161"/>
      <c r="OJQ2" s="161"/>
      <c r="OJR2" s="194"/>
      <c r="OJS2" s="161"/>
      <c r="OJT2" s="193"/>
      <c r="OJU2" s="194"/>
      <c r="OJV2" s="161"/>
      <c r="OJW2" s="161"/>
      <c r="OJX2" s="161"/>
      <c r="OJY2" s="194"/>
      <c r="OJZ2" s="194"/>
      <c r="OKA2" s="194"/>
      <c r="OKB2" s="161"/>
      <c r="OKC2" s="194"/>
      <c r="OKD2" s="194"/>
      <c r="OKE2" s="161"/>
      <c r="OKF2" s="194"/>
      <c r="OKG2" s="194"/>
      <c r="OKH2" s="194"/>
      <c r="OKI2" s="194"/>
      <c r="OKJ2" s="194"/>
      <c r="OKK2" s="194"/>
      <c r="OKL2" s="161"/>
      <c r="OKM2" s="195"/>
      <c r="OKN2" s="195"/>
      <c r="OKO2" s="161"/>
      <c r="OKP2" s="161"/>
      <c r="OKQ2" s="161"/>
      <c r="OKR2" s="161"/>
      <c r="OKS2" s="196"/>
      <c r="OKT2" s="196"/>
      <c r="OKU2" s="192"/>
      <c r="OKV2" s="181"/>
      <c r="OKW2" s="180"/>
      <c r="OKX2" s="197"/>
      <c r="OKY2" s="179"/>
      <c r="OKZ2" s="196"/>
      <c r="OLA2" s="179"/>
      <c r="OLB2" s="196"/>
      <c r="OLC2" s="196"/>
      <c r="OLD2" s="161"/>
      <c r="OLE2" s="193"/>
      <c r="OLF2" s="193"/>
      <c r="OLG2" s="194"/>
      <c r="OLH2" s="194"/>
      <c r="OLI2" s="194"/>
      <c r="OLJ2" s="194"/>
      <c r="OLK2" s="194"/>
      <c r="OLL2" s="161"/>
      <c r="OLM2" s="161"/>
      <c r="OLN2" s="194"/>
      <c r="OLO2" s="161"/>
      <c r="OLP2" s="193"/>
      <c r="OLQ2" s="194"/>
      <c r="OLR2" s="161"/>
      <c r="OLS2" s="161"/>
      <c r="OLT2" s="161"/>
      <c r="OLU2" s="194"/>
      <c r="OLV2" s="194"/>
      <c r="OLW2" s="194"/>
      <c r="OLX2" s="161"/>
      <c r="OLY2" s="194"/>
      <c r="OLZ2" s="194"/>
      <c r="OMA2" s="161"/>
      <c r="OMB2" s="194"/>
      <c r="OMC2" s="194"/>
      <c r="OMD2" s="194"/>
      <c r="OME2" s="194"/>
      <c r="OMF2" s="194"/>
      <c r="OMG2" s="194"/>
      <c r="OMH2" s="161"/>
      <c r="OMI2" s="195"/>
      <c r="OMJ2" s="195"/>
      <c r="OMK2" s="161"/>
      <c r="OML2" s="161"/>
      <c r="OMM2" s="161"/>
      <c r="OMN2" s="161"/>
      <c r="OMO2" s="196"/>
      <c r="OMP2" s="196"/>
      <c r="OMQ2" s="192"/>
      <c r="OMR2" s="181"/>
      <c r="OMS2" s="180"/>
      <c r="OMT2" s="197"/>
      <c r="OMU2" s="179"/>
      <c r="OMV2" s="196"/>
      <c r="OMW2" s="179"/>
      <c r="OMX2" s="196"/>
      <c r="OMY2" s="196"/>
      <c r="OMZ2" s="161"/>
      <c r="ONA2" s="193"/>
      <c r="ONB2" s="193"/>
      <c r="ONC2" s="194"/>
      <c r="OND2" s="194"/>
      <c r="ONE2" s="194"/>
      <c r="ONF2" s="194"/>
      <c r="ONG2" s="194"/>
      <c r="ONH2" s="161"/>
      <c r="ONI2" s="161"/>
      <c r="ONJ2" s="194"/>
      <c r="ONK2" s="161"/>
      <c r="ONL2" s="193"/>
      <c r="ONM2" s="194"/>
      <c r="ONN2" s="161"/>
      <c r="ONO2" s="161"/>
      <c r="ONP2" s="161"/>
      <c r="ONQ2" s="194"/>
      <c r="ONR2" s="194"/>
      <c r="ONS2" s="194"/>
      <c r="ONT2" s="161"/>
      <c r="ONU2" s="194"/>
      <c r="ONV2" s="194"/>
      <c r="ONW2" s="161"/>
      <c r="ONX2" s="194"/>
      <c r="ONY2" s="194"/>
      <c r="ONZ2" s="194"/>
      <c r="OOA2" s="194"/>
      <c r="OOB2" s="194"/>
      <c r="OOC2" s="194"/>
      <c r="OOD2" s="161"/>
      <c r="OOE2" s="195"/>
      <c r="OOF2" s="195"/>
      <c r="OOG2" s="161"/>
      <c r="OOH2" s="161"/>
      <c r="OOI2" s="161"/>
      <c r="OOJ2" s="161"/>
      <c r="OOK2" s="196"/>
      <c r="OOL2" s="196"/>
      <c r="OOM2" s="192"/>
      <c r="OON2" s="181"/>
      <c r="OOO2" s="180"/>
      <c r="OOP2" s="197"/>
      <c r="OOQ2" s="179"/>
      <c r="OOR2" s="196"/>
      <c r="OOS2" s="179"/>
      <c r="OOT2" s="196"/>
      <c r="OOU2" s="196"/>
      <c r="OOV2" s="161"/>
      <c r="OOW2" s="193"/>
      <c r="OOX2" s="193"/>
      <c r="OOY2" s="194"/>
      <c r="OOZ2" s="194"/>
      <c r="OPA2" s="194"/>
      <c r="OPB2" s="194"/>
      <c r="OPC2" s="194"/>
      <c r="OPD2" s="161"/>
      <c r="OPE2" s="161"/>
      <c r="OPF2" s="194"/>
      <c r="OPG2" s="161"/>
      <c r="OPH2" s="193"/>
      <c r="OPI2" s="194"/>
      <c r="OPJ2" s="161"/>
      <c r="OPK2" s="161"/>
      <c r="OPL2" s="161"/>
      <c r="OPM2" s="194"/>
      <c r="OPN2" s="194"/>
      <c r="OPO2" s="194"/>
      <c r="OPP2" s="161"/>
      <c r="OPQ2" s="194"/>
      <c r="OPR2" s="194"/>
      <c r="OPS2" s="161"/>
      <c r="OPT2" s="194"/>
      <c r="OPU2" s="194"/>
      <c r="OPV2" s="194"/>
      <c r="OPW2" s="194"/>
      <c r="OPX2" s="194"/>
      <c r="OPY2" s="194"/>
      <c r="OPZ2" s="161"/>
      <c r="OQA2" s="195"/>
      <c r="OQB2" s="195"/>
      <c r="OQC2" s="161"/>
      <c r="OQD2" s="161"/>
      <c r="OQE2" s="161"/>
      <c r="OQF2" s="161"/>
      <c r="OQG2" s="196"/>
      <c r="OQH2" s="196"/>
      <c r="OQI2" s="192"/>
      <c r="OQJ2" s="181"/>
      <c r="OQK2" s="180"/>
      <c r="OQL2" s="197"/>
      <c r="OQM2" s="179"/>
      <c r="OQN2" s="196"/>
      <c r="OQO2" s="179"/>
      <c r="OQP2" s="196"/>
      <c r="OQQ2" s="196"/>
      <c r="OQR2" s="161"/>
      <c r="OQS2" s="193"/>
      <c r="OQT2" s="193"/>
      <c r="OQU2" s="194"/>
      <c r="OQV2" s="194"/>
      <c r="OQW2" s="194"/>
      <c r="OQX2" s="194"/>
      <c r="OQY2" s="194"/>
      <c r="OQZ2" s="161"/>
      <c r="ORA2" s="161"/>
      <c r="ORB2" s="194"/>
      <c r="ORC2" s="161"/>
      <c r="ORD2" s="193"/>
      <c r="ORE2" s="194"/>
      <c r="ORF2" s="161"/>
      <c r="ORG2" s="161"/>
      <c r="ORH2" s="161"/>
      <c r="ORI2" s="194"/>
      <c r="ORJ2" s="194"/>
      <c r="ORK2" s="194"/>
      <c r="ORL2" s="161"/>
      <c r="ORM2" s="194"/>
      <c r="ORN2" s="194"/>
      <c r="ORO2" s="161"/>
      <c r="ORP2" s="194"/>
      <c r="ORQ2" s="194"/>
      <c r="ORR2" s="194"/>
      <c r="ORS2" s="194"/>
      <c r="ORT2" s="194"/>
      <c r="ORU2" s="194"/>
      <c r="ORV2" s="161"/>
      <c r="ORW2" s="195"/>
      <c r="ORX2" s="195"/>
      <c r="ORY2" s="161"/>
      <c r="ORZ2" s="161"/>
      <c r="OSA2" s="161"/>
      <c r="OSB2" s="161"/>
      <c r="OSC2" s="196"/>
      <c r="OSD2" s="196"/>
      <c r="OSE2" s="192"/>
      <c r="OSF2" s="181"/>
      <c r="OSG2" s="180"/>
      <c r="OSH2" s="197"/>
      <c r="OSI2" s="179"/>
      <c r="OSJ2" s="196"/>
      <c r="OSK2" s="179"/>
      <c r="OSL2" s="196"/>
      <c r="OSM2" s="196"/>
      <c r="OSN2" s="161"/>
      <c r="OSO2" s="193"/>
      <c r="OSP2" s="193"/>
      <c r="OSQ2" s="194"/>
      <c r="OSR2" s="194"/>
      <c r="OSS2" s="194"/>
      <c r="OST2" s="194"/>
      <c r="OSU2" s="194"/>
      <c r="OSV2" s="161"/>
      <c r="OSW2" s="161"/>
      <c r="OSX2" s="194"/>
      <c r="OSY2" s="161"/>
      <c r="OSZ2" s="193"/>
      <c r="OTA2" s="194"/>
      <c r="OTB2" s="161"/>
      <c r="OTC2" s="161"/>
      <c r="OTD2" s="161"/>
      <c r="OTE2" s="194"/>
      <c r="OTF2" s="194"/>
      <c r="OTG2" s="194"/>
      <c r="OTH2" s="161"/>
      <c r="OTI2" s="194"/>
      <c r="OTJ2" s="194"/>
      <c r="OTK2" s="161"/>
      <c r="OTL2" s="194"/>
      <c r="OTM2" s="194"/>
      <c r="OTN2" s="194"/>
      <c r="OTO2" s="194"/>
      <c r="OTP2" s="194"/>
      <c r="OTQ2" s="194"/>
      <c r="OTR2" s="161"/>
      <c r="OTS2" s="195"/>
      <c r="OTT2" s="195"/>
      <c r="OTU2" s="161"/>
      <c r="OTV2" s="161"/>
      <c r="OTW2" s="161"/>
      <c r="OTX2" s="161"/>
      <c r="OTY2" s="196"/>
      <c r="OTZ2" s="196"/>
      <c r="OUA2" s="192"/>
      <c r="OUB2" s="181"/>
      <c r="OUC2" s="180"/>
      <c r="OUD2" s="197"/>
      <c r="OUE2" s="179"/>
      <c r="OUF2" s="196"/>
      <c r="OUG2" s="179"/>
      <c r="OUH2" s="196"/>
      <c r="OUI2" s="196"/>
      <c r="OUJ2" s="161"/>
      <c r="OUK2" s="193"/>
      <c r="OUL2" s="193"/>
      <c r="OUM2" s="194"/>
      <c r="OUN2" s="194"/>
      <c r="OUO2" s="194"/>
      <c r="OUP2" s="194"/>
      <c r="OUQ2" s="194"/>
      <c r="OUR2" s="161"/>
      <c r="OUS2" s="161"/>
      <c r="OUT2" s="194"/>
      <c r="OUU2" s="161"/>
      <c r="OUV2" s="193"/>
      <c r="OUW2" s="194"/>
      <c r="OUX2" s="161"/>
      <c r="OUY2" s="161"/>
      <c r="OUZ2" s="161"/>
      <c r="OVA2" s="194"/>
      <c r="OVB2" s="194"/>
      <c r="OVC2" s="194"/>
      <c r="OVD2" s="161"/>
      <c r="OVE2" s="194"/>
      <c r="OVF2" s="194"/>
      <c r="OVG2" s="161"/>
      <c r="OVH2" s="194"/>
      <c r="OVI2" s="194"/>
      <c r="OVJ2" s="194"/>
      <c r="OVK2" s="194"/>
      <c r="OVL2" s="194"/>
      <c r="OVM2" s="194"/>
      <c r="OVN2" s="161"/>
      <c r="OVO2" s="195"/>
      <c r="OVP2" s="195"/>
      <c r="OVQ2" s="161"/>
      <c r="OVR2" s="161"/>
      <c r="OVS2" s="161"/>
      <c r="OVT2" s="161"/>
      <c r="OVU2" s="196"/>
      <c r="OVV2" s="196"/>
      <c r="OVW2" s="192"/>
      <c r="OVX2" s="181"/>
      <c r="OVY2" s="180"/>
      <c r="OVZ2" s="197"/>
      <c r="OWA2" s="179"/>
      <c r="OWB2" s="196"/>
      <c r="OWC2" s="179"/>
      <c r="OWD2" s="196"/>
      <c r="OWE2" s="196"/>
      <c r="OWF2" s="161"/>
      <c r="OWG2" s="193"/>
      <c r="OWH2" s="193"/>
      <c r="OWI2" s="194"/>
      <c r="OWJ2" s="194"/>
      <c r="OWK2" s="194"/>
      <c r="OWL2" s="194"/>
      <c r="OWM2" s="194"/>
      <c r="OWN2" s="161"/>
      <c r="OWO2" s="161"/>
      <c r="OWP2" s="194"/>
      <c r="OWQ2" s="161"/>
      <c r="OWR2" s="193"/>
      <c r="OWS2" s="194"/>
      <c r="OWT2" s="161"/>
      <c r="OWU2" s="161"/>
      <c r="OWV2" s="161"/>
      <c r="OWW2" s="194"/>
      <c r="OWX2" s="194"/>
      <c r="OWY2" s="194"/>
      <c r="OWZ2" s="161"/>
      <c r="OXA2" s="194"/>
      <c r="OXB2" s="194"/>
      <c r="OXC2" s="161"/>
      <c r="OXD2" s="194"/>
      <c r="OXE2" s="194"/>
      <c r="OXF2" s="194"/>
      <c r="OXG2" s="194"/>
      <c r="OXH2" s="194"/>
      <c r="OXI2" s="194"/>
      <c r="OXJ2" s="161"/>
      <c r="OXK2" s="195"/>
      <c r="OXL2" s="195"/>
      <c r="OXM2" s="161"/>
      <c r="OXN2" s="161"/>
      <c r="OXO2" s="161"/>
      <c r="OXP2" s="161"/>
      <c r="OXQ2" s="196"/>
      <c r="OXR2" s="196"/>
      <c r="OXS2" s="192"/>
      <c r="OXT2" s="181"/>
      <c r="OXU2" s="180"/>
      <c r="OXV2" s="197"/>
      <c r="OXW2" s="179"/>
      <c r="OXX2" s="196"/>
      <c r="OXY2" s="179"/>
      <c r="OXZ2" s="196"/>
      <c r="OYA2" s="196"/>
      <c r="OYB2" s="161"/>
      <c r="OYC2" s="193"/>
      <c r="OYD2" s="193"/>
      <c r="OYE2" s="194"/>
      <c r="OYF2" s="194"/>
      <c r="OYG2" s="194"/>
      <c r="OYH2" s="194"/>
      <c r="OYI2" s="194"/>
      <c r="OYJ2" s="161"/>
      <c r="OYK2" s="161"/>
      <c r="OYL2" s="194"/>
      <c r="OYM2" s="161"/>
      <c r="OYN2" s="193"/>
      <c r="OYO2" s="194"/>
      <c r="OYP2" s="161"/>
      <c r="OYQ2" s="161"/>
      <c r="OYR2" s="161"/>
      <c r="OYS2" s="194"/>
      <c r="OYT2" s="194"/>
      <c r="OYU2" s="194"/>
      <c r="OYV2" s="161"/>
      <c r="OYW2" s="194"/>
      <c r="OYX2" s="194"/>
      <c r="OYY2" s="161"/>
      <c r="OYZ2" s="194"/>
      <c r="OZA2" s="194"/>
      <c r="OZB2" s="194"/>
      <c r="OZC2" s="194"/>
      <c r="OZD2" s="194"/>
      <c r="OZE2" s="194"/>
      <c r="OZF2" s="161"/>
      <c r="OZG2" s="195"/>
      <c r="OZH2" s="195"/>
      <c r="OZI2" s="161"/>
      <c r="OZJ2" s="161"/>
      <c r="OZK2" s="161"/>
      <c r="OZL2" s="161"/>
      <c r="OZM2" s="196"/>
      <c r="OZN2" s="196"/>
      <c r="OZO2" s="192"/>
      <c r="OZP2" s="181"/>
      <c r="OZQ2" s="180"/>
      <c r="OZR2" s="197"/>
      <c r="OZS2" s="179"/>
      <c r="OZT2" s="196"/>
      <c r="OZU2" s="179"/>
      <c r="OZV2" s="196"/>
      <c r="OZW2" s="196"/>
      <c r="OZX2" s="161"/>
      <c r="OZY2" s="193"/>
      <c r="OZZ2" s="193"/>
      <c r="PAA2" s="194"/>
      <c r="PAB2" s="194"/>
      <c r="PAC2" s="194"/>
      <c r="PAD2" s="194"/>
      <c r="PAE2" s="194"/>
      <c r="PAF2" s="161"/>
      <c r="PAG2" s="161"/>
      <c r="PAH2" s="194"/>
      <c r="PAI2" s="161"/>
      <c r="PAJ2" s="193"/>
      <c r="PAK2" s="194"/>
      <c r="PAL2" s="161"/>
      <c r="PAM2" s="161"/>
      <c r="PAN2" s="161"/>
      <c r="PAO2" s="194"/>
      <c r="PAP2" s="194"/>
      <c r="PAQ2" s="194"/>
      <c r="PAR2" s="161"/>
      <c r="PAS2" s="194"/>
      <c r="PAT2" s="194"/>
      <c r="PAU2" s="161"/>
      <c r="PAV2" s="194"/>
      <c r="PAW2" s="194"/>
      <c r="PAX2" s="194"/>
      <c r="PAY2" s="194"/>
      <c r="PAZ2" s="194"/>
      <c r="PBA2" s="194"/>
      <c r="PBB2" s="161"/>
      <c r="PBC2" s="195"/>
      <c r="PBD2" s="195"/>
      <c r="PBE2" s="161"/>
      <c r="PBF2" s="161"/>
      <c r="PBG2" s="161"/>
      <c r="PBH2" s="161"/>
      <c r="PBI2" s="196"/>
      <c r="PBJ2" s="196"/>
      <c r="PBK2" s="192"/>
      <c r="PBL2" s="181"/>
      <c r="PBM2" s="180"/>
      <c r="PBN2" s="197"/>
      <c r="PBO2" s="179"/>
      <c r="PBP2" s="196"/>
      <c r="PBQ2" s="179"/>
      <c r="PBR2" s="196"/>
      <c r="PBS2" s="196"/>
      <c r="PBT2" s="161"/>
      <c r="PBU2" s="193"/>
      <c r="PBV2" s="193"/>
      <c r="PBW2" s="194"/>
      <c r="PBX2" s="194"/>
      <c r="PBY2" s="194"/>
      <c r="PBZ2" s="194"/>
      <c r="PCA2" s="194"/>
      <c r="PCB2" s="161"/>
      <c r="PCC2" s="161"/>
      <c r="PCD2" s="194"/>
      <c r="PCE2" s="161"/>
      <c r="PCF2" s="193"/>
      <c r="PCG2" s="194"/>
      <c r="PCH2" s="161"/>
      <c r="PCI2" s="161"/>
      <c r="PCJ2" s="161"/>
      <c r="PCK2" s="194"/>
      <c r="PCL2" s="194"/>
      <c r="PCM2" s="194"/>
      <c r="PCN2" s="161"/>
      <c r="PCO2" s="194"/>
      <c r="PCP2" s="194"/>
      <c r="PCQ2" s="161"/>
      <c r="PCR2" s="194"/>
      <c r="PCS2" s="194"/>
      <c r="PCT2" s="194"/>
      <c r="PCU2" s="194"/>
      <c r="PCV2" s="194"/>
      <c r="PCW2" s="194"/>
      <c r="PCX2" s="161"/>
      <c r="PCY2" s="195"/>
      <c r="PCZ2" s="195"/>
      <c r="PDA2" s="161"/>
      <c r="PDB2" s="161"/>
      <c r="PDC2" s="161"/>
      <c r="PDD2" s="161"/>
      <c r="PDE2" s="196"/>
      <c r="PDF2" s="196"/>
      <c r="PDG2" s="192"/>
      <c r="PDH2" s="181"/>
      <c r="PDI2" s="180"/>
      <c r="PDJ2" s="197"/>
      <c r="PDK2" s="179"/>
      <c r="PDL2" s="196"/>
      <c r="PDM2" s="179"/>
      <c r="PDN2" s="196"/>
      <c r="PDO2" s="196"/>
      <c r="PDP2" s="161"/>
      <c r="PDQ2" s="193"/>
      <c r="PDR2" s="193"/>
      <c r="PDS2" s="194"/>
      <c r="PDT2" s="194"/>
      <c r="PDU2" s="194"/>
      <c r="PDV2" s="194"/>
      <c r="PDW2" s="194"/>
      <c r="PDX2" s="161"/>
      <c r="PDY2" s="161"/>
      <c r="PDZ2" s="194"/>
      <c r="PEA2" s="161"/>
      <c r="PEB2" s="193"/>
      <c r="PEC2" s="194"/>
      <c r="PED2" s="161"/>
      <c r="PEE2" s="161"/>
      <c r="PEF2" s="161"/>
      <c r="PEG2" s="194"/>
      <c r="PEH2" s="194"/>
      <c r="PEI2" s="194"/>
      <c r="PEJ2" s="161"/>
      <c r="PEK2" s="194"/>
      <c r="PEL2" s="194"/>
      <c r="PEM2" s="161"/>
      <c r="PEN2" s="194"/>
      <c r="PEO2" s="194"/>
      <c r="PEP2" s="194"/>
      <c r="PEQ2" s="194"/>
      <c r="PER2" s="194"/>
      <c r="PES2" s="194"/>
      <c r="PET2" s="161"/>
      <c r="PEU2" s="195"/>
      <c r="PEV2" s="195"/>
      <c r="PEW2" s="161"/>
      <c r="PEX2" s="161"/>
      <c r="PEY2" s="161"/>
      <c r="PEZ2" s="161"/>
      <c r="PFA2" s="196"/>
      <c r="PFB2" s="196"/>
      <c r="PFC2" s="192"/>
      <c r="PFD2" s="181"/>
      <c r="PFE2" s="180"/>
      <c r="PFF2" s="197"/>
      <c r="PFG2" s="179"/>
      <c r="PFH2" s="196"/>
      <c r="PFI2" s="179"/>
      <c r="PFJ2" s="196"/>
      <c r="PFK2" s="196"/>
      <c r="PFL2" s="161"/>
      <c r="PFM2" s="193"/>
      <c r="PFN2" s="193"/>
      <c r="PFO2" s="194"/>
      <c r="PFP2" s="194"/>
      <c r="PFQ2" s="194"/>
      <c r="PFR2" s="194"/>
      <c r="PFS2" s="194"/>
      <c r="PFT2" s="161"/>
      <c r="PFU2" s="161"/>
      <c r="PFV2" s="194"/>
      <c r="PFW2" s="161"/>
      <c r="PFX2" s="193"/>
      <c r="PFY2" s="194"/>
      <c r="PFZ2" s="161"/>
      <c r="PGA2" s="161"/>
      <c r="PGB2" s="161"/>
      <c r="PGC2" s="194"/>
      <c r="PGD2" s="194"/>
      <c r="PGE2" s="194"/>
      <c r="PGF2" s="161"/>
      <c r="PGG2" s="194"/>
      <c r="PGH2" s="194"/>
      <c r="PGI2" s="161"/>
      <c r="PGJ2" s="194"/>
      <c r="PGK2" s="194"/>
      <c r="PGL2" s="194"/>
      <c r="PGM2" s="194"/>
      <c r="PGN2" s="194"/>
      <c r="PGO2" s="194"/>
      <c r="PGP2" s="161"/>
      <c r="PGQ2" s="195"/>
      <c r="PGR2" s="195"/>
      <c r="PGS2" s="161"/>
      <c r="PGT2" s="161"/>
      <c r="PGU2" s="161"/>
      <c r="PGV2" s="161"/>
      <c r="PGW2" s="196"/>
      <c r="PGX2" s="196"/>
      <c r="PGY2" s="192"/>
      <c r="PGZ2" s="181"/>
      <c r="PHA2" s="180"/>
      <c r="PHB2" s="197"/>
      <c r="PHC2" s="179"/>
      <c r="PHD2" s="196"/>
      <c r="PHE2" s="179"/>
      <c r="PHF2" s="196"/>
      <c r="PHG2" s="196"/>
      <c r="PHH2" s="161"/>
      <c r="PHI2" s="193"/>
      <c r="PHJ2" s="193"/>
      <c r="PHK2" s="194"/>
      <c r="PHL2" s="194"/>
      <c r="PHM2" s="194"/>
      <c r="PHN2" s="194"/>
      <c r="PHO2" s="194"/>
      <c r="PHP2" s="161"/>
      <c r="PHQ2" s="161"/>
      <c r="PHR2" s="194"/>
      <c r="PHS2" s="161"/>
      <c r="PHT2" s="193"/>
      <c r="PHU2" s="194"/>
      <c r="PHV2" s="161"/>
      <c r="PHW2" s="161"/>
      <c r="PHX2" s="161"/>
      <c r="PHY2" s="194"/>
      <c r="PHZ2" s="194"/>
      <c r="PIA2" s="194"/>
      <c r="PIB2" s="161"/>
      <c r="PIC2" s="194"/>
      <c r="PID2" s="194"/>
      <c r="PIE2" s="161"/>
      <c r="PIF2" s="194"/>
      <c r="PIG2" s="194"/>
      <c r="PIH2" s="194"/>
      <c r="PII2" s="194"/>
      <c r="PIJ2" s="194"/>
      <c r="PIK2" s="194"/>
      <c r="PIL2" s="161"/>
      <c r="PIM2" s="195"/>
      <c r="PIN2" s="195"/>
      <c r="PIO2" s="161"/>
      <c r="PIP2" s="161"/>
      <c r="PIQ2" s="161"/>
      <c r="PIR2" s="161"/>
      <c r="PIS2" s="196"/>
      <c r="PIT2" s="196"/>
      <c r="PIU2" s="192"/>
      <c r="PIV2" s="181"/>
      <c r="PIW2" s="180"/>
      <c r="PIX2" s="197"/>
      <c r="PIY2" s="179"/>
      <c r="PIZ2" s="196"/>
      <c r="PJA2" s="179"/>
      <c r="PJB2" s="196"/>
      <c r="PJC2" s="196"/>
      <c r="PJD2" s="161"/>
      <c r="PJE2" s="193"/>
      <c r="PJF2" s="193"/>
      <c r="PJG2" s="194"/>
      <c r="PJH2" s="194"/>
      <c r="PJI2" s="194"/>
      <c r="PJJ2" s="194"/>
      <c r="PJK2" s="194"/>
      <c r="PJL2" s="161"/>
      <c r="PJM2" s="161"/>
      <c r="PJN2" s="194"/>
      <c r="PJO2" s="161"/>
      <c r="PJP2" s="193"/>
      <c r="PJQ2" s="194"/>
      <c r="PJR2" s="161"/>
      <c r="PJS2" s="161"/>
      <c r="PJT2" s="161"/>
      <c r="PJU2" s="194"/>
      <c r="PJV2" s="194"/>
      <c r="PJW2" s="194"/>
      <c r="PJX2" s="161"/>
      <c r="PJY2" s="194"/>
      <c r="PJZ2" s="194"/>
      <c r="PKA2" s="161"/>
      <c r="PKB2" s="194"/>
      <c r="PKC2" s="194"/>
      <c r="PKD2" s="194"/>
      <c r="PKE2" s="194"/>
      <c r="PKF2" s="194"/>
      <c r="PKG2" s="194"/>
      <c r="PKH2" s="161"/>
      <c r="PKI2" s="195"/>
      <c r="PKJ2" s="195"/>
      <c r="PKK2" s="161"/>
      <c r="PKL2" s="161"/>
      <c r="PKM2" s="161"/>
      <c r="PKN2" s="161"/>
      <c r="PKO2" s="196"/>
      <c r="PKP2" s="196"/>
      <c r="PKQ2" s="192"/>
      <c r="PKR2" s="181"/>
      <c r="PKS2" s="180"/>
      <c r="PKT2" s="197"/>
      <c r="PKU2" s="179"/>
      <c r="PKV2" s="196"/>
      <c r="PKW2" s="179"/>
      <c r="PKX2" s="196"/>
      <c r="PKY2" s="196"/>
      <c r="PKZ2" s="161"/>
      <c r="PLA2" s="193"/>
      <c r="PLB2" s="193"/>
      <c r="PLC2" s="194"/>
      <c r="PLD2" s="194"/>
      <c r="PLE2" s="194"/>
      <c r="PLF2" s="194"/>
      <c r="PLG2" s="194"/>
      <c r="PLH2" s="161"/>
      <c r="PLI2" s="161"/>
      <c r="PLJ2" s="194"/>
      <c r="PLK2" s="161"/>
      <c r="PLL2" s="193"/>
      <c r="PLM2" s="194"/>
      <c r="PLN2" s="161"/>
      <c r="PLO2" s="161"/>
      <c r="PLP2" s="161"/>
      <c r="PLQ2" s="194"/>
      <c r="PLR2" s="194"/>
      <c r="PLS2" s="194"/>
      <c r="PLT2" s="161"/>
      <c r="PLU2" s="194"/>
      <c r="PLV2" s="194"/>
      <c r="PLW2" s="161"/>
      <c r="PLX2" s="194"/>
      <c r="PLY2" s="194"/>
      <c r="PLZ2" s="194"/>
      <c r="PMA2" s="194"/>
      <c r="PMB2" s="194"/>
      <c r="PMC2" s="194"/>
      <c r="PMD2" s="161"/>
      <c r="PME2" s="195"/>
      <c r="PMF2" s="195"/>
      <c r="PMG2" s="161"/>
      <c r="PMH2" s="161"/>
      <c r="PMI2" s="161"/>
      <c r="PMJ2" s="161"/>
      <c r="PMK2" s="196"/>
      <c r="PML2" s="196"/>
      <c r="PMM2" s="192"/>
      <c r="PMN2" s="181"/>
      <c r="PMO2" s="180"/>
      <c r="PMP2" s="197"/>
      <c r="PMQ2" s="179"/>
      <c r="PMR2" s="196"/>
      <c r="PMS2" s="179"/>
      <c r="PMT2" s="196"/>
      <c r="PMU2" s="196"/>
      <c r="PMV2" s="161"/>
      <c r="PMW2" s="193"/>
      <c r="PMX2" s="193"/>
      <c r="PMY2" s="194"/>
      <c r="PMZ2" s="194"/>
      <c r="PNA2" s="194"/>
      <c r="PNB2" s="194"/>
      <c r="PNC2" s="194"/>
      <c r="PND2" s="161"/>
      <c r="PNE2" s="161"/>
      <c r="PNF2" s="194"/>
      <c r="PNG2" s="161"/>
      <c r="PNH2" s="193"/>
      <c r="PNI2" s="194"/>
      <c r="PNJ2" s="161"/>
      <c r="PNK2" s="161"/>
      <c r="PNL2" s="161"/>
      <c r="PNM2" s="194"/>
      <c r="PNN2" s="194"/>
      <c r="PNO2" s="194"/>
      <c r="PNP2" s="161"/>
      <c r="PNQ2" s="194"/>
      <c r="PNR2" s="194"/>
      <c r="PNS2" s="161"/>
      <c r="PNT2" s="194"/>
      <c r="PNU2" s="194"/>
      <c r="PNV2" s="194"/>
      <c r="PNW2" s="194"/>
      <c r="PNX2" s="194"/>
      <c r="PNY2" s="194"/>
      <c r="PNZ2" s="161"/>
      <c r="POA2" s="195"/>
      <c r="POB2" s="195"/>
      <c r="POC2" s="161"/>
      <c r="POD2" s="161"/>
      <c r="POE2" s="161"/>
      <c r="POF2" s="161"/>
      <c r="POG2" s="196"/>
      <c r="POH2" s="196"/>
      <c r="POI2" s="192"/>
      <c r="POJ2" s="181"/>
      <c r="POK2" s="180"/>
      <c r="POL2" s="197"/>
      <c r="POM2" s="179"/>
      <c r="PON2" s="196"/>
      <c r="POO2" s="179"/>
      <c r="POP2" s="196"/>
      <c r="POQ2" s="196"/>
      <c r="POR2" s="161"/>
      <c r="POS2" s="193"/>
      <c r="POT2" s="193"/>
      <c r="POU2" s="194"/>
      <c r="POV2" s="194"/>
      <c r="POW2" s="194"/>
      <c r="POX2" s="194"/>
      <c r="POY2" s="194"/>
      <c r="POZ2" s="161"/>
      <c r="PPA2" s="161"/>
      <c r="PPB2" s="194"/>
      <c r="PPC2" s="161"/>
      <c r="PPD2" s="193"/>
      <c r="PPE2" s="194"/>
      <c r="PPF2" s="161"/>
      <c r="PPG2" s="161"/>
      <c r="PPH2" s="161"/>
      <c r="PPI2" s="194"/>
      <c r="PPJ2" s="194"/>
      <c r="PPK2" s="194"/>
      <c r="PPL2" s="161"/>
      <c r="PPM2" s="194"/>
      <c r="PPN2" s="194"/>
      <c r="PPO2" s="161"/>
      <c r="PPP2" s="194"/>
      <c r="PPQ2" s="194"/>
      <c r="PPR2" s="194"/>
      <c r="PPS2" s="194"/>
      <c r="PPT2" s="194"/>
      <c r="PPU2" s="194"/>
      <c r="PPV2" s="161"/>
      <c r="PPW2" s="195"/>
      <c r="PPX2" s="195"/>
      <c r="PPY2" s="161"/>
      <c r="PPZ2" s="161"/>
      <c r="PQA2" s="161"/>
      <c r="PQB2" s="161"/>
      <c r="PQC2" s="196"/>
      <c r="PQD2" s="196"/>
      <c r="PQE2" s="192"/>
      <c r="PQF2" s="181"/>
      <c r="PQG2" s="180"/>
      <c r="PQH2" s="197"/>
      <c r="PQI2" s="179"/>
      <c r="PQJ2" s="196"/>
      <c r="PQK2" s="179"/>
      <c r="PQL2" s="196"/>
      <c r="PQM2" s="196"/>
      <c r="PQN2" s="161"/>
      <c r="PQO2" s="193"/>
      <c r="PQP2" s="193"/>
      <c r="PQQ2" s="194"/>
      <c r="PQR2" s="194"/>
      <c r="PQS2" s="194"/>
      <c r="PQT2" s="194"/>
      <c r="PQU2" s="194"/>
      <c r="PQV2" s="161"/>
      <c r="PQW2" s="161"/>
      <c r="PQX2" s="194"/>
      <c r="PQY2" s="161"/>
      <c r="PQZ2" s="193"/>
      <c r="PRA2" s="194"/>
      <c r="PRB2" s="161"/>
      <c r="PRC2" s="161"/>
      <c r="PRD2" s="161"/>
      <c r="PRE2" s="194"/>
      <c r="PRF2" s="194"/>
      <c r="PRG2" s="194"/>
      <c r="PRH2" s="161"/>
      <c r="PRI2" s="194"/>
      <c r="PRJ2" s="194"/>
      <c r="PRK2" s="161"/>
      <c r="PRL2" s="194"/>
      <c r="PRM2" s="194"/>
      <c r="PRN2" s="194"/>
      <c r="PRO2" s="194"/>
      <c r="PRP2" s="194"/>
      <c r="PRQ2" s="194"/>
      <c r="PRR2" s="161"/>
      <c r="PRS2" s="195"/>
      <c r="PRT2" s="195"/>
      <c r="PRU2" s="161"/>
      <c r="PRV2" s="161"/>
      <c r="PRW2" s="161"/>
      <c r="PRX2" s="161"/>
      <c r="PRY2" s="196"/>
      <c r="PRZ2" s="196"/>
      <c r="PSA2" s="192"/>
      <c r="PSB2" s="181"/>
      <c r="PSC2" s="180"/>
      <c r="PSD2" s="197"/>
      <c r="PSE2" s="179"/>
      <c r="PSF2" s="196"/>
      <c r="PSG2" s="179"/>
      <c r="PSH2" s="196"/>
      <c r="PSI2" s="196"/>
      <c r="PSJ2" s="161"/>
      <c r="PSK2" s="193"/>
      <c r="PSL2" s="193"/>
      <c r="PSM2" s="194"/>
      <c r="PSN2" s="194"/>
      <c r="PSO2" s="194"/>
      <c r="PSP2" s="194"/>
      <c r="PSQ2" s="194"/>
      <c r="PSR2" s="161"/>
      <c r="PSS2" s="161"/>
      <c r="PST2" s="194"/>
      <c r="PSU2" s="161"/>
      <c r="PSV2" s="193"/>
      <c r="PSW2" s="194"/>
      <c r="PSX2" s="161"/>
      <c r="PSY2" s="161"/>
      <c r="PSZ2" s="161"/>
      <c r="PTA2" s="194"/>
      <c r="PTB2" s="194"/>
      <c r="PTC2" s="194"/>
      <c r="PTD2" s="161"/>
      <c r="PTE2" s="194"/>
      <c r="PTF2" s="194"/>
      <c r="PTG2" s="161"/>
      <c r="PTH2" s="194"/>
      <c r="PTI2" s="194"/>
      <c r="PTJ2" s="194"/>
      <c r="PTK2" s="194"/>
      <c r="PTL2" s="194"/>
      <c r="PTM2" s="194"/>
      <c r="PTN2" s="161"/>
      <c r="PTO2" s="195"/>
      <c r="PTP2" s="195"/>
      <c r="PTQ2" s="161"/>
      <c r="PTR2" s="161"/>
      <c r="PTS2" s="161"/>
      <c r="PTT2" s="161"/>
      <c r="PTU2" s="196"/>
      <c r="PTV2" s="196"/>
      <c r="PTW2" s="192"/>
      <c r="PTX2" s="181"/>
      <c r="PTY2" s="180"/>
      <c r="PTZ2" s="197"/>
      <c r="PUA2" s="179"/>
      <c r="PUB2" s="196"/>
      <c r="PUC2" s="179"/>
      <c r="PUD2" s="196"/>
      <c r="PUE2" s="196"/>
      <c r="PUF2" s="161"/>
      <c r="PUG2" s="193"/>
      <c r="PUH2" s="193"/>
      <c r="PUI2" s="194"/>
      <c r="PUJ2" s="194"/>
      <c r="PUK2" s="194"/>
      <c r="PUL2" s="194"/>
      <c r="PUM2" s="194"/>
      <c r="PUN2" s="161"/>
      <c r="PUO2" s="161"/>
      <c r="PUP2" s="194"/>
      <c r="PUQ2" s="161"/>
      <c r="PUR2" s="193"/>
      <c r="PUS2" s="194"/>
      <c r="PUT2" s="161"/>
      <c r="PUU2" s="161"/>
      <c r="PUV2" s="161"/>
      <c r="PUW2" s="194"/>
      <c r="PUX2" s="194"/>
      <c r="PUY2" s="194"/>
      <c r="PUZ2" s="161"/>
      <c r="PVA2" s="194"/>
      <c r="PVB2" s="194"/>
      <c r="PVC2" s="161"/>
      <c r="PVD2" s="194"/>
      <c r="PVE2" s="194"/>
      <c r="PVF2" s="194"/>
      <c r="PVG2" s="194"/>
      <c r="PVH2" s="194"/>
      <c r="PVI2" s="194"/>
      <c r="PVJ2" s="161"/>
      <c r="PVK2" s="195"/>
      <c r="PVL2" s="195"/>
      <c r="PVM2" s="161"/>
      <c r="PVN2" s="161"/>
      <c r="PVO2" s="161"/>
      <c r="PVP2" s="161"/>
      <c r="PVQ2" s="196"/>
      <c r="PVR2" s="196"/>
      <c r="PVS2" s="192"/>
      <c r="PVT2" s="181"/>
      <c r="PVU2" s="180"/>
      <c r="PVV2" s="197"/>
      <c r="PVW2" s="179"/>
      <c r="PVX2" s="196"/>
      <c r="PVY2" s="179"/>
      <c r="PVZ2" s="196"/>
      <c r="PWA2" s="196"/>
      <c r="PWB2" s="161"/>
      <c r="PWC2" s="193"/>
      <c r="PWD2" s="193"/>
      <c r="PWE2" s="194"/>
      <c r="PWF2" s="194"/>
      <c r="PWG2" s="194"/>
      <c r="PWH2" s="194"/>
      <c r="PWI2" s="194"/>
      <c r="PWJ2" s="161"/>
      <c r="PWK2" s="161"/>
      <c r="PWL2" s="194"/>
      <c r="PWM2" s="161"/>
      <c r="PWN2" s="193"/>
      <c r="PWO2" s="194"/>
      <c r="PWP2" s="161"/>
      <c r="PWQ2" s="161"/>
      <c r="PWR2" s="161"/>
      <c r="PWS2" s="194"/>
      <c r="PWT2" s="194"/>
      <c r="PWU2" s="194"/>
      <c r="PWV2" s="161"/>
      <c r="PWW2" s="194"/>
      <c r="PWX2" s="194"/>
      <c r="PWY2" s="161"/>
      <c r="PWZ2" s="194"/>
      <c r="PXA2" s="194"/>
      <c r="PXB2" s="194"/>
      <c r="PXC2" s="194"/>
      <c r="PXD2" s="194"/>
      <c r="PXE2" s="194"/>
      <c r="PXF2" s="161"/>
      <c r="PXG2" s="195"/>
      <c r="PXH2" s="195"/>
      <c r="PXI2" s="161"/>
      <c r="PXJ2" s="161"/>
      <c r="PXK2" s="161"/>
      <c r="PXL2" s="161"/>
      <c r="PXM2" s="196"/>
      <c r="PXN2" s="196"/>
      <c r="PXO2" s="192"/>
      <c r="PXP2" s="181"/>
      <c r="PXQ2" s="180"/>
      <c r="PXR2" s="197"/>
      <c r="PXS2" s="179"/>
      <c r="PXT2" s="196"/>
      <c r="PXU2" s="179"/>
      <c r="PXV2" s="196"/>
      <c r="PXW2" s="196"/>
      <c r="PXX2" s="161"/>
      <c r="PXY2" s="193"/>
      <c r="PXZ2" s="193"/>
      <c r="PYA2" s="194"/>
      <c r="PYB2" s="194"/>
      <c r="PYC2" s="194"/>
      <c r="PYD2" s="194"/>
      <c r="PYE2" s="194"/>
      <c r="PYF2" s="161"/>
      <c r="PYG2" s="161"/>
      <c r="PYH2" s="194"/>
      <c r="PYI2" s="161"/>
      <c r="PYJ2" s="193"/>
      <c r="PYK2" s="194"/>
      <c r="PYL2" s="161"/>
      <c r="PYM2" s="161"/>
      <c r="PYN2" s="161"/>
      <c r="PYO2" s="194"/>
      <c r="PYP2" s="194"/>
      <c r="PYQ2" s="194"/>
      <c r="PYR2" s="161"/>
      <c r="PYS2" s="194"/>
      <c r="PYT2" s="194"/>
      <c r="PYU2" s="161"/>
      <c r="PYV2" s="194"/>
      <c r="PYW2" s="194"/>
      <c r="PYX2" s="194"/>
      <c r="PYY2" s="194"/>
      <c r="PYZ2" s="194"/>
      <c r="PZA2" s="194"/>
      <c r="PZB2" s="161"/>
      <c r="PZC2" s="195"/>
      <c r="PZD2" s="195"/>
      <c r="PZE2" s="161"/>
      <c r="PZF2" s="161"/>
      <c r="PZG2" s="161"/>
      <c r="PZH2" s="161"/>
      <c r="PZI2" s="196"/>
      <c r="PZJ2" s="196"/>
      <c r="PZK2" s="192"/>
      <c r="PZL2" s="181"/>
      <c r="PZM2" s="180"/>
      <c r="PZN2" s="197"/>
      <c r="PZO2" s="179"/>
      <c r="PZP2" s="196"/>
      <c r="PZQ2" s="179"/>
      <c r="PZR2" s="196"/>
      <c r="PZS2" s="196"/>
      <c r="PZT2" s="161"/>
      <c r="PZU2" s="193"/>
      <c r="PZV2" s="193"/>
      <c r="PZW2" s="194"/>
      <c r="PZX2" s="194"/>
      <c r="PZY2" s="194"/>
      <c r="PZZ2" s="194"/>
      <c r="QAA2" s="194"/>
      <c r="QAB2" s="161"/>
      <c r="QAC2" s="161"/>
      <c r="QAD2" s="194"/>
      <c r="QAE2" s="161"/>
      <c r="QAF2" s="193"/>
      <c r="QAG2" s="194"/>
      <c r="QAH2" s="161"/>
      <c r="QAI2" s="161"/>
      <c r="QAJ2" s="161"/>
      <c r="QAK2" s="194"/>
      <c r="QAL2" s="194"/>
      <c r="QAM2" s="194"/>
      <c r="QAN2" s="161"/>
      <c r="QAO2" s="194"/>
      <c r="QAP2" s="194"/>
      <c r="QAQ2" s="161"/>
      <c r="QAR2" s="194"/>
      <c r="QAS2" s="194"/>
      <c r="QAT2" s="194"/>
      <c r="QAU2" s="194"/>
      <c r="QAV2" s="194"/>
      <c r="QAW2" s="194"/>
      <c r="QAX2" s="161"/>
      <c r="QAY2" s="195"/>
      <c r="QAZ2" s="195"/>
      <c r="QBA2" s="161"/>
      <c r="QBB2" s="161"/>
      <c r="QBC2" s="161"/>
      <c r="QBD2" s="161"/>
      <c r="QBE2" s="196"/>
      <c r="QBF2" s="196"/>
      <c r="QBG2" s="192"/>
      <c r="QBH2" s="181"/>
      <c r="QBI2" s="180"/>
      <c r="QBJ2" s="197"/>
      <c r="QBK2" s="179"/>
      <c r="QBL2" s="196"/>
      <c r="QBM2" s="179"/>
      <c r="QBN2" s="196"/>
      <c r="QBO2" s="196"/>
      <c r="QBP2" s="161"/>
      <c r="QBQ2" s="193"/>
      <c r="QBR2" s="193"/>
      <c r="QBS2" s="194"/>
      <c r="QBT2" s="194"/>
      <c r="QBU2" s="194"/>
      <c r="QBV2" s="194"/>
      <c r="QBW2" s="194"/>
      <c r="QBX2" s="161"/>
      <c r="QBY2" s="161"/>
      <c r="QBZ2" s="194"/>
      <c r="QCA2" s="161"/>
      <c r="QCB2" s="193"/>
      <c r="QCC2" s="194"/>
      <c r="QCD2" s="161"/>
      <c r="QCE2" s="161"/>
      <c r="QCF2" s="161"/>
      <c r="QCG2" s="194"/>
      <c r="QCH2" s="194"/>
      <c r="QCI2" s="194"/>
      <c r="QCJ2" s="161"/>
      <c r="QCK2" s="194"/>
      <c r="QCL2" s="194"/>
      <c r="QCM2" s="161"/>
      <c r="QCN2" s="194"/>
      <c r="QCO2" s="194"/>
      <c r="QCP2" s="194"/>
      <c r="QCQ2" s="194"/>
      <c r="QCR2" s="194"/>
      <c r="QCS2" s="194"/>
      <c r="QCT2" s="161"/>
      <c r="QCU2" s="195"/>
      <c r="QCV2" s="195"/>
      <c r="QCW2" s="161"/>
      <c r="QCX2" s="161"/>
      <c r="QCY2" s="161"/>
      <c r="QCZ2" s="161"/>
      <c r="QDA2" s="196"/>
      <c r="QDB2" s="196"/>
      <c r="QDC2" s="192"/>
      <c r="QDD2" s="181"/>
      <c r="QDE2" s="180"/>
      <c r="QDF2" s="197"/>
      <c r="QDG2" s="179"/>
      <c r="QDH2" s="196"/>
      <c r="QDI2" s="179"/>
      <c r="QDJ2" s="196"/>
      <c r="QDK2" s="196"/>
      <c r="QDL2" s="161"/>
      <c r="QDM2" s="193"/>
      <c r="QDN2" s="193"/>
      <c r="QDO2" s="194"/>
      <c r="QDP2" s="194"/>
      <c r="QDQ2" s="194"/>
      <c r="QDR2" s="194"/>
      <c r="QDS2" s="194"/>
      <c r="QDT2" s="161"/>
      <c r="QDU2" s="161"/>
      <c r="QDV2" s="194"/>
      <c r="QDW2" s="161"/>
      <c r="QDX2" s="193"/>
      <c r="QDY2" s="194"/>
      <c r="QDZ2" s="161"/>
      <c r="QEA2" s="161"/>
      <c r="QEB2" s="161"/>
      <c r="QEC2" s="194"/>
      <c r="QED2" s="194"/>
      <c r="QEE2" s="194"/>
      <c r="QEF2" s="161"/>
      <c r="QEG2" s="194"/>
      <c r="QEH2" s="194"/>
      <c r="QEI2" s="161"/>
      <c r="QEJ2" s="194"/>
      <c r="QEK2" s="194"/>
      <c r="QEL2" s="194"/>
      <c r="QEM2" s="194"/>
      <c r="QEN2" s="194"/>
      <c r="QEO2" s="194"/>
      <c r="QEP2" s="161"/>
      <c r="QEQ2" s="195"/>
      <c r="QER2" s="195"/>
      <c r="QES2" s="161"/>
      <c r="QET2" s="161"/>
      <c r="QEU2" s="161"/>
      <c r="QEV2" s="161"/>
      <c r="QEW2" s="196"/>
      <c r="QEX2" s="196"/>
      <c r="QEY2" s="192"/>
      <c r="QEZ2" s="181"/>
      <c r="QFA2" s="180"/>
      <c r="QFB2" s="197"/>
      <c r="QFC2" s="179"/>
      <c r="QFD2" s="196"/>
      <c r="QFE2" s="179"/>
      <c r="QFF2" s="196"/>
      <c r="QFG2" s="196"/>
      <c r="QFH2" s="161"/>
      <c r="QFI2" s="193"/>
      <c r="QFJ2" s="193"/>
      <c r="QFK2" s="194"/>
      <c r="QFL2" s="194"/>
      <c r="QFM2" s="194"/>
      <c r="QFN2" s="194"/>
      <c r="QFO2" s="194"/>
      <c r="QFP2" s="161"/>
      <c r="QFQ2" s="161"/>
      <c r="QFR2" s="194"/>
      <c r="QFS2" s="161"/>
      <c r="QFT2" s="193"/>
      <c r="QFU2" s="194"/>
      <c r="QFV2" s="161"/>
      <c r="QFW2" s="161"/>
      <c r="QFX2" s="161"/>
      <c r="QFY2" s="194"/>
      <c r="QFZ2" s="194"/>
      <c r="QGA2" s="194"/>
      <c r="QGB2" s="161"/>
      <c r="QGC2" s="194"/>
      <c r="QGD2" s="194"/>
      <c r="QGE2" s="161"/>
      <c r="QGF2" s="194"/>
      <c r="QGG2" s="194"/>
      <c r="QGH2" s="194"/>
      <c r="QGI2" s="194"/>
      <c r="QGJ2" s="194"/>
      <c r="QGK2" s="194"/>
      <c r="QGL2" s="161"/>
      <c r="QGM2" s="195"/>
      <c r="QGN2" s="195"/>
      <c r="QGO2" s="161"/>
      <c r="QGP2" s="161"/>
      <c r="QGQ2" s="161"/>
      <c r="QGR2" s="161"/>
      <c r="QGS2" s="196"/>
      <c r="QGT2" s="196"/>
      <c r="QGU2" s="192"/>
      <c r="QGV2" s="181"/>
      <c r="QGW2" s="180"/>
      <c r="QGX2" s="197"/>
      <c r="QGY2" s="179"/>
      <c r="QGZ2" s="196"/>
      <c r="QHA2" s="179"/>
      <c r="QHB2" s="196"/>
      <c r="QHC2" s="196"/>
      <c r="QHD2" s="161"/>
      <c r="QHE2" s="193"/>
      <c r="QHF2" s="193"/>
      <c r="QHG2" s="194"/>
      <c r="QHH2" s="194"/>
      <c r="QHI2" s="194"/>
      <c r="QHJ2" s="194"/>
      <c r="QHK2" s="194"/>
      <c r="QHL2" s="161"/>
      <c r="QHM2" s="161"/>
      <c r="QHN2" s="194"/>
      <c r="QHO2" s="161"/>
      <c r="QHP2" s="193"/>
      <c r="QHQ2" s="194"/>
      <c r="QHR2" s="161"/>
      <c r="QHS2" s="161"/>
      <c r="QHT2" s="161"/>
      <c r="QHU2" s="194"/>
      <c r="QHV2" s="194"/>
      <c r="QHW2" s="194"/>
      <c r="QHX2" s="161"/>
      <c r="QHY2" s="194"/>
      <c r="QHZ2" s="194"/>
      <c r="QIA2" s="161"/>
      <c r="QIB2" s="194"/>
      <c r="QIC2" s="194"/>
      <c r="QID2" s="194"/>
      <c r="QIE2" s="194"/>
      <c r="QIF2" s="194"/>
      <c r="QIG2" s="194"/>
      <c r="QIH2" s="161"/>
      <c r="QII2" s="195"/>
      <c r="QIJ2" s="195"/>
      <c r="QIK2" s="161"/>
      <c r="QIL2" s="161"/>
      <c r="QIM2" s="161"/>
      <c r="QIN2" s="161"/>
      <c r="QIO2" s="196"/>
      <c r="QIP2" s="196"/>
      <c r="QIQ2" s="192"/>
      <c r="QIR2" s="181"/>
      <c r="QIS2" s="180"/>
      <c r="QIT2" s="197"/>
      <c r="QIU2" s="179"/>
      <c r="QIV2" s="196"/>
      <c r="QIW2" s="179"/>
      <c r="QIX2" s="196"/>
      <c r="QIY2" s="196"/>
      <c r="QIZ2" s="161"/>
      <c r="QJA2" s="193"/>
      <c r="QJB2" s="193"/>
      <c r="QJC2" s="194"/>
      <c r="QJD2" s="194"/>
      <c r="QJE2" s="194"/>
      <c r="QJF2" s="194"/>
      <c r="QJG2" s="194"/>
      <c r="QJH2" s="161"/>
      <c r="QJI2" s="161"/>
      <c r="QJJ2" s="194"/>
      <c r="QJK2" s="161"/>
      <c r="QJL2" s="193"/>
      <c r="QJM2" s="194"/>
      <c r="QJN2" s="161"/>
      <c r="QJO2" s="161"/>
      <c r="QJP2" s="161"/>
      <c r="QJQ2" s="194"/>
      <c r="QJR2" s="194"/>
      <c r="QJS2" s="194"/>
      <c r="QJT2" s="161"/>
      <c r="QJU2" s="194"/>
      <c r="QJV2" s="194"/>
      <c r="QJW2" s="161"/>
      <c r="QJX2" s="194"/>
      <c r="QJY2" s="194"/>
      <c r="QJZ2" s="194"/>
      <c r="QKA2" s="194"/>
      <c r="QKB2" s="194"/>
      <c r="QKC2" s="194"/>
      <c r="QKD2" s="161"/>
      <c r="QKE2" s="195"/>
      <c r="QKF2" s="195"/>
      <c r="QKG2" s="161"/>
      <c r="QKH2" s="161"/>
      <c r="QKI2" s="161"/>
      <c r="QKJ2" s="161"/>
      <c r="QKK2" s="196"/>
      <c r="QKL2" s="196"/>
      <c r="QKM2" s="192"/>
      <c r="QKN2" s="181"/>
      <c r="QKO2" s="180"/>
      <c r="QKP2" s="197"/>
      <c r="QKQ2" s="179"/>
      <c r="QKR2" s="196"/>
      <c r="QKS2" s="179"/>
      <c r="QKT2" s="196"/>
      <c r="QKU2" s="196"/>
      <c r="QKV2" s="161"/>
      <c r="QKW2" s="193"/>
      <c r="QKX2" s="193"/>
      <c r="QKY2" s="194"/>
      <c r="QKZ2" s="194"/>
      <c r="QLA2" s="194"/>
      <c r="QLB2" s="194"/>
      <c r="QLC2" s="194"/>
      <c r="QLD2" s="161"/>
      <c r="QLE2" s="161"/>
      <c r="QLF2" s="194"/>
      <c r="QLG2" s="161"/>
      <c r="QLH2" s="193"/>
      <c r="QLI2" s="194"/>
      <c r="QLJ2" s="161"/>
      <c r="QLK2" s="161"/>
      <c r="QLL2" s="161"/>
      <c r="QLM2" s="194"/>
      <c r="QLN2" s="194"/>
      <c r="QLO2" s="194"/>
      <c r="QLP2" s="161"/>
      <c r="QLQ2" s="194"/>
      <c r="QLR2" s="194"/>
      <c r="QLS2" s="161"/>
      <c r="QLT2" s="194"/>
      <c r="QLU2" s="194"/>
      <c r="QLV2" s="194"/>
      <c r="QLW2" s="194"/>
      <c r="QLX2" s="194"/>
      <c r="QLY2" s="194"/>
      <c r="QLZ2" s="161"/>
      <c r="QMA2" s="195"/>
      <c r="QMB2" s="195"/>
      <c r="QMC2" s="161"/>
      <c r="QMD2" s="161"/>
      <c r="QME2" s="161"/>
      <c r="QMF2" s="161"/>
      <c r="QMG2" s="196"/>
      <c r="QMH2" s="196"/>
      <c r="QMI2" s="192"/>
      <c r="QMJ2" s="181"/>
      <c r="QMK2" s="180"/>
      <c r="QML2" s="197"/>
      <c r="QMM2" s="179"/>
      <c r="QMN2" s="196"/>
      <c r="QMO2" s="179"/>
      <c r="QMP2" s="196"/>
      <c r="QMQ2" s="196"/>
      <c r="QMR2" s="161"/>
      <c r="QMS2" s="193"/>
      <c r="QMT2" s="193"/>
      <c r="QMU2" s="194"/>
      <c r="QMV2" s="194"/>
      <c r="QMW2" s="194"/>
      <c r="QMX2" s="194"/>
      <c r="QMY2" s="194"/>
      <c r="QMZ2" s="161"/>
      <c r="QNA2" s="161"/>
      <c r="QNB2" s="194"/>
      <c r="QNC2" s="161"/>
      <c r="QND2" s="193"/>
      <c r="QNE2" s="194"/>
      <c r="QNF2" s="161"/>
      <c r="QNG2" s="161"/>
      <c r="QNH2" s="161"/>
      <c r="QNI2" s="194"/>
      <c r="QNJ2" s="194"/>
      <c r="QNK2" s="194"/>
      <c r="QNL2" s="161"/>
      <c r="QNM2" s="194"/>
      <c r="QNN2" s="194"/>
      <c r="QNO2" s="161"/>
      <c r="QNP2" s="194"/>
      <c r="QNQ2" s="194"/>
      <c r="QNR2" s="194"/>
      <c r="QNS2" s="194"/>
      <c r="QNT2" s="194"/>
      <c r="QNU2" s="194"/>
      <c r="QNV2" s="161"/>
      <c r="QNW2" s="195"/>
      <c r="QNX2" s="195"/>
      <c r="QNY2" s="161"/>
      <c r="QNZ2" s="161"/>
      <c r="QOA2" s="161"/>
      <c r="QOB2" s="161"/>
      <c r="QOC2" s="196"/>
      <c r="QOD2" s="196"/>
      <c r="QOE2" s="192"/>
      <c r="QOF2" s="181"/>
      <c r="QOG2" s="180"/>
      <c r="QOH2" s="197"/>
      <c r="QOI2" s="179"/>
      <c r="QOJ2" s="196"/>
      <c r="QOK2" s="179"/>
      <c r="QOL2" s="196"/>
      <c r="QOM2" s="196"/>
      <c r="QON2" s="161"/>
      <c r="QOO2" s="193"/>
      <c r="QOP2" s="193"/>
      <c r="QOQ2" s="194"/>
      <c r="QOR2" s="194"/>
      <c r="QOS2" s="194"/>
      <c r="QOT2" s="194"/>
      <c r="QOU2" s="194"/>
      <c r="QOV2" s="161"/>
      <c r="QOW2" s="161"/>
      <c r="QOX2" s="194"/>
      <c r="QOY2" s="161"/>
      <c r="QOZ2" s="193"/>
      <c r="QPA2" s="194"/>
      <c r="QPB2" s="161"/>
      <c r="QPC2" s="161"/>
      <c r="QPD2" s="161"/>
      <c r="QPE2" s="194"/>
      <c r="QPF2" s="194"/>
      <c r="QPG2" s="194"/>
      <c r="QPH2" s="161"/>
      <c r="QPI2" s="194"/>
      <c r="QPJ2" s="194"/>
      <c r="QPK2" s="161"/>
      <c r="QPL2" s="194"/>
      <c r="QPM2" s="194"/>
      <c r="QPN2" s="194"/>
      <c r="QPO2" s="194"/>
      <c r="QPP2" s="194"/>
      <c r="QPQ2" s="194"/>
      <c r="QPR2" s="161"/>
      <c r="QPS2" s="195"/>
      <c r="QPT2" s="195"/>
      <c r="QPU2" s="161"/>
      <c r="QPV2" s="161"/>
      <c r="QPW2" s="161"/>
      <c r="QPX2" s="161"/>
      <c r="QPY2" s="196"/>
      <c r="QPZ2" s="196"/>
      <c r="QQA2" s="192"/>
      <c r="QQB2" s="181"/>
      <c r="QQC2" s="180"/>
      <c r="QQD2" s="197"/>
      <c r="QQE2" s="179"/>
      <c r="QQF2" s="196"/>
      <c r="QQG2" s="179"/>
      <c r="QQH2" s="196"/>
      <c r="QQI2" s="196"/>
      <c r="QQJ2" s="161"/>
      <c r="QQK2" s="193"/>
      <c r="QQL2" s="193"/>
      <c r="QQM2" s="194"/>
      <c r="QQN2" s="194"/>
      <c r="QQO2" s="194"/>
      <c r="QQP2" s="194"/>
      <c r="QQQ2" s="194"/>
      <c r="QQR2" s="161"/>
      <c r="QQS2" s="161"/>
      <c r="QQT2" s="194"/>
      <c r="QQU2" s="161"/>
      <c r="QQV2" s="193"/>
      <c r="QQW2" s="194"/>
      <c r="QQX2" s="161"/>
      <c r="QQY2" s="161"/>
      <c r="QQZ2" s="161"/>
      <c r="QRA2" s="194"/>
      <c r="QRB2" s="194"/>
      <c r="QRC2" s="194"/>
      <c r="QRD2" s="161"/>
      <c r="QRE2" s="194"/>
      <c r="QRF2" s="194"/>
      <c r="QRG2" s="161"/>
      <c r="QRH2" s="194"/>
      <c r="QRI2" s="194"/>
      <c r="QRJ2" s="194"/>
      <c r="QRK2" s="194"/>
      <c r="QRL2" s="194"/>
      <c r="QRM2" s="194"/>
      <c r="QRN2" s="161"/>
      <c r="QRO2" s="195"/>
      <c r="QRP2" s="195"/>
      <c r="QRQ2" s="161"/>
      <c r="QRR2" s="161"/>
      <c r="QRS2" s="161"/>
      <c r="QRT2" s="161"/>
      <c r="QRU2" s="196"/>
      <c r="QRV2" s="196"/>
      <c r="QRW2" s="192"/>
      <c r="QRX2" s="181"/>
      <c r="QRY2" s="180"/>
      <c r="QRZ2" s="197"/>
      <c r="QSA2" s="179"/>
      <c r="QSB2" s="196"/>
      <c r="QSC2" s="179"/>
      <c r="QSD2" s="196"/>
      <c r="QSE2" s="196"/>
      <c r="QSF2" s="161"/>
      <c r="QSG2" s="193"/>
      <c r="QSH2" s="193"/>
      <c r="QSI2" s="194"/>
      <c r="QSJ2" s="194"/>
      <c r="QSK2" s="194"/>
      <c r="QSL2" s="194"/>
      <c r="QSM2" s="194"/>
      <c r="QSN2" s="161"/>
      <c r="QSO2" s="161"/>
      <c r="QSP2" s="194"/>
      <c r="QSQ2" s="161"/>
      <c r="QSR2" s="193"/>
      <c r="QSS2" s="194"/>
      <c r="QST2" s="161"/>
      <c r="QSU2" s="161"/>
      <c r="QSV2" s="161"/>
      <c r="QSW2" s="194"/>
      <c r="QSX2" s="194"/>
      <c r="QSY2" s="194"/>
      <c r="QSZ2" s="161"/>
      <c r="QTA2" s="194"/>
      <c r="QTB2" s="194"/>
      <c r="QTC2" s="161"/>
      <c r="QTD2" s="194"/>
      <c r="QTE2" s="194"/>
      <c r="QTF2" s="194"/>
      <c r="QTG2" s="194"/>
      <c r="QTH2" s="194"/>
      <c r="QTI2" s="194"/>
      <c r="QTJ2" s="161"/>
      <c r="QTK2" s="195"/>
      <c r="QTL2" s="195"/>
      <c r="QTM2" s="161"/>
      <c r="QTN2" s="161"/>
      <c r="QTO2" s="161"/>
      <c r="QTP2" s="161"/>
      <c r="QTQ2" s="196"/>
      <c r="QTR2" s="196"/>
      <c r="QTS2" s="192"/>
      <c r="QTT2" s="181"/>
      <c r="QTU2" s="180"/>
      <c r="QTV2" s="197"/>
      <c r="QTW2" s="179"/>
      <c r="QTX2" s="196"/>
      <c r="QTY2" s="179"/>
      <c r="QTZ2" s="196"/>
      <c r="QUA2" s="196"/>
      <c r="QUB2" s="161"/>
      <c r="QUC2" s="193"/>
      <c r="QUD2" s="193"/>
      <c r="QUE2" s="194"/>
      <c r="QUF2" s="194"/>
      <c r="QUG2" s="194"/>
      <c r="QUH2" s="194"/>
      <c r="QUI2" s="194"/>
      <c r="QUJ2" s="161"/>
      <c r="QUK2" s="161"/>
      <c r="QUL2" s="194"/>
      <c r="QUM2" s="161"/>
      <c r="QUN2" s="193"/>
      <c r="QUO2" s="194"/>
      <c r="QUP2" s="161"/>
      <c r="QUQ2" s="161"/>
      <c r="QUR2" s="161"/>
      <c r="QUS2" s="194"/>
      <c r="QUT2" s="194"/>
      <c r="QUU2" s="194"/>
      <c r="QUV2" s="161"/>
      <c r="QUW2" s="194"/>
      <c r="QUX2" s="194"/>
      <c r="QUY2" s="161"/>
      <c r="QUZ2" s="194"/>
      <c r="QVA2" s="194"/>
      <c r="QVB2" s="194"/>
      <c r="QVC2" s="194"/>
      <c r="QVD2" s="194"/>
      <c r="QVE2" s="194"/>
      <c r="QVF2" s="161"/>
      <c r="QVG2" s="195"/>
      <c r="QVH2" s="195"/>
      <c r="QVI2" s="161"/>
      <c r="QVJ2" s="161"/>
      <c r="QVK2" s="161"/>
      <c r="QVL2" s="161"/>
      <c r="QVM2" s="196"/>
      <c r="QVN2" s="196"/>
      <c r="QVO2" s="192"/>
      <c r="QVP2" s="181"/>
      <c r="QVQ2" s="180"/>
      <c r="QVR2" s="197"/>
      <c r="QVS2" s="179"/>
      <c r="QVT2" s="196"/>
      <c r="QVU2" s="179"/>
      <c r="QVV2" s="196"/>
      <c r="QVW2" s="196"/>
      <c r="QVX2" s="161"/>
      <c r="QVY2" s="193"/>
      <c r="QVZ2" s="193"/>
      <c r="QWA2" s="194"/>
      <c r="QWB2" s="194"/>
      <c r="QWC2" s="194"/>
      <c r="QWD2" s="194"/>
      <c r="QWE2" s="194"/>
      <c r="QWF2" s="161"/>
      <c r="QWG2" s="161"/>
      <c r="QWH2" s="194"/>
      <c r="QWI2" s="161"/>
      <c r="QWJ2" s="193"/>
      <c r="QWK2" s="194"/>
      <c r="QWL2" s="161"/>
      <c r="QWM2" s="161"/>
      <c r="QWN2" s="161"/>
      <c r="QWO2" s="194"/>
      <c r="QWP2" s="194"/>
      <c r="QWQ2" s="194"/>
      <c r="QWR2" s="161"/>
      <c r="QWS2" s="194"/>
      <c r="QWT2" s="194"/>
      <c r="QWU2" s="161"/>
      <c r="QWV2" s="194"/>
      <c r="QWW2" s="194"/>
      <c r="QWX2" s="194"/>
      <c r="QWY2" s="194"/>
      <c r="QWZ2" s="194"/>
      <c r="QXA2" s="194"/>
      <c r="QXB2" s="161"/>
      <c r="QXC2" s="195"/>
      <c r="QXD2" s="195"/>
      <c r="QXE2" s="161"/>
      <c r="QXF2" s="161"/>
      <c r="QXG2" s="161"/>
      <c r="QXH2" s="161"/>
      <c r="QXI2" s="196"/>
      <c r="QXJ2" s="196"/>
      <c r="QXK2" s="192"/>
      <c r="QXL2" s="181"/>
      <c r="QXM2" s="180"/>
      <c r="QXN2" s="197"/>
      <c r="QXO2" s="179"/>
      <c r="QXP2" s="196"/>
      <c r="QXQ2" s="179"/>
      <c r="QXR2" s="196"/>
      <c r="QXS2" s="196"/>
      <c r="QXT2" s="161"/>
      <c r="QXU2" s="193"/>
      <c r="QXV2" s="193"/>
      <c r="QXW2" s="194"/>
      <c r="QXX2" s="194"/>
      <c r="QXY2" s="194"/>
      <c r="QXZ2" s="194"/>
      <c r="QYA2" s="194"/>
      <c r="QYB2" s="161"/>
      <c r="QYC2" s="161"/>
      <c r="QYD2" s="194"/>
      <c r="QYE2" s="161"/>
      <c r="QYF2" s="193"/>
      <c r="QYG2" s="194"/>
      <c r="QYH2" s="161"/>
      <c r="QYI2" s="161"/>
      <c r="QYJ2" s="161"/>
      <c r="QYK2" s="194"/>
      <c r="QYL2" s="194"/>
      <c r="QYM2" s="194"/>
      <c r="QYN2" s="161"/>
      <c r="QYO2" s="194"/>
      <c r="QYP2" s="194"/>
      <c r="QYQ2" s="161"/>
      <c r="QYR2" s="194"/>
      <c r="QYS2" s="194"/>
      <c r="QYT2" s="194"/>
      <c r="QYU2" s="194"/>
      <c r="QYV2" s="194"/>
      <c r="QYW2" s="194"/>
      <c r="QYX2" s="161"/>
      <c r="QYY2" s="195"/>
      <c r="QYZ2" s="195"/>
      <c r="QZA2" s="161"/>
      <c r="QZB2" s="161"/>
      <c r="QZC2" s="161"/>
      <c r="QZD2" s="161"/>
      <c r="QZE2" s="196"/>
      <c r="QZF2" s="196"/>
      <c r="QZG2" s="192"/>
      <c r="QZH2" s="181"/>
      <c r="QZI2" s="180"/>
      <c r="QZJ2" s="197"/>
      <c r="QZK2" s="179"/>
      <c r="QZL2" s="196"/>
      <c r="QZM2" s="179"/>
      <c r="QZN2" s="196"/>
      <c r="QZO2" s="196"/>
      <c r="QZP2" s="161"/>
      <c r="QZQ2" s="193"/>
      <c r="QZR2" s="193"/>
      <c r="QZS2" s="194"/>
      <c r="QZT2" s="194"/>
      <c r="QZU2" s="194"/>
      <c r="QZV2" s="194"/>
      <c r="QZW2" s="194"/>
      <c r="QZX2" s="161"/>
      <c r="QZY2" s="161"/>
      <c r="QZZ2" s="194"/>
      <c r="RAA2" s="161"/>
      <c r="RAB2" s="193"/>
      <c r="RAC2" s="194"/>
      <c r="RAD2" s="161"/>
      <c r="RAE2" s="161"/>
      <c r="RAF2" s="161"/>
      <c r="RAG2" s="194"/>
      <c r="RAH2" s="194"/>
      <c r="RAI2" s="194"/>
      <c r="RAJ2" s="161"/>
      <c r="RAK2" s="194"/>
      <c r="RAL2" s="194"/>
      <c r="RAM2" s="161"/>
      <c r="RAN2" s="194"/>
      <c r="RAO2" s="194"/>
      <c r="RAP2" s="194"/>
      <c r="RAQ2" s="194"/>
      <c r="RAR2" s="194"/>
      <c r="RAS2" s="194"/>
      <c r="RAT2" s="161"/>
      <c r="RAU2" s="195"/>
      <c r="RAV2" s="195"/>
      <c r="RAW2" s="161"/>
      <c r="RAX2" s="161"/>
      <c r="RAY2" s="161"/>
      <c r="RAZ2" s="161"/>
      <c r="RBA2" s="196"/>
      <c r="RBB2" s="196"/>
      <c r="RBC2" s="192"/>
      <c r="RBD2" s="181"/>
      <c r="RBE2" s="180"/>
      <c r="RBF2" s="197"/>
      <c r="RBG2" s="179"/>
      <c r="RBH2" s="196"/>
      <c r="RBI2" s="179"/>
      <c r="RBJ2" s="196"/>
      <c r="RBK2" s="196"/>
      <c r="RBL2" s="161"/>
      <c r="RBM2" s="193"/>
      <c r="RBN2" s="193"/>
      <c r="RBO2" s="194"/>
      <c r="RBP2" s="194"/>
      <c r="RBQ2" s="194"/>
      <c r="RBR2" s="194"/>
      <c r="RBS2" s="194"/>
      <c r="RBT2" s="161"/>
      <c r="RBU2" s="161"/>
      <c r="RBV2" s="194"/>
      <c r="RBW2" s="161"/>
      <c r="RBX2" s="193"/>
      <c r="RBY2" s="194"/>
      <c r="RBZ2" s="161"/>
      <c r="RCA2" s="161"/>
      <c r="RCB2" s="161"/>
      <c r="RCC2" s="194"/>
      <c r="RCD2" s="194"/>
      <c r="RCE2" s="194"/>
      <c r="RCF2" s="161"/>
      <c r="RCG2" s="194"/>
      <c r="RCH2" s="194"/>
      <c r="RCI2" s="161"/>
      <c r="RCJ2" s="194"/>
      <c r="RCK2" s="194"/>
      <c r="RCL2" s="194"/>
      <c r="RCM2" s="194"/>
      <c r="RCN2" s="194"/>
      <c r="RCO2" s="194"/>
      <c r="RCP2" s="161"/>
      <c r="RCQ2" s="195"/>
      <c r="RCR2" s="195"/>
      <c r="RCS2" s="161"/>
      <c r="RCT2" s="161"/>
      <c r="RCU2" s="161"/>
      <c r="RCV2" s="161"/>
      <c r="RCW2" s="196"/>
      <c r="RCX2" s="196"/>
      <c r="RCY2" s="192"/>
      <c r="RCZ2" s="181"/>
      <c r="RDA2" s="180"/>
      <c r="RDB2" s="197"/>
      <c r="RDC2" s="179"/>
      <c r="RDD2" s="196"/>
      <c r="RDE2" s="179"/>
      <c r="RDF2" s="196"/>
      <c r="RDG2" s="196"/>
      <c r="RDH2" s="161"/>
      <c r="RDI2" s="193"/>
      <c r="RDJ2" s="193"/>
      <c r="RDK2" s="194"/>
      <c r="RDL2" s="194"/>
      <c r="RDM2" s="194"/>
      <c r="RDN2" s="194"/>
      <c r="RDO2" s="194"/>
      <c r="RDP2" s="161"/>
      <c r="RDQ2" s="161"/>
      <c r="RDR2" s="194"/>
      <c r="RDS2" s="161"/>
      <c r="RDT2" s="193"/>
      <c r="RDU2" s="194"/>
      <c r="RDV2" s="161"/>
      <c r="RDW2" s="161"/>
      <c r="RDX2" s="161"/>
      <c r="RDY2" s="194"/>
      <c r="RDZ2" s="194"/>
      <c r="REA2" s="194"/>
      <c r="REB2" s="161"/>
      <c r="REC2" s="194"/>
      <c r="RED2" s="194"/>
      <c r="REE2" s="161"/>
      <c r="REF2" s="194"/>
      <c r="REG2" s="194"/>
      <c r="REH2" s="194"/>
      <c r="REI2" s="194"/>
      <c r="REJ2" s="194"/>
      <c r="REK2" s="194"/>
      <c r="REL2" s="161"/>
      <c r="REM2" s="195"/>
      <c r="REN2" s="195"/>
      <c r="REO2" s="161"/>
      <c r="REP2" s="161"/>
      <c r="REQ2" s="161"/>
      <c r="RER2" s="161"/>
      <c r="RES2" s="196"/>
      <c r="RET2" s="196"/>
      <c r="REU2" s="192"/>
      <c r="REV2" s="181"/>
      <c r="REW2" s="180"/>
      <c r="REX2" s="197"/>
      <c r="REY2" s="179"/>
      <c r="REZ2" s="196"/>
      <c r="RFA2" s="179"/>
      <c r="RFB2" s="196"/>
      <c r="RFC2" s="196"/>
      <c r="RFD2" s="161"/>
      <c r="RFE2" s="193"/>
      <c r="RFF2" s="193"/>
      <c r="RFG2" s="194"/>
      <c r="RFH2" s="194"/>
      <c r="RFI2" s="194"/>
      <c r="RFJ2" s="194"/>
      <c r="RFK2" s="194"/>
      <c r="RFL2" s="161"/>
      <c r="RFM2" s="161"/>
      <c r="RFN2" s="194"/>
      <c r="RFO2" s="161"/>
      <c r="RFP2" s="193"/>
      <c r="RFQ2" s="194"/>
      <c r="RFR2" s="161"/>
      <c r="RFS2" s="161"/>
      <c r="RFT2" s="161"/>
      <c r="RFU2" s="194"/>
      <c r="RFV2" s="194"/>
      <c r="RFW2" s="194"/>
      <c r="RFX2" s="161"/>
      <c r="RFY2" s="194"/>
      <c r="RFZ2" s="194"/>
      <c r="RGA2" s="161"/>
      <c r="RGB2" s="194"/>
      <c r="RGC2" s="194"/>
      <c r="RGD2" s="194"/>
      <c r="RGE2" s="194"/>
      <c r="RGF2" s="194"/>
      <c r="RGG2" s="194"/>
      <c r="RGH2" s="161"/>
      <c r="RGI2" s="195"/>
      <c r="RGJ2" s="195"/>
      <c r="RGK2" s="161"/>
      <c r="RGL2" s="161"/>
      <c r="RGM2" s="161"/>
      <c r="RGN2" s="161"/>
      <c r="RGO2" s="196"/>
      <c r="RGP2" s="196"/>
      <c r="RGQ2" s="192"/>
      <c r="RGR2" s="181"/>
      <c r="RGS2" s="180"/>
      <c r="RGT2" s="197"/>
      <c r="RGU2" s="179"/>
      <c r="RGV2" s="196"/>
      <c r="RGW2" s="179"/>
      <c r="RGX2" s="196"/>
      <c r="RGY2" s="196"/>
      <c r="RGZ2" s="161"/>
      <c r="RHA2" s="193"/>
      <c r="RHB2" s="193"/>
      <c r="RHC2" s="194"/>
      <c r="RHD2" s="194"/>
      <c r="RHE2" s="194"/>
      <c r="RHF2" s="194"/>
      <c r="RHG2" s="194"/>
      <c r="RHH2" s="161"/>
      <c r="RHI2" s="161"/>
      <c r="RHJ2" s="194"/>
      <c r="RHK2" s="161"/>
      <c r="RHL2" s="193"/>
      <c r="RHM2" s="194"/>
      <c r="RHN2" s="161"/>
      <c r="RHO2" s="161"/>
      <c r="RHP2" s="161"/>
      <c r="RHQ2" s="194"/>
      <c r="RHR2" s="194"/>
      <c r="RHS2" s="194"/>
      <c r="RHT2" s="161"/>
      <c r="RHU2" s="194"/>
      <c r="RHV2" s="194"/>
      <c r="RHW2" s="161"/>
      <c r="RHX2" s="194"/>
      <c r="RHY2" s="194"/>
      <c r="RHZ2" s="194"/>
      <c r="RIA2" s="194"/>
      <c r="RIB2" s="194"/>
      <c r="RIC2" s="194"/>
      <c r="RID2" s="161"/>
      <c r="RIE2" s="195"/>
      <c r="RIF2" s="195"/>
      <c r="RIG2" s="161"/>
      <c r="RIH2" s="161"/>
      <c r="RII2" s="161"/>
      <c r="RIJ2" s="161"/>
      <c r="RIK2" s="196"/>
      <c r="RIL2" s="196"/>
      <c r="RIM2" s="192"/>
      <c r="RIN2" s="181"/>
      <c r="RIO2" s="180"/>
      <c r="RIP2" s="197"/>
      <c r="RIQ2" s="179"/>
      <c r="RIR2" s="196"/>
      <c r="RIS2" s="179"/>
      <c r="RIT2" s="196"/>
      <c r="RIU2" s="196"/>
      <c r="RIV2" s="161"/>
      <c r="RIW2" s="193"/>
      <c r="RIX2" s="193"/>
      <c r="RIY2" s="194"/>
      <c r="RIZ2" s="194"/>
      <c r="RJA2" s="194"/>
      <c r="RJB2" s="194"/>
      <c r="RJC2" s="194"/>
      <c r="RJD2" s="161"/>
      <c r="RJE2" s="161"/>
      <c r="RJF2" s="194"/>
      <c r="RJG2" s="161"/>
      <c r="RJH2" s="193"/>
      <c r="RJI2" s="194"/>
      <c r="RJJ2" s="161"/>
      <c r="RJK2" s="161"/>
      <c r="RJL2" s="161"/>
      <c r="RJM2" s="194"/>
      <c r="RJN2" s="194"/>
      <c r="RJO2" s="194"/>
      <c r="RJP2" s="161"/>
      <c r="RJQ2" s="194"/>
      <c r="RJR2" s="194"/>
      <c r="RJS2" s="161"/>
      <c r="RJT2" s="194"/>
      <c r="RJU2" s="194"/>
      <c r="RJV2" s="194"/>
      <c r="RJW2" s="194"/>
      <c r="RJX2" s="194"/>
      <c r="RJY2" s="194"/>
      <c r="RJZ2" s="161"/>
      <c r="RKA2" s="195"/>
      <c r="RKB2" s="195"/>
      <c r="RKC2" s="161"/>
      <c r="RKD2" s="161"/>
      <c r="RKE2" s="161"/>
      <c r="RKF2" s="161"/>
      <c r="RKG2" s="196"/>
      <c r="RKH2" s="196"/>
      <c r="RKI2" s="192"/>
      <c r="RKJ2" s="181"/>
      <c r="RKK2" s="180"/>
      <c r="RKL2" s="197"/>
      <c r="RKM2" s="179"/>
      <c r="RKN2" s="196"/>
      <c r="RKO2" s="179"/>
      <c r="RKP2" s="196"/>
      <c r="RKQ2" s="196"/>
      <c r="RKR2" s="161"/>
      <c r="RKS2" s="193"/>
      <c r="RKT2" s="193"/>
      <c r="RKU2" s="194"/>
      <c r="RKV2" s="194"/>
      <c r="RKW2" s="194"/>
      <c r="RKX2" s="194"/>
      <c r="RKY2" s="194"/>
      <c r="RKZ2" s="161"/>
      <c r="RLA2" s="161"/>
      <c r="RLB2" s="194"/>
      <c r="RLC2" s="161"/>
      <c r="RLD2" s="193"/>
      <c r="RLE2" s="194"/>
      <c r="RLF2" s="161"/>
      <c r="RLG2" s="161"/>
      <c r="RLH2" s="161"/>
      <c r="RLI2" s="194"/>
      <c r="RLJ2" s="194"/>
      <c r="RLK2" s="194"/>
      <c r="RLL2" s="161"/>
      <c r="RLM2" s="194"/>
      <c r="RLN2" s="194"/>
      <c r="RLO2" s="161"/>
      <c r="RLP2" s="194"/>
      <c r="RLQ2" s="194"/>
      <c r="RLR2" s="194"/>
      <c r="RLS2" s="194"/>
      <c r="RLT2" s="194"/>
      <c r="RLU2" s="194"/>
      <c r="RLV2" s="161"/>
      <c r="RLW2" s="195"/>
      <c r="RLX2" s="195"/>
      <c r="RLY2" s="161"/>
      <c r="RLZ2" s="161"/>
      <c r="RMA2" s="161"/>
      <c r="RMB2" s="161"/>
      <c r="RMC2" s="196"/>
      <c r="RMD2" s="196"/>
      <c r="RME2" s="192"/>
      <c r="RMF2" s="181"/>
      <c r="RMG2" s="180"/>
      <c r="RMH2" s="197"/>
      <c r="RMI2" s="179"/>
      <c r="RMJ2" s="196"/>
      <c r="RMK2" s="179"/>
      <c r="RML2" s="196"/>
      <c r="RMM2" s="196"/>
      <c r="RMN2" s="161"/>
      <c r="RMO2" s="193"/>
      <c r="RMP2" s="193"/>
      <c r="RMQ2" s="194"/>
      <c r="RMR2" s="194"/>
      <c r="RMS2" s="194"/>
      <c r="RMT2" s="194"/>
      <c r="RMU2" s="194"/>
      <c r="RMV2" s="161"/>
      <c r="RMW2" s="161"/>
      <c r="RMX2" s="194"/>
      <c r="RMY2" s="161"/>
      <c r="RMZ2" s="193"/>
      <c r="RNA2" s="194"/>
      <c r="RNB2" s="161"/>
      <c r="RNC2" s="161"/>
      <c r="RND2" s="161"/>
      <c r="RNE2" s="194"/>
      <c r="RNF2" s="194"/>
      <c r="RNG2" s="194"/>
      <c r="RNH2" s="161"/>
      <c r="RNI2" s="194"/>
      <c r="RNJ2" s="194"/>
      <c r="RNK2" s="161"/>
      <c r="RNL2" s="194"/>
      <c r="RNM2" s="194"/>
      <c r="RNN2" s="194"/>
      <c r="RNO2" s="194"/>
      <c r="RNP2" s="194"/>
      <c r="RNQ2" s="194"/>
      <c r="RNR2" s="161"/>
      <c r="RNS2" s="195"/>
      <c r="RNT2" s="195"/>
      <c r="RNU2" s="161"/>
      <c r="RNV2" s="161"/>
      <c r="RNW2" s="161"/>
      <c r="RNX2" s="161"/>
      <c r="RNY2" s="196"/>
      <c r="RNZ2" s="196"/>
      <c r="ROA2" s="192"/>
      <c r="ROB2" s="181"/>
      <c r="ROC2" s="180"/>
      <c r="ROD2" s="197"/>
      <c r="ROE2" s="179"/>
      <c r="ROF2" s="196"/>
      <c r="ROG2" s="179"/>
      <c r="ROH2" s="196"/>
      <c r="ROI2" s="196"/>
      <c r="ROJ2" s="161"/>
      <c r="ROK2" s="193"/>
      <c r="ROL2" s="193"/>
      <c r="ROM2" s="194"/>
      <c r="RON2" s="194"/>
      <c r="ROO2" s="194"/>
      <c r="ROP2" s="194"/>
      <c r="ROQ2" s="194"/>
      <c r="ROR2" s="161"/>
      <c r="ROS2" s="161"/>
      <c r="ROT2" s="194"/>
      <c r="ROU2" s="161"/>
      <c r="ROV2" s="193"/>
      <c r="ROW2" s="194"/>
      <c r="ROX2" s="161"/>
      <c r="ROY2" s="161"/>
      <c r="ROZ2" s="161"/>
      <c r="RPA2" s="194"/>
      <c r="RPB2" s="194"/>
      <c r="RPC2" s="194"/>
      <c r="RPD2" s="161"/>
      <c r="RPE2" s="194"/>
      <c r="RPF2" s="194"/>
      <c r="RPG2" s="161"/>
      <c r="RPH2" s="194"/>
      <c r="RPI2" s="194"/>
      <c r="RPJ2" s="194"/>
      <c r="RPK2" s="194"/>
      <c r="RPL2" s="194"/>
      <c r="RPM2" s="194"/>
      <c r="RPN2" s="161"/>
      <c r="RPO2" s="195"/>
      <c r="RPP2" s="195"/>
      <c r="RPQ2" s="161"/>
      <c r="RPR2" s="161"/>
      <c r="RPS2" s="161"/>
      <c r="RPT2" s="161"/>
      <c r="RPU2" s="196"/>
      <c r="RPV2" s="196"/>
      <c r="RPW2" s="192"/>
      <c r="RPX2" s="181"/>
      <c r="RPY2" s="180"/>
      <c r="RPZ2" s="197"/>
      <c r="RQA2" s="179"/>
      <c r="RQB2" s="196"/>
      <c r="RQC2" s="179"/>
      <c r="RQD2" s="196"/>
      <c r="RQE2" s="196"/>
      <c r="RQF2" s="161"/>
      <c r="RQG2" s="193"/>
      <c r="RQH2" s="193"/>
      <c r="RQI2" s="194"/>
      <c r="RQJ2" s="194"/>
      <c r="RQK2" s="194"/>
      <c r="RQL2" s="194"/>
      <c r="RQM2" s="194"/>
      <c r="RQN2" s="161"/>
      <c r="RQO2" s="161"/>
      <c r="RQP2" s="194"/>
      <c r="RQQ2" s="161"/>
      <c r="RQR2" s="193"/>
      <c r="RQS2" s="194"/>
      <c r="RQT2" s="161"/>
      <c r="RQU2" s="161"/>
      <c r="RQV2" s="161"/>
      <c r="RQW2" s="194"/>
      <c r="RQX2" s="194"/>
      <c r="RQY2" s="194"/>
      <c r="RQZ2" s="161"/>
      <c r="RRA2" s="194"/>
      <c r="RRB2" s="194"/>
      <c r="RRC2" s="161"/>
      <c r="RRD2" s="194"/>
      <c r="RRE2" s="194"/>
      <c r="RRF2" s="194"/>
      <c r="RRG2" s="194"/>
      <c r="RRH2" s="194"/>
      <c r="RRI2" s="194"/>
      <c r="RRJ2" s="161"/>
      <c r="RRK2" s="195"/>
      <c r="RRL2" s="195"/>
      <c r="RRM2" s="161"/>
      <c r="RRN2" s="161"/>
      <c r="RRO2" s="161"/>
      <c r="RRP2" s="161"/>
      <c r="RRQ2" s="196"/>
      <c r="RRR2" s="196"/>
      <c r="RRS2" s="192"/>
      <c r="RRT2" s="181"/>
      <c r="RRU2" s="180"/>
      <c r="RRV2" s="197"/>
      <c r="RRW2" s="179"/>
      <c r="RRX2" s="196"/>
      <c r="RRY2" s="179"/>
      <c r="RRZ2" s="196"/>
      <c r="RSA2" s="196"/>
      <c r="RSB2" s="161"/>
      <c r="RSC2" s="193"/>
      <c r="RSD2" s="193"/>
      <c r="RSE2" s="194"/>
      <c r="RSF2" s="194"/>
      <c r="RSG2" s="194"/>
      <c r="RSH2" s="194"/>
      <c r="RSI2" s="194"/>
      <c r="RSJ2" s="161"/>
      <c r="RSK2" s="161"/>
      <c r="RSL2" s="194"/>
      <c r="RSM2" s="161"/>
      <c r="RSN2" s="193"/>
      <c r="RSO2" s="194"/>
      <c r="RSP2" s="161"/>
      <c r="RSQ2" s="161"/>
      <c r="RSR2" s="161"/>
      <c r="RSS2" s="194"/>
      <c r="RST2" s="194"/>
      <c r="RSU2" s="194"/>
      <c r="RSV2" s="161"/>
      <c r="RSW2" s="194"/>
      <c r="RSX2" s="194"/>
      <c r="RSY2" s="161"/>
      <c r="RSZ2" s="194"/>
      <c r="RTA2" s="194"/>
      <c r="RTB2" s="194"/>
      <c r="RTC2" s="194"/>
      <c r="RTD2" s="194"/>
      <c r="RTE2" s="194"/>
      <c r="RTF2" s="161"/>
      <c r="RTG2" s="195"/>
      <c r="RTH2" s="195"/>
      <c r="RTI2" s="161"/>
      <c r="RTJ2" s="161"/>
      <c r="RTK2" s="161"/>
      <c r="RTL2" s="161"/>
      <c r="RTM2" s="196"/>
      <c r="RTN2" s="196"/>
      <c r="RTO2" s="192"/>
      <c r="RTP2" s="181"/>
      <c r="RTQ2" s="180"/>
      <c r="RTR2" s="197"/>
      <c r="RTS2" s="179"/>
      <c r="RTT2" s="196"/>
      <c r="RTU2" s="179"/>
      <c r="RTV2" s="196"/>
      <c r="RTW2" s="196"/>
      <c r="RTX2" s="161"/>
      <c r="RTY2" s="193"/>
      <c r="RTZ2" s="193"/>
      <c r="RUA2" s="194"/>
      <c r="RUB2" s="194"/>
      <c r="RUC2" s="194"/>
      <c r="RUD2" s="194"/>
      <c r="RUE2" s="194"/>
      <c r="RUF2" s="161"/>
      <c r="RUG2" s="161"/>
      <c r="RUH2" s="194"/>
      <c r="RUI2" s="161"/>
      <c r="RUJ2" s="193"/>
      <c r="RUK2" s="194"/>
      <c r="RUL2" s="161"/>
      <c r="RUM2" s="161"/>
      <c r="RUN2" s="161"/>
      <c r="RUO2" s="194"/>
      <c r="RUP2" s="194"/>
      <c r="RUQ2" s="194"/>
      <c r="RUR2" s="161"/>
      <c r="RUS2" s="194"/>
      <c r="RUT2" s="194"/>
      <c r="RUU2" s="161"/>
      <c r="RUV2" s="194"/>
      <c r="RUW2" s="194"/>
      <c r="RUX2" s="194"/>
      <c r="RUY2" s="194"/>
      <c r="RUZ2" s="194"/>
      <c r="RVA2" s="194"/>
      <c r="RVB2" s="161"/>
      <c r="RVC2" s="195"/>
      <c r="RVD2" s="195"/>
      <c r="RVE2" s="161"/>
      <c r="RVF2" s="161"/>
      <c r="RVG2" s="161"/>
      <c r="RVH2" s="161"/>
      <c r="RVI2" s="196"/>
      <c r="RVJ2" s="196"/>
      <c r="RVK2" s="192"/>
      <c r="RVL2" s="181"/>
      <c r="RVM2" s="180"/>
      <c r="RVN2" s="197"/>
      <c r="RVO2" s="179"/>
      <c r="RVP2" s="196"/>
      <c r="RVQ2" s="179"/>
      <c r="RVR2" s="196"/>
      <c r="RVS2" s="196"/>
      <c r="RVT2" s="161"/>
      <c r="RVU2" s="193"/>
      <c r="RVV2" s="193"/>
      <c r="RVW2" s="194"/>
      <c r="RVX2" s="194"/>
      <c r="RVY2" s="194"/>
      <c r="RVZ2" s="194"/>
      <c r="RWA2" s="194"/>
      <c r="RWB2" s="161"/>
      <c r="RWC2" s="161"/>
      <c r="RWD2" s="194"/>
      <c r="RWE2" s="161"/>
      <c r="RWF2" s="193"/>
      <c r="RWG2" s="194"/>
      <c r="RWH2" s="161"/>
      <c r="RWI2" s="161"/>
      <c r="RWJ2" s="161"/>
      <c r="RWK2" s="194"/>
      <c r="RWL2" s="194"/>
      <c r="RWM2" s="194"/>
      <c r="RWN2" s="161"/>
      <c r="RWO2" s="194"/>
      <c r="RWP2" s="194"/>
      <c r="RWQ2" s="161"/>
      <c r="RWR2" s="194"/>
      <c r="RWS2" s="194"/>
      <c r="RWT2" s="194"/>
      <c r="RWU2" s="194"/>
      <c r="RWV2" s="194"/>
      <c r="RWW2" s="194"/>
      <c r="RWX2" s="161"/>
      <c r="RWY2" s="195"/>
      <c r="RWZ2" s="195"/>
      <c r="RXA2" s="161"/>
      <c r="RXB2" s="161"/>
      <c r="RXC2" s="161"/>
      <c r="RXD2" s="161"/>
      <c r="RXE2" s="196"/>
      <c r="RXF2" s="196"/>
      <c r="RXG2" s="192"/>
      <c r="RXH2" s="181"/>
      <c r="RXI2" s="180"/>
      <c r="RXJ2" s="197"/>
      <c r="RXK2" s="179"/>
      <c r="RXL2" s="196"/>
      <c r="RXM2" s="179"/>
      <c r="RXN2" s="196"/>
      <c r="RXO2" s="196"/>
      <c r="RXP2" s="161"/>
      <c r="RXQ2" s="193"/>
      <c r="RXR2" s="193"/>
      <c r="RXS2" s="194"/>
      <c r="RXT2" s="194"/>
      <c r="RXU2" s="194"/>
      <c r="RXV2" s="194"/>
      <c r="RXW2" s="194"/>
      <c r="RXX2" s="161"/>
      <c r="RXY2" s="161"/>
      <c r="RXZ2" s="194"/>
      <c r="RYA2" s="161"/>
      <c r="RYB2" s="193"/>
      <c r="RYC2" s="194"/>
      <c r="RYD2" s="161"/>
      <c r="RYE2" s="161"/>
      <c r="RYF2" s="161"/>
      <c r="RYG2" s="194"/>
      <c r="RYH2" s="194"/>
      <c r="RYI2" s="194"/>
      <c r="RYJ2" s="161"/>
      <c r="RYK2" s="194"/>
      <c r="RYL2" s="194"/>
      <c r="RYM2" s="161"/>
      <c r="RYN2" s="194"/>
      <c r="RYO2" s="194"/>
      <c r="RYP2" s="194"/>
      <c r="RYQ2" s="194"/>
      <c r="RYR2" s="194"/>
      <c r="RYS2" s="194"/>
      <c r="RYT2" s="161"/>
      <c r="RYU2" s="195"/>
      <c r="RYV2" s="195"/>
      <c r="RYW2" s="161"/>
      <c r="RYX2" s="161"/>
      <c r="RYY2" s="161"/>
      <c r="RYZ2" s="161"/>
      <c r="RZA2" s="196"/>
      <c r="RZB2" s="196"/>
      <c r="RZC2" s="192"/>
      <c r="RZD2" s="181"/>
      <c r="RZE2" s="180"/>
      <c r="RZF2" s="197"/>
      <c r="RZG2" s="179"/>
      <c r="RZH2" s="196"/>
      <c r="RZI2" s="179"/>
      <c r="RZJ2" s="196"/>
      <c r="RZK2" s="196"/>
      <c r="RZL2" s="161"/>
      <c r="RZM2" s="193"/>
      <c r="RZN2" s="193"/>
      <c r="RZO2" s="194"/>
      <c r="RZP2" s="194"/>
      <c r="RZQ2" s="194"/>
      <c r="RZR2" s="194"/>
      <c r="RZS2" s="194"/>
      <c r="RZT2" s="161"/>
      <c r="RZU2" s="161"/>
      <c r="RZV2" s="194"/>
      <c r="RZW2" s="161"/>
      <c r="RZX2" s="193"/>
      <c r="RZY2" s="194"/>
      <c r="RZZ2" s="161"/>
      <c r="SAA2" s="161"/>
      <c r="SAB2" s="161"/>
      <c r="SAC2" s="194"/>
      <c r="SAD2" s="194"/>
      <c r="SAE2" s="194"/>
      <c r="SAF2" s="161"/>
      <c r="SAG2" s="194"/>
      <c r="SAH2" s="194"/>
      <c r="SAI2" s="161"/>
      <c r="SAJ2" s="194"/>
      <c r="SAK2" s="194"/>
      <c r="SAL2" s="194"/>
      <c r="SAM2" s="194"/>
      <c r="SAN2" s="194"/>
      <c r="SAO2" s="194"/>
      <c r="SAP2" s="161"/>
      <c r="SAQ2" s="195"/>
      <c r="SAR2" s="195"/>
      <c r="SAS2" s="161"/>
      <c r="SAT2" s="161"/>
      <c r="SAU2" s="161"/>
      <c r="SAV2" s="161"/>
      <c r="SAW2" s="196"/>
      <c r="SAX2" s="196"/>
      <c r="SAY2" s="192"/>
      <c r="SAZ2" s="181"/>
      <c r="SBA2" s="180"/>
      <c r="SBB2" s="197"/>
      <c r="SBC2" s="179"/>
      <c r="SBD2" s="196"/>
      <c r="SBE2" s="179"/>
      <c r="SBF2" s="196"/>
      <c r="SBG2" s="196"/>
      <c r="SBH2" s="161"/>
      <c r="SBI2" s="193"/>
      <c r="SBJ2" s="193"/>
      <c r="SBK2" s="194"/>
      <c r="SBL2" s="194"/>
      <c r="SBM2" s="194"/>
      <c r="SBN2" s="194"/>
      <c r="SBO2" s="194"/>
      <c r="SBP2" s="161"/>
      <c r="SBQ2" s="161"/>
      <c r="SBR2" s="194"/>
      <c r="SBS2" s="161"/>
      <c r="SBT2" s="193"/>
      <c r="SBU2" s="194"/>
      <c r="SBV2" s="161"/>
      <c r="SBW2" s="161"/>
      <c r="SBX2" s="161"/>
      <c r="SBY2" s="194"/>
      <c r="SBZ2" s="194"/>
      <c r="SCA2" s="194"/>
      <c r="SCB2" s="161"/>
      <c r="SCC2" s="194"/>
      <c r="SCD2" s="194"/>
      <c r="SCE2" s="161"/>
      <c r="SCF2" s="194"/>
      <c r="SCG2" s="194"/>
      <c r="SCH2" s="194"/>
      <c r="SCI2" s="194"/>
      <c r="SCJ2" s="194"/>
      <c r="SCK2" s="194"/>
      <c r="SCL2" s="161"/>
      <c r="SCM2" s="195"/>
      <c r="SCN2" s="195"/>
      <c r="SCO2" s="161"/>
      <c r="SCP2" s="161"/>
      <c r="SCQ2" s="161"/>
      <c r="SCR2" s="161"/>
      <c r="SCS2" s="196"/>
      <c r="SCT2" s="196"/>
      <c r="SCU2" s="192"/>
      <c r="SCV2" s="181"/>
      <c r="SCW2" s="180"/>
      <c r="SCX2" s="197"/>
      <c r="SCY2" s="179"/>
      <c r="SCZ2" s="196"/>
      <c r="SDA2" s="179"/>
      <c r="SDB2" s="196"/>
      <c r="SDC2" s="196"/>
      <c r="SDD2" s="161"/>
      <c r="SDE2" s="193"/>
      <c r="SDF2" s="193"/>
      <c r="SDG2" s="194"/>
      <c r="SDH2" s="194"/>
      <c r="SDI2" s="194"/>
      <c r="SDJ2" s="194"/>
      <c r="SDK2" s="194"/>
      <c r="SDL2" s="161"/>
      <c r="SDM2" s="161"/>
      <c r="SDN2" s="194"/>
      <c r="SDO2" s="161"/>
      <c r="SDP2" s="193"/>
      <c r="SDQ2" s="194"/>
      <c r="SDR2" s="161"/>
      <c r="SDS2" s="161"/>
      <c r="SDT2" s="161"/>
      <c r="SDU2" s="194"/>
      <c r="SDV2" s="194"/>
      <c r="SDW2" s="194"/>
      <c r="SDX2" s="161"/>
      <c r="SDY2" s="194"/>
      <c r="SDZ2" s="194"/>
      <c r="SEA2" s="161"/>
      <c r="SEB2" s="194"/>
      <c r="SEC2" s="194"/>
      <c r="SED2" s="194"/>
      <c r="SEE2" s="194"/>
      <c r="SEF2" s="194"/>
      <c r="SEG2" s="194"/>
      <c r="SEH2" s="161"/>
      <c r="SEI2" s="195"/>
      <c r="SEJ2" s="195"/>
      <c r="SEK2" s="161"/>
      <c r="SEL2" s="161"/>
      <c r="SEM2" s="161"/>
      <c r="SEN2" s="161"/>
      <c r="SEO2" s="196"/>
      <c r="SEP2" s="196"/>
      <c r="SEQ2" s="192"/>
      <c r="SER2" s="181"/>
      <c r="SES2" s="180"/>
      <c r="SET2" s="197"/>
      <c r="SEU2" s="179"/>
      <c r="SEV2" s="196"/>
      <c r="SEW2" s="179"/>
      <c r="SEX2" s="196"/>
      <c r="SEY2" s="196"/>
      <c r="SEZ2" s="161"/>
      <c r="SFA2" s="193"/>
      <c r="SFB2" s="193"/>
      <c r="SFC2" s="194"/>
      <c r="SFD2" s="194"/>
      <c r="SFE2" s="194"/>
      <c r="SFF2" s="194"/>
      <c r="SFG2" s="194"/>
      <c r="SFH2" s="161"/>
      <c r="SFI2" s="161"/>
      <c r="SFJ2" s="194"/>
      <c r="SFK2" s="161"/>
      <c r="SFL2" s="193"/>
      <c r="SFM2" s="194"/>
      <c r="SFN2" s="161"/>
      <c r="SFO2" s="161"/>
      <c r="SFP2" s="161"/>
      <c r="SFQ2" s="194"/>
      <c r="SFR2" s="194"/>
      <c r="SFS2" s="194"/>
      <c r="SFT2" s="161"/>
      <c r="SFU2" s="194"/>
      <c r="SFV2" s="194"/>
      <c r="SFW2" s="161"/>
      <c r="SFX2" s="194"/>
      <c r="SFY2" s="194"/>
      <c r="SFZ2" s="194"/>
      <c r="SGA2" s="194"/>
      <c r="SGB2" s="194"/>
      <c r="SGC2" s="194"/>
      <c r="SGD2" s="161"/>
      <c r="SGE2" s="195"/>
      <c r="SGF2" s="195"/>
      <c r="SGG2" s="161"/>
      <c r="SGH2" s="161"/>
      <c r="SGI2" s="161"/>
      <c r="SGJ2" s="161"/>
      <c r="SGK2" s="196"/>
      <c r="SGL2" s="196"/>
      <c r="SGM2" s="192"/>
      <c r="SGN2" s="181"/>
      <c r="SGO2" s="180"/>
      <c r="SGP2" s="197"/>
      <c r="SGQ2" s="179"/>
      <c r="SGR2" s="196"/>
      <c r="SGS2" s="179"/>
      <c r="SGT2" s="196"/>
      <c r="SGU2" s="196"/>
      <c r="SGV2" s="161"/>
      <c r="SGW2" s="193"/>
      <c r="SGX2" s="193"/>
      <c r="SGY2" s="194"/>
      <c r="SGZ2" s="194"/>
      <c r="SHA2" s="194"/>
      <c r="SHB2" s="194"/>
      <c r="SHC2" s="194"/>
      <c r="SHD2" s="161"/>
      <c r="SHE2" s="161"/>
      <c r="SHF2" s="194"/>
      <c r="SHG2" s="161"/>
      <c r="SHH2" s="193"/>
      <c r="SHI2" s="194"/>
      <c r="SHJ2" s="161"/>
      <c r="SHK2" s="161"/>
      <c r="SHL2" s="161"/>
      <c r="SHM2" s="194"/>
      <c r="SHN2" s="194"/>
      <c r="SHO2" s="194"/>
      <c r="SHP2" s="161"/>
      <c r="SHQ2" s="194"/>
      <c r="SHR2" s="194"/>
      <c r="SHS2" s="161"/>
      <c r="SHT2" s="194"/>
      <c r="SHU2" s="194"/>
      <c r="SHV2" s="194"/>
      <c r="SHW2" s="194"/>
      <c r="SHX2" s="194"/>
      <c r="SHY2" s="194"/>
      <c r="SHZ2" s="161"/>
      <c r="SIA2" s="195"/>
      <c r="SIB2" s="195"/>
      <c r="SIC2" s="161"/>
      <c r="SID2" s="161"/>
      <c r="SIE2" s="161"/>
      <c r="SIF2" s="161"/>
      <c r="SIG2" s="196"/>
      <c r="SIH2" s="196"/>
      <c r="SII2" s="192"/>
      <c r="SIJ2" s="181"/>
      <c r="SIK2" s="180"/>
      <c r="SIL2" s="197"/>
      <c r="SIM2" s="179"/>
      <c r="SIN2" s="196"/>
      <c r="SIO2" s="179"/>
      <c r="SIP2" s="196"/>
      <c r="SIQ2" s="196"/>
      <c r="SIR2" s="161"/>
      <c r="SIS2" s="193"/>
      <c r="SIT2" s="193"/>
      <c r="SIU2" s="194"/>
      <c r="SIV2" s="194"/>
      <c r="SIW2" s="194"/>
      <c r="SIX2" s="194"/>
      <c r="SIY2" s="194"/>
      <c r="SIZ2" s="161"/>
      <c r="SJA2" s="161"/>
      <c r="SJB2" s="194"/>
      <c r="SJC2" s="161"/>
      <c r="SJD2" s="193"/>
      <c r="SJE2" s="194"/>
      <c r="SJF2" s="161"/>
      <c r="SJG2" s="161"/>
      <c r="SJH2" s="161"/>
      <c r="SJI2" s="194"/>
      <c r="SJJ2" s="194"/>
      <c r="SJK2" s="194"/>
      <c r="SJL2" s="161"/>
      <c r="SJM2" s="194"/>
      <c r="SJN2" s="194"/>
      <c r="SJO2" s="161"/>
      <c r="SJP2" s="194"/>
      <c r="SJQ2" s="194"/>
      <c r="SJR2" s="194"/>
      <c r="SJS2" s="194"/>
      <c r="SJT2" s="194"/>
      <c r="SJU2" s="194"/>
      <c r="SJV2" s="161"/>
      <c r="SJW2" s="195"/>
      <c r="SJX2" s="195"/>
      <c r="SJY2" s="161"/>
      <c r="SJZ2" s="161"/>
      <c r="SKA2" s="161"/>
      <c r="SKB2" s="161"/>
      <c r="SKC2" s="196"/>
      <c r="SKD2" s="196"/>
      <c r="SKE2" s="192"/>
      <c r="SKF2" s="181"/>
      <c r="SKG2" s="180"/>
      <c r="SKH2" s="197"/>
      <c r="SKI2" s="179"/>
      <c r="SKJ2" s="196"/>
      <c r="SKK2" s="179"/>
      <c r="SKL2" s="196"/>
      <c r="SKM2" s="196"/>
      <c r="SKN2" s="161"/>
      <c r="SKO2" s="193"/>
      <c r="SKP2" s="193"/>
      <c r="SKQ2" s="194"/>
      <c r="SKR2" s="194"/>
      <c r="SKS2" s="194"/>
      <c r="SKT2" s="194"/>
      <c r="SKU2" s="194"/>
      <c r="SKV2" s="161"/>
      <c r="SKW2" s="161"/>
      <c r="SKX2" s="194"/>
      <c r="SKY2" s="161"/>
      <c r="SKZ2" s="193"/>
      <c r="SLA2" s="194"/>
      <c r="SLB2" s="161"/>
      <c r="SLC2" s="161"/>
      <c r="SLD2" s="161"/>
      <c r="SLE2" s="194"/>
      <c r="SLF2" s="194"/>
      <c r="SLG2" s="194"/>
      <c r="SLH2" s="161"/>
      <c r="SLI2" s="194"/>
      <c r="SLJ2" s="194"/>
      <c r="SLK2" s="161"/>
      <c r="SLL2" s="194"/>
      <c r="SLM2" s="194"/>
      <c r="SLN2" s="194"/>
      <c r="SLO2" s="194"/>
      <c r="SLP2" s="194"/>
      <c r="SLQ2" s="194"/>
      <c r="SLR2" s="161"/>
      <c r="SLS2" s="195"/>
      <c r="SLT2" s="195"/>
      <c r="SLU2" s="161"/>
      <c r="SLV2" s="161"/>
      <c r="SLW2" s="161"/>
      <c r="SLX2" s="161"/>
      <c r="SLY2" s="196"/>
      <c r="SLZ2" s="196"/>
      <c r="SMA2" s="192"/>
      <c r="SMB2" s="181"/>
      <c r="SMC2" s="180"/>
      <c r="SMD2" s="197"/>
      <c r="SME2" s="179"/>
      <c r="SMF2" s="196"/>
      <c r="SMG2" s="179"/>
      <c r="SMH2" s="196"/>
      <c r="SMI2" s="196"/>
      <c r="SMJ2" s="161"/>
      <c r="SMK2" s="193"/>
      <c r="SML2" s="193"/>
      <c r="SMM2" s="194"/>
      <c r="SMN2" s="194"/>
      <c r="SMO2" s="194"/>
      <c r="SMP2" s="194"/>
      <c r="SMQ2" s="194"/>
      <c r="SMR2" s="161"/>
      <c r="SMS2" s="161"/>
      <c r="SMT2" s="194"/>
      <c r="SMU2" s="161"/>
      <c r="SMV2" s="193"/>
      <c r="SMW2" s="194"/>
      <c r="SMX2" s="161"/>
      <c r="SMY2" s="161"/>
      <c r="SMZ2" s="161"/>
      <c r="SNA2" s="194"/>
      <c r="SNB2" s="194"/>
      <c r="SNC2" s="194"/>
      <c r="SND2" s="161"/>
      <c r="SNE2" s="194"/>
      <c r="SNF2" s="194"/>
      <c r="SNG2" s="161"/>
      <c r="SNH2" s="194"/>
      <c r="SNI2" s="194"/>
      <c r="SNJ2" s="194"/>
      <c r="SNK2" s="194"/>
      <c r="SNL2" s="194"/>
      <c r="SNM2" s="194"/>
      <c r="SNN2" s="161"/>
      <c r="SNO2" s="195"/>
      <c r="SNP2" s="195"/>
      <c r="SNQ2" s="161"/>
      <c r="SNR2" s="161"/>
      <c r="SNS2" s="161"/>
      <c r="SNT2" s="161"/>
      <c r="SNU2" s="196"/>
      <c r="SNV2" s="196"/>
      <c r="SNW2" s="192"/>
      <c r="SNX2" s="181"/>
      <c r="SNY2" s="180"/>
      <c r="SNZ2" s="197"/>
      <c r="SOA2" s="179"/>
      <c r="SOB2" s="196"/>
      <c r="SOC2" s="179"/>
      <c r="SOD2" s="196"/>
      <c r="SOE2" s="196"/>
      <c r="SOF2" s="161"/>
      <c r="SOG2" s="193"/>
      <c r="SOH2" s="193"/>
      <c r="SOI2" s="194"/>
      <c r="SOJ2" s="194"/>
      <c r="SOK2" s="194"/>
      <c r="SOL2" s="194"/>
      <c r="SOM2" s="194"/>
      <c r="SON2" s="161"/>
      <c r="SOO2" s="161"/>
      <c r="SOP2" s="194"/>
      <c r="SOQ2" s="161"/>
      <c r="SOR2" s="193"/>
      <c r="SOS2" s="194"/>
      <c r="SOT2" s="161"/>
      <c r="SOU2" s="161"/>
      <c r="SOV2" s="161"/>
      <c r="SOW2" s="194"/>
      <c r="SOX2" s="194"/>
      <c r="SOY2" s="194"/>
      <c r="SOZ2" s="161"/>
      <c r="SPA2" s="194"/>
      <c r="SPB2" s="194"/>
      <c r="SPC2" s="161"/>
      <c r="SPD2" s="194"/>
      <c r="SPE2" s="194"/>
      <c r="SPF2" s="194"/>
      <c r="SPG2" s="194"/>
      <c r="SPH2" s="194"/>
      <c r="SPI2" s="194"/>
      <c r="SPJ2" s="161"/>
      <c r="SPK2" s="195"/>
      <c r="SPL2" s="195"/>
      <c r="SPM2" s="161"/>
      <c r="SPN2" s="161"/>
      <c r="SPO2" s="161"/>
      <c r="SPP2" s="161"/>
      <c r="SPQ2" s="196"/>
      <c r="SPR2" s="196"/>
      <c r="SPS2" s="192"/>
      <c r="SPT2" s="181"/>
      <c r="SPU2" s="180"/>
      <c r="SPV2" s="197"/>
      <c r="SPW2" s="179"/>
      <c r="SPX2" s="196"/>
      <c r="SPY2" s="179"/>
      <c r="SPZ2" s="196"/>
      <c r="SQA2" s="196"/>
      <c r="SQB2" s="161"/>
      <c r="SQC2" s="193"/>
      <c r="SQD2" s="193"/>
      <c r="SQE2" s="194"/>
      <c r="SQF2" s="194"/>
      <c r="SQG2" s="194"/>
      <c r="SQH2" s="194"/>
      <c r="SQI2" s="194"/>
      <c r="SQJ2" s="161"/>
      <c r="SQK2" s="161"/>
      <c r="SQL2" s="194"/>
      <c r="SQM2" s="161"/>
      <c r="SQN2" s="193"/>
      <c r="SQO2" s="194"/>
      <c r="SQP2" s="161"/>
      <c r="SQQ2" s="161"/>
      <c r="SQR2" s="161"/>
      <c r="SQS2" s="194"/>
      <c r="SQT2" s="194"/>
      <c r="SQU2" s="194"/>
      <c r="SQV2" s="161"/>
      <c r="SQW2" s="194"/>
      <c r="SQX2" s="194"/>
      <c r="SQY2" s="161"/>
      <c r="SQZ2" s="194"/>
      <c r="SRA2" s="194"/>
      <c r="SRB2" s="194"/>
      <c r="SRC2" s="194"/>
      <c r="SRD2" s="194"/>
      <c r="SRE2" s="194"/>
      <c r="SRF2" s="161"/>
      <c r="SRG2" s="195"/>
      <c r="SRH2" s="195"/>
      <c r="SRI2" s="161"/>
      <c r="SRJ2" s="161"/>
      <c r="SRK2" s="161"/>
      <c r="SRL2" s="161"/>
      <c r="SRM2" s="196"/>
      <c r="SRN2" s="196"/>
      <c r="SRO2" s="192"/>
      <c r="SRP2" s="181"/>
      <c r="SRQ2" s="180"/>
      <c r="SRR2" s="197"/>
      <c r="SRS2" s="179"/>
      <c r="SRT2" s="196"/>
      <c r="SRU2" s="179"/>
      <c r="SRV2" s="196"/>
      <c r="SRW2" s="196"/>
      <c r="SRX2" s="161"/>
      <c r="SRY2" s="193"/>
      <c r="SRZ2" s="193"/>
      <c r="SSA2" s="194"/>
      <c r="SSB2" s="194"/>
      <c r="SSC2" s="194"/>
      <c r="SSD2" s="194"/>
      <c r="SSE2" s="194"/>
      <c r="SSF2" s="161"/>
      <c r="SSG2" s="161"/>
      <c r="SSH2" s="194"/>
      <c r="SSI2" s="161"/>
      <c r="SSJ2" s="193"/>
      <c r="SSK2" s="194"/>
      <c r="SSL2" s="161"/>
      <c r="SSM2" s="161"/>
      <c r="SSN2" s="161"/>
      <c r="SSO2" s="194"/>
      <c r="SSP2" s="194"/>
      <c r="SSQ2" s="194"/>
      <c r="SSR2" s="161"/>
      <c r="SSS2" s="194"/>
      <c r="SST2" s="194"/>
      <c r="SSU2" s="161"/>
      <c r="SSV2" s="194"/>
      <c r="SSW2" s="194"/>
      <c r="SSX2" s="194"/>
      <c r="SSY2" s="194"/>
      <c r="SSZ2" s="194"/>
      <c r="STA2" s="194"/>
      <c r="STB2" s="161"/>
      <c r="STC2" s="195"/>
      <c r="STD2" s="195"/>
      <c r="STE2" s="161"/>
      <c r="STF2" s="161"/>
      <c r="STG2" s="161"/>
      <c r="STH2" s="161"/>
      <c r="STI2" s="196"/>
      <c r="STJ2" s="196"/>
      <c r="STK2" s="192"/>
      <c r="STL2" s="181"/>
      <c r="STM2" s="180"/>
      <c r="STN2" s="197"/>
      <c r="STO2" s="179"/>
      <c r="STP2" s="196"/>
      <c r="STQ2" s="179"/>
      <c r="STR2" s="196"/>
      <c r="STS2" s="196"/>
      <c r="STT2" s="161"/>
      <c r="STU2" s="193"/>
      <c r="STV2" s="193"/>
      <c r="STW2" s="194"/>
      <c r="STX2" s="194"/>
      <c r="STY2" s="194"/>
      <c r="STZ2" s="194"/>
      <c r="SUA2" s="194"/>
      <c r="SUB2" s="161"/>
      <c r="SUC2" s="161"/>
      <c r="SUD2" s="194"/>
      <c r="SUE2" s="161"/>
      <c r="SUF2" s="193"/>
      <c r="SUG2" s="194"/>
      <c r="SUH2" s="161"/>
      <c r="SUI2" s="161"/>
      <c r="SUJ2" s="161"/>
      <c r="SUK2" s="194"/>
      <c r="SUL2" s="194"/>
      <c r="SUM2" s="194"/>
      <c r="SUN2" s="161"/>
      <c r="SUO2" s="194"/>
      <c r="SUP2" s="194"/>
      <c r="SUQ2" s="161"/>
      <c r="SUR2" s="194"/>
      <c r="SUS2" s="194"/>
      <c r="SUT2" s="194"/>
      <c r="SUU2" s="194"/>
      <c r="SUV2" s="194"/>
      <c r="SUW2" s="194"/>
      <c r="SUX2" s="161"/>
      <c r="SUY2" s="195"/>
      <c r="SUZ2" s="195"/>
      <c r="SVA2" s="161"/>
      <c r="SVB2" s="161"/>
      <c r="SVC2" s="161"/>
      <c r="SVD2" s="161"/>
      <c r="SVE2" s="196"/>
      <c r="SVF2" s="196"/>
      <c r="SVG2" s="192"/>
      <c r="SVH2" s="181"/>
      <c r="SVI2" s="180"/>
      <c r="SVJ2" s="197"/>
      <c r="SVK2" s="179"/>
      <c r="SVL2" s="196"/>
      <c r="SVM2" s="179"/>
      <c r="SVN2" s="196"/>
      <c r="SVO2" s="196"/>
      <c r="SVP2" s="161"/>
      <c r="SVQ2" s="193"/>
      <c r="SVR2" s="193"/>
      <c r="SVS2" s="194"/>
      <c r="SVT2" s="194"/>
      <c r="SVU2" s="194"/>
      <c r="SVV2" s="194"/>
      <c r="SVW2" s="194"/>
      <c r="SVX2" s="161"/>
      <c r="SVY2" s="161"/>
      <c r="SVZ2" s="194"/>
      <c r="SWA2" s="161"/>
      <c r="SWB2" s="193"/>
      <c r="SWC2" s="194"/>
      <c r="SWD2" s="161"/>
      <c r="SWE2" s="161"/>
      <c r="SWF2" s="161"/>
      <c r="SWG2" s="194"/>
      <c r="SWH2" s="194"/>
      <c r="SWI2" s="194"/>
      <c r="SWJ2" s="161"/>
      <c r="SWK2" s="194"/>
      <c r="SWL2" s="194"/>
      <c r="SWM2" s="161"/>
      <c r="SWN2" s="194"/>
      <c r="SWO2" s="194"/>
      <c r="SWP2" s="194"/>
      <c r="SWQ2" s="194"/>
      <c r="SWR2" s="194"/>
      <c r="SWS2" s="194"/>
      <c r="SWT2" s="161"/>
      <c r="SWU2" s="195"/>
      <c r="SWV2" s="195"/>
      <c r="SWW2" s="161"/>
      <c r="SWX2" s="161"/>
      <c r="SWY2" s="161"/>
      <c r="SWZ2" s="161"/>
      <c r="SXA2" s="196"/>
      <c r="SXB2" s="196"/>
      <c r="SXC2" s="192"/>
      <c r="SXD2" s="181"/>
      <c r="SXE2" s="180"/>
      <c r="SXF2" s="197"/>
      <c r="SXG2" s="179"/>
      <c r="SXH2" s="196"/>
      <c r="SXI2" s="179"/>
      <c r="SXJ2" s="196"/>
      <c r="SXK2" s="196"/>
      <c r="SXL2" s="161"/>
      <c r="SXM2" s="193"/>
      <c r="SXN2" s="193"/>
      <c r="SXO2" s="194"/>
      <c r="SXP2" s="194"/>
      <c r="SXQ2" s="194"/>
      <c r="SXR2" s="194"/>
      <c r="SXS2" s="194"/>
      <c r="SXT2" s="161"/>
      <c r="SXU2" s="161"/>
      <c r="SXV2" s="194"/>
      <c r="SXW2" s="161"/>
      <c r="SXX2" s="193"/>
      <c r="SXY2" s="194"/>
      <c r="SXZ2" s="161"/>
      <c r="SYA2" s="161"/>
      <c r="SYB2" s="161"/>
      <c r="SYC2" s="194"/>
      <c r="SYD2" s="194"/>
      <c r="SYE2" s="194"/>
      <c r="SYF2" s="161"/>
      <c r="SYG2" s="194"/>
      <c r="SYH2" s="194"/>
      <c r="SYI2" s="161"/>
      <c r="SYJ2" s="194"/>
      <c r="SYK2" s="194"/>
      <c r="SYL2" s="194"/>
      <c r="SYM2" s="194"/>
      <c r="SYN2" s="194"/>
      <c r="SYO2" s="194"/>
      <c r="SYP2" s="161"/>
      <c r="SYQ2" s="195"/>
      <c r="SYR2" s="195"/>
      <c r="SYS2" s="161"/>
      <c r="SYT2" s="161"/>
      <c r="SYU2" s="161"/>
      <c r="SYV2" s="161"/>
      <c r="SYW2" s="196"/>
      <c r="SYX2" s="196"/>
      <c r="SYY2" s="192"/>
      <c r="SYZ2" s="181"/>
      <c r="SZA2" s="180"/>
      <c r="SZB2" s="197"/>
      <c r="SZC2" s="179"/>
      <c r="SZD2" s="196"/>
      <c r="SZE2" s="179"/>
      <c r="SZF2" s="196"/>
      <c r="SZG2" s="196"/>
      <c r="SZH2" s="161"/>
      <c r="SZI2" s="193"/>
      <c r="SZJ2" s="193"/>
      <c r="SZK2" s="194"/>
      <c r="SZL2" s="194"/>
      <c r="SZM2" s="194"/>
      <c r="SZN2" s="194"/>
      <c r="SZO2" s="194"/>
      <c r="SZP2" s="161"/>
      <c r="SZQ2" s="161"/>
      <c r="SZR2" s="194"/>
      <c r="SZS2" s="161"/>
      <c r="SZT2" s="193"/>
      <c r="SZU2" s="194"/>
      <c r="SZV2" s="161"/>
      <c r="SZW2" s="161"/>
      <c r="SZX2" s="161"/>
      <c r="SZY2" s="194"/>
      <c r="SZZ2" s="194"/>
      <c r="TAA2" s="194"/>
      <c r="TAB2" s="161"/>
      <c r="TAC2" s="194"/>
      <c r="TAD2" s="194"/>
      <c r="TAE2" s="161"/>
      <c r="TAF2" s="194"/>
      <c r="TAG2" s="194"/>
      <c r="TAH2" s="194"/>
      <c r="TAI2" s="194"/>
      <c r="TAJ2" s="194"/>
      <c r="TAK2" s="194"/>
      <c r="TAL2" s="161"/>
      <c r="TAM2" s="195"/>
      <c r="TAN2" s="195"/>
      <c r="TAO2" s="161"/>
      <c r="TAP2" s="161"/>
      <c r="TAQ2" s="161"/>
      <c r="TAR2" s="161"/>
      <c r="TAS2" s="196"/>
      <c r="TAT2" s="196"/>
      <c r="TAU2" s="192"/>
      <c r="TAV2" s="181"/>
      <c r="TAW2" s="180"/>
      <c r="TAX2" s="197"/>
      <c r="TAY2" s="179"/>
      <c r="TAZ2" s="196"/>
      <c r="TBA2" s="179"/>
      <c r="TBB2" s="196"/>
      <c r="TBC2" s="196"/>
      <c r="TBD2" s="161"/>
      <c r="TBE2" s="193"/>
      <c r="TBF2" s="193"/>
      <c r="TBG2" s="194"/>
      <c r="TBH2" s="194"/>
      <c r="TBI2" s="194"/>
      <c r="TBJ2" s="194"/>
      <c r="TBK2" s="194"/>
      <c r="TBL2" s="161"/>
      <c r="TBM2" s="161"/>
      <c r="TBN2" s="194"/>
      <c r="TBO2" s="161"/>
      <c r="TBP2" s="193"/>
      <c r="TBQ2" s="194"/>
      <c r="TBR2" s="161"/>
      <c r="TBS2" s="161"/>
      <c r="TBT2" s="161"/>
      <c r="TBU2" s="194"/>
      <c r="TBV2" s="194"/>
      <c r="TBW2" s="194"/>
      <c r="TBX2" s="161"/>
      <c r="TBY2" s="194"/>
      <c r="TBZ2" s="194"/>
      <c r="TCA2" s="161"/>
      <c r="TCB2" s="194"/>
      <c r="TCC2" s="194"/>
      <c r="TCD2" s="194"/>
      <c r="TCE2" s="194"/>
      <c r="TCF2" s="194"/>
      <c r="TCG2" s="194"/>
      <c r="TCH2" s="161"/>
      <c r="TCI2" s="195"/>
      <c r="TCJ2" s="195"/>
      <c r="TCK2" s="161"/>
      <c r="TCL2" s="161"/>
      <c r="TCM2" s="161"/>
      <c r="TCN2" s="161"/>
      <c r="TCO2" s="196"/>
      <c r="TCP2" s="196"/>
      <c r="TCQ2" s="192"/>
      <c r="TCR2" s="181"/>
      <c r="TCS2" s="180"/>
      <c r="TCT2" s="197"/>
      <c r="TCU2" s="179"/>
      <c r="TCV2" s="196"/>
      <c r="TCW2" s="179"/>
      <c r="TCX2" s="196"/>
      <c r="TCY2" s="196"/>
      <c r="TCZ2" s="161"/>
      <c r="TDA2" s="193"/>
      <c r="TDB2" s="193"/>
      <c r="TDC2" s="194"/>
      <c r="TDD2" s="194"/>
      <c r="TDE2" s="194"/>
      <c r="TDF2" s="194"/>
      <c r="TDG2" s="194"/>
      <c r="TDH2" s="161"/>
      <c r="TDI2" s="161"/>
      <c r="TDJ2" s="194"/>
      <c r="TDK2" s="161"/>
      <c r="TDL2" s="193"/>
      <c r="TDM2" s="194"/>
      <c r="TDN2" s="161"/>
      <c r="TDO2" s="161"/>
      <c r="TDP2" s="161"/>
      <c r="TDQ2" s="194"/>
      <c r="TDR2" s="194"/>
      <c r="TDS2" s="194"/>
      <c r="TDT2" s="161"/>
      <c r="TDU2" s="194"/>
      <c r="TDV2" s="194"/>
      <c r="TDW2" s="161"/>
      <c r="TDX2" s="194"/>
      <c r="TDY2" s="194"/>
      <c r="TDZ2" s="194"/>
      <c r="TEA2" s="194"/>
      <c r="TEB2" s="194"/>
      <c r="TEC2" s="194"/>
      <c r="TED2" s="161"/>
      <c r="TEE2" s="195"/>
      <c r="TEF2" s="195"/>
      <c r="TEG2" s="161"/>
      <c r="TEH2" s="161"/>
      <c r="TEI2" s="161"/>
      <c r="TEJ2" s="161"/>
      <c r="TEK2" s="196"/>
      <c r="TEL2" s="196"/>
      <c r="TEM2" s="192"/>
      <c r="TEN2" s="181"/>
      <c r="TEO2" s="180"/>
      <c r="TEP2" s="197"/>
      <c r="TEQ2" s="179"/>
      <c r="TER2" s="196"/>
      <c r="TES2" s="179"/>
      <c r="TET2" s="196"/>
      <c r="TEU2" s="196"/>
      <c r="TEV2" s="161"/>
      <c r="TEW2" s="193"/>
      <c r="TEX2" s="193"/>
      <c r="TEY2" s="194"/>
      <c r="TEZ2" s="194"/>
      <c r="TFA2" s="194"/>
      <c r="TFB2" s="194"/>
      <c r="TFC2" s="194"/>
      <c r="TFD2" s="161"/>
      <c r="TFE2" s="161"/>
      <c r="TFF2" s="194"/>
      <c r="TFG2" s="161"/>
      <c r="TFH2" s="193"/>
      <c r="TFI2" s="194"/>
      <c r="TFJ2" s="161"/>
      <c r="TFK2" s="161"/>
      <c r="TFL2" s="161"/>
      <c r="TFM2" s="194"/>
      <c r="TFN2" s="194"/>
      <c r="TFO2" s="194"/>
      <c r="TFP2" s="161"/>
      <c r="TFQ2" s="194"/>
      <c r="TFR2" s="194"/>
      <c r="TFS2" s="161"/>
      <c r="TFT2" s="194"/>
      <c r="TFU2" s="194"/>
      <c r="TFV2" s="194"/>
      <c r="TFW2" s="194"/>
      <c r="TFX2" s="194"/>
      <c r="TFY2" s="194"/>
      <c r="TFZ2" s="161"/>
      <c r="TGA2" s="195"/>
      <c r="TGB2" s="195"/>
      <c r="TGC2" s="161"/>
      <c r="TGD2" s="161"/>
      <c r="TGE2" s="161"/>
      <c r="TGF2" s="161"/>
      <c r="TGG2" s="196"/>
      <c r="TGH2" s="196"/>
      <c r="TGI2" s="192"/>
      <c r="TGJ2" s="181"/>
      <c r="TGK2" s="180"/>
      <c r="TGL2" s="197"/>
      <c r="TGM2" s="179"/>
      <c r="TGN2" s="196"/>
      <c r="TGO2" s="179"/>
      <c r="TGP2" s="196"/>
      <c r="TGQ2" s="196"/>
      <c r="TGR2" s="161"/>
      <c r="TGS2" s="193"/>
      <c r="TGT2" s="193"/>
      <c r="TGU2" s="194"/>
      <c r="TGV2" s="194"/>
      <c r="TGW2" s="194"/>
      <c r="TGX2" s="194"/>
      <c r="TGY2" s="194"/>
      <c r="TGZ2" s="161"/>
      <c r="THA2" s="161"/>
      <c r="THB2" s="194"/>
      <c r="THC2" s="161"/>
      <c r="THD2" s="193"/>
      <c r="THE2" s="194"/>
      <c r="THF2" s="161"/>
      <c r="THG2" s="161"/>
      <c r="THH2" s="161"/>
      <c r="THI2" s="194"/>
      <c r="THJ2" s="194"/>
      <c r="THK2" s="194"/>
      <c r="THL2" s="161"/>
      <c r="THM2" s="194"/>
      <c r="THN2" s="194"/>
      <c r="THO2" s="161"/>
      <c r="THP2" s="194"/>
      <c r="THQ2" s="194"/>
      <c r="THR2" s="194"/>
      <c r="THS2" s="194"/>
      <c r="THT2" s="194"/>
      <c r="THU2" s="194"/>
      <c r="THV2" s="161"/>
      <c r="THW2" s="195"/>
      <c r="THX2" s="195"/>
      <c r="THY2" s="161"/>
      <c r="THZ2" s="161"/>
      <c r="TIA2" s="161"/>
      <c r="TIB2" s="161"/>
      <c r="TIC2" s="196"/>
      <c r="TID2" s="196"/>
      <c r="TIE2" s="192"/>
      <c r="TIF2" s="181"/>
      <c r="TIG2" s="180"/>
      <c r="TIH2" s="197"/>
      <c r="TII2" s="179"/>
      <c r="TIJ2" s="196"/>
      <c r="TIK2" s="179"/>
      <c r="TIL2" s="196"/>
      <c r="TIM2" s="196"/>
      <c r="TIN2" s="161"/>
      <c r="TIO2" s="193"/>
      <c r="TIP2" s="193"/>
      <c r="TIQ2" s="194"/>
      <c r="TIR2" s="194"/>
      <c r="TIS2" s="194"/>
      <c r="TIT2" s="194"/>
      <c r="TIU2" s="194"/>
      <c r="TIV2" s="161"/>
      <c r="TIW2" s="161"/>
      <c r="TIX2" s="194"/>
      <c r="TIY2" s="161"/>
      <c r="TIZ2" s="193"/>
      <c r="TJA2" s="194"/>
      <c r="TJB2" s="161"/>
      <c r="TJC2" s="161"/>
      <c r="TJD2" s="161"/>
      <c r="TJE2" s="194"/>
      <c r="TJF2" s="194"/>
      <c r="TJG2" s="194"/>
      <c r="TJH2" s="161"/>
      <c r="TJI2" s="194"/>
      <c r="TJJ2" s="194"/>
      <c r="TJK2" s="161"/>
      <c r="TJL2" s="194"/>
      <c r="TJM2" s="194"/>
      <c r="TJN2" s="194"/>
      <c r="TJO2" s="194"/>
      <c r="TJP2" s="194"/>
      <c r="TJQ2" s="194"/>
      <c r="TJR2" s="161"/>
      <c r="TJS2" s="195"/>
      <c r="TJT2" s="195"/>
      <c r="TJU2" s="161"/>
      <c r="TJV2" s="161"/>
      <c r="TJW2" s="161"/>
      <c r="TJX2" s="161"/>
      <c r="TJY2" s="196"/>
      <c r="TJZ2" s="196"/>
      <c r="TKA2" s="192"/>
      <c r="TKB2" s="181"/>
      <c r="TKC2" s="180"/>
      <c r="TKD2" s="197"/>
      <c r="TKE2" s="179"/>
      <c r="TKF2" s="196"/>
      <c r="TKG2" s="179"/>
      <c r="TKH2" s="196"/>
      <c r="TKI2" s="196"/>
      <c r="TKJ2" s="161"/>
      <c r="TKK2" s="193"/>
      <c r="TKL2" s="193"/>
      <c r="TKM2" s="194"/>
      <c r="TKN2" s="194"/>
      <c r="TKO2" s="194"/>
      <c r="TKP2" s="194"/>
      <c r="TKQ2" s="194"/>
      <c r="TKR2" s="161"/>
      <c r="TKS2" s="161"/>
      <c r="TKT2" s="194"/>
      <c r="TKU2" s="161"/>
      <c r="TKV2" s="193"/>
      <c r="TKW2" s="194"/>
      <c r="TKX2" s="161"/>
      <c r="TKY2" s="161"/>
      <c r="TKZ2" s="161"/>
      <c r="TLA2" s="194"/>
      <c r="TLB2" s="194"/>
      <c r="TLC2" s="194"/>
      <c r="TLD2" s="161"/>
      <c r="TLE2" s="194"/>
      <c r="TLF2" s="194"/>
      <c r="TLG2" s="161"/>
      <c r="TLH2" s="194"/>
      <c r="TLI2" s="194"/>
      <c r="TLJ2" s="194"/>
      <c r="TLK2" s="194"/>
      <c r="TLL2" s="194"/>
      <c r="TLM2" s="194"/>
      <c r="TLN2" s="161"/>
      <c r="TLO2" s="195"/>
      <c r="TLP2" s="195"/>
      <c r="TLQ2" s="161"/>
      <c r="TLR2" s="161"/>
      <c r="TLS2" s="161"/>
      <c r="TLT2" s="161"/>
      <c r="TLU2" s="196"/>
      <c r="TLV2" s="196"/>
      <c r="TLW2" s="192"/>
      <c r="TLX2" s="181"/>
      <c r="TLY2" s="180"/>
      <c r="TLZ2" s="197"/>
      <c r="TMA2" s="179"/>
      <c r="TMB2" s="196"/>
      <c r="TMC2" s="179"/>
      <c r="TMD2" s="196"/>
      <c r="TME2" s="196"/>
      <c r="TMF2" s="161"/>
      <c r="TMG2" s="193"/>
      <c r="TMH2" s="193"/>
      <c r="TMI2" s="194"/>
      <c r="TMJ2" s="194"/>
      <c r="TMK2" s="194"/>
      <c r="TML2" s="194"/>
      <c r="TMM2" s="194"/>
      <c r="TMN2" s="161"/>
      <c r="TMO2" s="161"/>
      <c r="TMP2" s="194"/>
      <c r="TMQ2" s="161"/>
      <c r="TMR2" s="193"/>
      <c r="TMS2" s="194"/>
      <c r="TMT2" s="161"/>
      <c r="TMU2" s="161"/>
      <c r="TMV2" s="161"/>
      <c r="TMW2" s="194"/>
      <c r="TMX2" s="194"/>
      <c r="TMY2" s="194"/>
      <c r="TMZ2" s="161"/>
      <c r="TNA2" s="194"/>
      <c r="TNB2" s="194"/>
      <c r="TNC2" s="161"/>
      <c r="TND2" s="194"/>
      <c r="TNE2" s="194"/>
      <c r="TNF2" s="194"/>
      <c r="TNG2" s="194"/>
      <c r="TNH2" s="194"/>
      <c r="TNI2" s="194"/>
      <c r="TNJ2" s="161"/>
      <c r="TNK2" s="195"/>
      <c r="TNL2" s="195"/>
      <c r="TNM2" s="161"/>
      <c r="TNN2" s="161"/>
      <c r="TNO2" s="161"/>
      <c r="TNP2" s="161"/>
      <c r="TNQ2" s="196"/>
      <c r="TNR2" s="196"/>
      <c r="TNS2" s="192"/>
      <c r="TNT2" s="181"/>
      <c r="TNU2" s="180"/>
      <c r="TNV2" s="197"/>
      <c r="TNW2" s="179"/>
      <c r="TNX2" s="196"/>
      <c r="TNY2" s="179"/>
      <c r="TNZ2" s="196"/>
      <c r="TOA2" s="196"/>
      <c r="TOB2" s="161"/>
      <c r="TOC2" s="193"/>
      <c r="TOD2" s="193"/>
      <c r="TOE2" s="194"/>
      <c r="TOF2" s="194"/>
      <c r="TOG2" s="194"/>
      <c r="TOH2" s="194"/>
      <c r="TOI2" s="194"/>
      <c r="TOJ2" s="161"/>
      <c r="TOK2" s="161"/>
      <c r="TOL2" s="194"/>
      <c r="TOM2" s="161"/>
      <c r="TON2" s="193"/>
      <c r="TOO2" s="194"/>
      <c r="TOP2" s="161"/>
      <c r="TOQ2" s="161"/>
      <c r="TOR2" s="161"/>
      <c r="TOS2" s="194"/>
      <c r="TOT2" s="194"/>
      <c r="TOU2" s="194"/>
      <c r="TOV2" s="161"/>
      <c r="TOW2" s="194"/>
      <c r="TOX2" s="194"/>
      <c r="TOY2" s="161"/>
      <c r="TOZ2" s="194"/>
      <c r="TPA2" s="194"/>
      <c r="TPB2" s="194"/>
      <c r="TPC2" s="194"/>
      <c r="TPD2" s="194"/>
      <c r="TPE2" s="194"/>
      <c r="TPF2" s="161"/>
      <c r="TPG2" s="195"/>
      <c r="TPH2" s="195"/>
      <c r="TPI2" s="161"/>
      <c r="TPJ2" s="161"/>
      <c r="TPK2" s="161"/>
      <c r="TPL2" s="161"/>
      <c r="TPM2" s="196"/>
      <c r="TPN2" s="196"/>
      <c r="TPO2" s="192"/>
      <c r="TPP2" s="181"/>
      <c r="TPQ2" s="180"/>
      <c r="TPR2" s="197"/>
      <c r="TPS2" s="179"/>
      <c r="TPT2" s="196"/>
      <c r="TPU2" s="179"/>
      <c r="TPV2" s="196"/>
      <c r="TPW2" s="196"/>
      <c r="TPX2" s="161"/>
      <c r="TPY2" s="193"/>
      <c r="TPZ2" s="193"/>
      <c r="TQA2" s="194"/>
      <c r="TQB2" s="194"/>
      <c r="TQC2" s="194"/>
      <c r="TQD2" s="194"/>
      <c r="TQE2" s="194"/>
      <c r="TQF2" s="161"/>
      <c r="TQG2" s="161"/>
      <c r="TQH2" s="194"/>
      <c r="TQI2" s="161"/>
      <c r="TQJ2" s="193"/>
      <c r="TQK2" s="194"/>
      <c r="TQL2" s="161"/>
      <c r="TQM2" s="161"/>
      <c r="TQN2" s="161"/>
      <c r="TQO2" s="194"/>
      <c r="TQP2" s="194"/>
      <c r="TQQ2" s="194"/>
      <c r="TQR2" s="161"/>
      <c r="TQS2" s="194"/>
      <c r="TQT2" s="194"/>
      <c r="TQU2" s="161"/>
      <c r="TQV2" s="194"/>
      <c r="TQW2" s="194"/>
      <c r="TQX2" s="194"/>
      <c r="TQY2" s="194"/>
      <c r="TQZ2" s="194"/>
      <c r="TRA2" s="194"/>
      <c r="TRB2" s="161"/>
      <c r="TRC2" s="195"/>
      <c r="TRD2" s="195"/>
      <c r="TRE2" s="161"/>
      <c r="TRF2" s="161"/>
      <c r="TRG2" s="161"/>
      <c r="TRH2" s="161"/>
      <c r="TRI2" s="196"/>
      <c r="TRJ2" s="196"/>
      <c r="TRK2" s="192"/>
      <c r="TRL2" s="181"/>
      <c r="TRM2" s="180"/>
      <c r="TRN2" s="197"/>
      <c r="TRO2" s="179"/>
      <c r="TRP2" s="196"/>
      <c r="TRQ2" s="179"/>
      <c r="TRR2" s="196"/>
      <c r="TRS2" s="196"/>
      <c r="TRT2" s="161"/>
      <c r="TRU2" s="193"/>
      <c r="TRV2" s="193"/>
      <c r="TRW2" s="194"/>
      <c r="TRX2" s="194"/>
      <c r="TRY2" s="194"/>
      <c r="TRZ2" s="194"/>
      <c r="TSA2" s="194"/>
      <c r="TSB2" s="161"/>
      <c r="TSC2" s="161"/>
      <c r="TSD2" s="194"/>
      <c r="TSE2" s="161"/>
      <c r="TSF2" s="193"/>
      <c r="TSG2" s="194"/>
      <c r="TSH2" s="161"/>
      <c r="TSI2" s="161"/>
      <c r="TSJ2" s="161"/>
      <c r="TSK2" s="194"/>
      <c r="TSL2" s="194"/>
      <c r="TSM2" s="194"/>
      <c r="TSN2" s="161"/>
      <c r="TSO2" s="194"/>
      <c r="TSP2" s="194"/>
      <c r="TSQ2" s="161"/>
      <c r="TSR2" s="194"/>
      <c r="TSS2" s="194"/>
      <c r="TST2" s="194"/>
      <c r="TSU2" s="194"/>
      <c r="TSV2" s="194"/>
      <c r="TSW2" s="194"/>
      <c r="TSX2" s="161"/>
      <c r="TSY2" s="195"/>
      <c r="TSZ2" s="195"/>
      <c r="TTA2" s="161"/>
      <c r="TTB2" s="161"/>
      <c r="TTC2" s="161"/>
      <c r="TTD2" s="161"/>
      <c r="TTE2" s="196"/>
      <c r="TTF2" s="196"/>
      <c r="TTG2" s="192"/>
      <c r="TTH2" s="181"/>
      <c r="TTI2" s="180"/>
      <c r="TTJ2" s="197"/>
      <c r="TTK2" s="179"/>
      <c r="TTL2" s="196"/>
      <c r="TTM2" s="179"/>
      <c r="TTN2" s="196"/>
      <c r="TTO2" s="196"/>
      <c r="TTP2" s="161"/>
      <c r="TTQ2" s="193"/>
      <c r="TTR2" s="193"/>
      <c r="TTS2" s="194"/>
      <c r="TTT2" s="194"/>
      <c r="TTU2" s="194"/>
      <c r="TTV2" s="194"/>
      <c r="TTW2" s="194"/>
      <c r="TTX2" s="161"/>
      <c r="TTY2" s="161"/>
      <c r="TTZ2" s="194"/>
      <c r="TUA2" s="161"/>
      <c r="TUB2" s="193"/>
      <c r="TUC2" s="194"/>
      <c r="TUD2" s="161"/>
      <c r="TUE2" s="161"/>
      <c r="TUF2" s="161"/>
      <c r="TUG2" s="194"/>
      <c r="TUH2" s="194"/>
      <c r="TUI2" s="194"/>
      <c r="TUJ2" s="161"/>
      <c r="TUK2" s="194"/>
      <c r="TUL2" s="194"/>
      <c r="TUM2" s="161"/>
      <c r="TUN2" s="194"/>
      <c r="TUO2" s="194"/>
      <c r="TUP2" s="194"/>
      <c r="TUQ2" s="194"/>
      <c r="TUR2" s="194"/>
      <c r="TUS2" s="194"/>
      <c r="TUT2" s="161"/>
      <c r="TUU2" s="195"/>
      <c r="TUV2" s="195"/>
      <c r="TUW2" s="161"/>
      <c r="TUX2" s="161"/>
      <c r="TUY2" s="161"/>
      <c r="TUZ2" s="161"/>
      <c r="TVA2" s="196"/>
      <c r="TVB2" s="196"/>
      <c r="TVC2" s="192"/>
      <c r="TVD2" s="181"/>
      <c r="TVE2" s="180"/>
      <c r="TVF2" s="197"/>
      <c r="TVG2" s="179"/>
      <c r="TVH2" s="196"/>
      <c r="TVI2" s="179"/>
      <c r="TVJ2" s="196"/>
      <c r="TVK2" s="196"/>
      <c r="TVL2" s="161"/>
      <c r="TVM2" s="193"/>
      <c r="TVN2" s="193"/>
      <c r="TVO2" s="194"/>
      <c r="TVP2" s="194"/>
      <c r="TVQ2" s="194"/>
      <c r="TVR2" s="194"/>
      <c r="TVS2" s="194"/>
      <c r="TVT2" s="161"/>
      <c r="TVU2" s="161"/>
      <c r="TVV2" s="194"/>
      <c r="TVW2" s="161"/>
      <c r="TVX2" s="193"/>
      <c r="TVY2" s="194"/>
      <c r="TVZ2" s="161"/>
      <c r="TWA2" s="161"/>
      <c r="TWB2" s="161"/>
      <c r="TWC2" s="194"/>
      <c r="TWD2" s="194"/>
      <c r="TWE2" s="194"/>
      <c r="TWF2" s="161"/>
      <c r="TWG2" s="194"/>
      <c r="TWH2" s="194"/>
      <c r="TWI2" s="161"/>
      <c r="TWJ2" s="194"/>
      <c r="TWK2" s="194"/>
      <c r="TWL2" s="194"/>
      <c r="TWM2" s="194"/>
      <c r="TWN2" s="194"/>
      <c r="TWO2" s="194"/>
      <c r="TWP2" s="161"/>
      <c r="TWQ2" s="195"/>
      <c r="TWR2" s="195"/>
      <c r="TWS2" s="161"/>
      <c r="TWT2" s="161"/>
      <c r="TWU2" s="161"/>
      <c r="TWV2" s="161"/>
      <c r="TWW2" s="196"/>
      <c r="TWX2" s="196"/>
      <c r="TWY2" s="192"/>
      <c r="TWZ2" s="181"/>
      <c r="TXA2" s="180"/>
      <c r="TXB2" s="197"/>
      <c r="TXC2" s="179"/>
      <c r="TXD2" s="196"/>
      <c r="TXE2" s="179"/>
      <c r="TXF2" s="196"/>
      <c r="TXG2" s="196"/>
      <c r="TXH2" s="161"/>
      <c r="TXI2" s="193"/>
      <c r="TXJ2" s="193"/>
      <c r="TXK2" s="194"/>
      <c r="TXL2" s="194"/>
      <c r="TXM2" s="194"/>
      <c r="TXN2" s="194"/>
      <c r="TXO2" s="194"/>
      <c r="TXP2" s="161"/>
      <c r="TXQ2" s="161"/>
      <c r="TXR2" s="194"/>
      <c r="TXS2" s="161"/>
      <c r="TXT2" s="193"/>
      <c r="TXU2" s="194"/>
      <c r="TXV2" s="161"/>
      <c r="TXW2" s="161"/>
      <c r="TXX2" s="161"/>
      <c r="TXY2" s="194"/>
      <c r="TXZ2" s="194"/>
      <c r="TYA2" s="194"/>
      <c r="TYB2" s="161"/>
      <c r="TYC2" s="194"/>
      <c r="TYD2" s="194"/>
      <c r="TYE2" s="161"/>
      <c r="TYF2" s="194"/>
      <c r="TYG2" s="194"/>
      <c r="TYH2" s="194"/>
      <c r="TYI2" s="194"/>
      <c r="TYJ2" s="194"/>
      <c r="TYK2" s="194"/>
      <c r="TYL2" s="161"/>
      <c r="TYM2" s="195"/>
      <c r="TYN2" s="195"/>
      <c r="TYO2" s="161"/>
      <c r="TYP2" s="161"/>
      <c r="TYQ2" s="161"/>
      <c r="TYR2" s="161"/>
      <c r="TYS2" s="196"/>
      <c r="TYT2" s="196"/>
      <c r="TYU2" s="192"/>
      <c r="TYV2" s="181"/>
      <c r="TYW2" s="180"/>
      <c r="TYX2" s="197"/>
      <c r="TYY2" s="179"/>
      <c r="TYZ2" s="196"/>
      <c r="TZA2" s="179"/>
      <c r="TZB2" s="196"/>
      <c r="TZC2" s="196"/>
      <c r="TZD2" s="161"/>
      <c r="TZE2" s="193"/>
      <c r="TZF2" s="193"/>
      <c r="TZG2" s="194"/>
      <c r="TZH2" s="194"/>
      <c r="TZI2" s="194"/>
      <c r="TZJ2" s="194"/>
      <c r="TZK2" s="194"/>
      <c r="TZL2" s="161"/>
      <c r="TZM2" s="161"/>
      <c r="TZN2" s="194"/>
      <c r="TZO2" s="161"/>
      <c r="TZP2" s="193"/>
      <c r="TZQ2" s="194"/>
      <c r="TZR2" s="161"/>
      <c r="TZS2" s="161"/>
      <c r="TZT2" s="161"/>
      <c r="TZU2" s="194"/>
      <c r="TZV2" s="194"/>
      <c r="TZW2" s="194"/>
      <c r="TZX2" s="161"/>
      <c r="TZY2" s="194"/>
      <c r="TZZ2" s="194"/>
      <c r="UAA2" s="161"/>
      <c r="UAB2" s="194"/>
      <c r="UAC2" s="194"/>
      <c r="UAD2" s="194"/>
      <c r="UAE2" s="194"/>
      <c r="UAF2" s="194"/>
      <c r="UAG2" s="194"/>
      <c r="UAH2" s="161"/>
      <c r="UAI2" s="195"/>
      <c r="UAJ2" s="195"/>
      <c r="UAK2" s="161"/>
      <c r="UAL2" s="161"/>
      <c r="UAM2" s="161"/>
      <c r="UAN2" s="161"/>
      <c r="UAO2" s="196"/>
      <c r="UAP2" s="196"/>
      <c r="UAQ2" s="192"/>
      <c r="UAR2" s="181"/>
      <c r="UAS2" s="180"/>
      <c r="UAT2" s="197"/>
      <c r="UAU2" s="179"/>
      <c r="UAV2" s="196"/>
      <c r="UAW2" s="179"/>
      <c r="UAX2" s="196"/>
      <c r="UAY2" s="196"/>
      <c r="UAZ2" s="161"/>
      <c r="UBA2" s="193"/>
      <c r="UBB2" s="193"/>
      <c r="UBC2" s="194"/>
      <c r="UBD2" s="194"/>
      <c r="UBE2" s="194"/>
      <c r="UBF2" s="194"/>
      <c r="UBG2" s="194"/>
      <c r="UBH2" s="161"/>
      <c r="UBI2" s="161"/>
      <c r="UBJ2" s="194"/>
      <c r="UBK2" s="161"/>
      <c r="UBL2" s="193"/>
      <c r="UBM2" s="194"/>
      <c r="UBN2" s="161"/>
      <c r="UBO2" s="161"/>
      <c r="UBP2" s="161"/>
      <c r="UBQ2" s="194"/>
      <c r="UBR2" s="194"/>
      <c r="UBS2" s="194"/>
      <c r="UBT2" s="161"/>
      <c r="UBU2" s="194"/>
      <c r="UBV2" s="194"/>
      <c r="UBW2" s="161"/>
      <c r="UBX2" s="194"/>
      <c r="UBY2" s="194"/>
      <c r="UBZ2" s="194"/>
      <c r="UCA2" s="194"/>
      <c r="UCB2" s="194"/>
      <c r="UCC2" s="194"/>
      <c r="UCD2" s="161"/>
      <c r="UCE2" s="195"/>
      <c r="UCF2" s="195"/>
      <c r="UCG2" s="161"/>
      <c r="UCH2" s="161"/>
      <c r="UCI2" s="161"/>
      <c r="UCJ2" s="161"/>
      <c r="UCK2" s="196"/>
      <c r="UCL2" s="196"/>
      <c r="UCM2" s="192"/>
      <c r="UCN2" s="181"/>
      <c r="UCO2" s="180"/>
      <c r="UCP2" s="197"/>
      <c r="UCQ2" s="179"/>
      <c r="UCR2" s="196"/>
      <c r="UCS2" s="179"/>
      <c r="UCT2" s="196"/>
      <c r="UCU2" s="196"/>
      <c r="UCV2" s="161"/>
      <c r="UCW2" s="193"/>
      <c r="UCX2" s="193"/>
      <c r="UCY2" s="194"/>
      <c r="UCZ2" s="194"/>
      <c r="UDA2" s="194"/>
      <c r="UDB2" s="194"/>
      <c r="UDC2" s="194"/>
      <c r="UDD2" s="161"/>
      <c r="UDE2" s="161"/>
      <c r="UDF2" s="194"/>
      <c r="UDG2" s="161"/>
      <c r="UDH2" s="193"/>
      <c r="UDI2" s="194"/>
      <c r="UDJ2" s="161"/>
      <c r="UDK2" s="161"/>
      <c r="UDL2" s="161"/>
      <c r="UDM2" s="194"/>
      <c r="UDN2" s="194"/>
      <c r="UDO2" s="194"/>
      <c r="UDP2" s="161"/>
      <c r="UDQ2" s="194"/>
      <c r="UDR2" s="194"/>
      <c r="UDS2" s="161"/>
      <c r="UDT2" s="194"/>
      <c r="UDU2" s="194"/>
      <c r="UDV2" s="194"/>
      <c r="UDW2" s="194"/>
      <c r="UDX2" s="194"/>
      <c r="UDY2" s="194"/>
      <c r="UDZ2" s="161"/>
      <c r="UEA2" s="195"/>
      <c r="UEB2" s="195"/>
      <c r="UEC2" s="161"/>
      <c r="UED2" s="161"/>
      <c r="UEE2" s="161"/>
      <c r="UEF2" s="161"/>
      <c r="UEG2" s="196"/>
      <c r="UEH2" s="196"/>
      <c r="UEI2" s="192"/>
      <c r="UEJ2" s="181"/>
      <c r="UEK2" s="180"/>
      <c r="UEL2" s="197"/>
      <c r="UEM2" s="179"/>
      <c r="UEN2" s="196"/>
      <c r="UEO2" s="179"/>
      <c r="UEP2" s="196"/>
      <c r="UEQ2" s="196"/>
      <c r="UER2" s="161"/>
      <c r="UES2" s="193"/>
      <c r="UET2" s="193"/>
      <c r="UEU2" s="194"/>
      <c r="UEV2" s="194"/>
      <c r="UEW2" s="194"/>
      <c r="UEX2" s="194"/>
      <c r="UEY2" s="194"/>
      <c r="UEZ2" s="161"/>
      <c r="UFA2" s="161"/>
      <c r="UFB2" s="194"/>
      <c r="UFC2" s="161"/>
      <c r="UFD2" s="193"/>
      <c r="UFE2" s="194"/>
      <c r="UFF2" s="161"/>
      <c r="UFG2" s="161"/>
      <c r="UFH2" s="161"/>
      <c r="UFI2" s="194"/>
      <c r="UFJ2" s="194"/>
      <c r="UFK2" s="194"/>
      <c r="UFL2" s="161"/>
      <c r="UFM2" s="194"/>
      <c r="UFN2" s="194"/>
      <c r="UFO2" s="161"/>
      <c r="UFP2" s="194"/>
      <c r="UFQ2" s="194"/>
      <c r="UFR2" s="194"/>
      <c r="UFS2" s="194"/>
      <c r="UFT2" s="194"/>
      <c r="UFU2" s="194"/>
      <c r="UFV2" s="161"/>
      <c r="UFW2" s="195"/>
      <c r="UFX2" s="195"/>
      <c r="UFY2" s="161"/>
      <c r="UFZ2" s="161"/>
      <c r="UGA2" s="161"/>
      <c r="UGB2" s="161"/>
      <c r="UGC2" s="196"/>
      <c r="UGD2" s="196"/>
      <c r="UGE2" s="192"/>
      <c r="UGF2" s="181"/>
      <c r="UGG2" s="180"/>
      <c r="UGH2" s="197"/>
      <c r="UGI2" s="179"/>
      <c r="UGJ2" s="196"/>
      <c r="UGK2" s="179"/>
      <c r="UGL2" s="196"/>
      <c r="UGM2" s="196"/>
      <c r="UGN2" s="161"/>
      <c r="UGO2" s="193"/>
      <c r="UGP2" s="193"/>
      <c r="UGQ2" s="194"/>
      <c r="UGR2" s="194"/>
      <c r="UGS2" s="194"/>
      <c r="UGT2" s="194"/>
      <c r="UGU2" s="194"/>
      <c r="UGV2" s="161"/>
      <c r="UGW2" s="161"/>
      <c r="UGX2" s="194"/>
      <c r="UGY2" s="161"/>
      <c r="UGZ2" s="193"/>
      <c r="UHA2" s="194"/>
      <c r="UHB2" s="161"/>
      <c r="UHC2" s="161"/>
      <c r="UHD2" s="161"/>
      <c r="UHE2" s="194"/>
      <c r="UHF2" s="194"/>
      <c r="UHG2" s="194"/>
      <c r="UHH2" s="161"/>
      <c r="UHI2" s="194"/>
      <c r="UHJ2" s="194"/>
      <c r="UHK2" s="161"/>
      <c r="UHL2" s="194"/>
      <c r="UHM2" s="194"/>
      <c r="UHN2" s="194"/>
      <c r="UHO2" s="194"/>
      <c r="UHP2" s="194"/>
      <c r="UHQ2" s="194"/>
      <c r="UHR2" s="161"/>
      <c r="UHS2" s="195"/>
      <c r="UHT2" s="195"/>
      <c r="UHU2" s="161"/>
      <c r="UHV2" s="161"/>
      <c r="UHW2" s="161"/>
      <c r="UHX2" s="161"/>
      <c r="UHY2" s="196"/>
      <c r="UHZ2" s="196"/>
      <c r="UIA2" s="192"/>
      <c r="UIB2" s="181"/>
      <c r="UIC2" s="180"/>
      <c r="UID2" s="197"/>
      <c r="UIE2" s="179"/>
      <c r="UIF2" s="196"/>
      <c r="UIG2" s="179"/>
      <c r="UIH2" s="196"/>
      <c r="UII2" s="196"/>
      <c r="UIJ2" s="161"/>
      <c r="UIK2" s="193"/>
      <c r="UIL2" s="193"/>
      <c r="UIM2" s="194"/>
      <c r="UIN2" s="194"/>
      <c r="UIO2" s="194"/>
      <c r="UIP2" s="194"/>
      <c r="UIQ2" s="194"/>
      <c r="UIR2" s="161"/>
      <c r="UIS2" s="161"/>
      <c r="UIT2" s="194"/>
      <c r="UIU2" s="161"/>
      <c r="UIV2" s="193"/>
      <c r="UIW2" s="194"/>
      <c r="UIX2" s="161"/>
      <c r="UIY2" s="161"/>
      <c r="UIZ2" s="161"/>
      <c r="UJA2" s="194"/>
      <c r="UJB2" s="194"/>
      <c r="UJC2" s="194"/>
      <c r="UJD2" s="161"/>
      <c r="UJE2" s="194"/>
      <c r="UJF2" s="194"/>
      <c r="UJG2" s="161"/>
      <c r="UJH2" s="194"/>
      <c r="UJI2" s="194"/>
      <c r="UJJ2" s="194"/>
      <c r="UJK2" s="194"/>
      <c r="UJL2" s="194"/>
      <c r="UJM2" s="194"/>
      <c r="UJN2" s="161"/>
      <c r="UJO2" s="195"/>
      <c r="UJP2" s="195"/>
      <c r="UJQ2" s="161"/>
      <c r="UJR2" s="161"/>
      <c r="UJS2" s="161"/>
      <c r="UJT2" s="161"/>
      <c r="UJU2" s="196"/>
      <c r="UJV2" s="196"/>
      <c r="UJW2" s="192"/>
      <c r="UJX2" s="181"/>
      <c r="UJY2" s="180"/>
      <c r="UJZ2" s="197"/>
      <c r="UKA2" s="179"/>
      <c r="UKB2" s="196"/>
      <c r="UKC2" s="179"/>
      <c r="UKD2" s="196"/>
      <c r="UKE2" s="196"/>
      <c r="UKF2" s="161"/>
      <c r="UKG2" s="193"/>
      <c r="UKH2" s="193"/>
      <c r="UKI2" s="194"/>
      <c r="UKJ2" s="194"/>
      <c r="UKK2" s="194"/>
      <c r="UKL2" s="194"/>
      <c r="UKM2" s="194"/>
      <c r="UKN2" s="161"/>
      <c r="UKO2" s="161"/>
      <c r="UKP2" s="194"/>
      <c r="UKQ2" s="161"/>
      <c r="UKR2" s="193"/>
      <c r="UKS2" s="194"/>
      <c r="UKT2" s="161"/>
      <c r="UKU2" s="161"/>
      <c r="UKV2" s="161"/>
      <c r="UKW2" s="194"/>
      <c r="UKX2" s="194"/>
      <c r="UKY2" s="194"/>
      <c r="UKZ2" s="161"/>
      <c r="ULA2" s="194"/>
      <c r="ULB2" s="194"/>
      <c r="ULC2" s="161"/>
      <c r="ULD2" s="194"/>
      <c r="ULE2" s="194"/>
      <c r="ULF2" s="194"/>
      <c r="ULG2" s="194"/>
      <c r="ULH2" s="194"/>
      <c r="ULI2" s="194"/>
      <c r="ULJ2" s="161"/>
      <c r="ULK2" s="195"/>
      <c r="ULL2" s="195"/>
      <c r="ULM2" s="161"/>
      <c r="ULN2" s="161"/>
      <c r="ULO2" s="161"/>
      <c r="ULP2" s="161"/>
      <c r="ULQ2" s="196"/>
      <c r="ULR2" s="196"/>
      <c r="ULS2" s="192"/>
      <c r="ULT2" s="181"/>
      <c r="ULU2" s="180"/>
      <c r="ULV2" s="197"/>
      <c r="ULW2" s="179"/>
      <c r="ULX2" s="196"/>
      <c r="ULY2" s="179"/>
      <c r="ULZ2" s="196"/>
      <c r="UMA2" s="196"/>
      <c r="UMB2" s="161"/>
      <c r="UMC2" s="193"/>
      <c r="UMD2" s="193"/>
      <c r="UME2" s="194"/>
      <c r="UMF2" s="194"/>
      <c r="UMG2" s="194"/>
      <c r="UMH2" s="194"/>
      <c r="UMI2" s="194"/>
      <c r="UMJ2" s="161"/>
      <c r="UMK2" s="161"/>
      <c r="UML2" s="194"/>
      <c r="UMM2" s="161"/>
      <c r="UMN2" s="193"/>
      <c r="UMO2" s="194"/>
      <c r="UMP2" s="161"/>
      <c r="UMQ2" s="161"/>
      <c r="UMR2" s="161"/>
      <c r="UMS2" s="194"/>
      <c r="UMT2" s="194"/>
      <c r="UMU2" s="194"/>
      <c r="UMV2" s="161"/>
      <c r="UMW2" s="194"/>
      <c r="UMX2" s="194"/>
      <c r="UMY2" s="161"/>
      <c r="UMZ2" s="194"/>
      <c r="UNA2" s="194"/>
      <c r="UNB2" s="194"/>
      <c r="UNC2" s="194"/>
      <c r="UND2" s="194"/>
      <c r="UNE2" s="194"/>
      <c r="UNF2" s="161"/>
      <c r="UNG2" s="195"/>
      <c r="UNH2" s="195"/>
      <c r="UNI2" s="161"/>
      <c r="UNJ2" s="161"/>
      <c r="UNK2" s="161"/>
      <c r="UNL2" s="161"/>
      <c r="UNM2" s="196"/>
      <c r="UNN2" s="196"/>
      <c r="UNO2" s="192"/>
      <c r="UNP2" s="181"/>
      <c r="UNQ2" s="180"/>
      <c r="UNR2" s="197"/>
      <c r="UNS2" s="179"/>
      <c r="UNT2" s="196"/>
      <c r="UNU2" s="179"/>
      <c r="UNV2" s="196"/>
      <c r="UNW2" s="196"/>
      <c r="UNX2" s="161"/>
      <c r="UNY2" s="193"/>
      <c r="UNZ2" s="193"/>
      <c r="UOA2" s="194"/>
      <c r="UOB2" s="194"/>
      <c r="UOC2" s="194"/>
      <c r="UOD2" s="194"/>
      <c r="UOE2" s="194"/>
      <c r="UOF2" s="161"/>
      <c r="UOG2" s="161"/>
      <c r="UOH2" s="194"/>
      <c r="UOI2" s="161"/>
      <c r="UOJ2" s="193"/>
      <c r="UOK2" s="194"/>
      <c r="UOL2" s="161"/>
      <c r="UOM2" s="161"/>
      <c r="UON2" s="161"/>
      <c r="UOO2" s="194"/>
      <c r="UOP2" s="194"/>
      <c r="UOQ2" s="194"/>
      <c r="UOR2" s="161"/>
      <c r="UOS2" s="194"/>
      <c r="UOT2" s="194"/>
      <c r="UOU2" s="161"/>
      <c r="UOV2" s="194"/>
      <c r="UOW2" s="194"/>
      <c r="UOX2" s="194"/>
      <c r="UOY2" s="194"/>
      <c r="UOZ2" s="194"/>
      <c r="UPA2" s="194"/>
      <c r="UPB2" s="161"/>
      <c r="UPC2" s="195"/>
      <c r="UPD2" s="195"/>
      <c r="UPE2" s="161"/>
      <c r="UPF2" s="161"/>
      <c r="UPG2" s="161"/>
      <c r="UPH2" s="161"/>
      <c r="UPI2" s="196"/>
      <c r="UPJ2" s="196"/>
      <c r="UPK2" s="192"/>
      <c r="UPL2" s="181"/>
      <c r="UPM2" s="180"/>
      <c r="UPN2" s="197"/>
      <c r="UPO2" s="179"/>
      <c r="UPP2" s="196"/>
      <c r="UPQ2" s="179"/>
      <c r="UPR2" s="196"/>
      <c r="UPS2" s="196"/>
      <c r="UPT2" s="161"/>
      <c r="UPU2" s="193"/>
      <c r="UPV2" s="193"/>
      <c r="UPW2" s="194"/>
      <c r="UPX2" s="194"/>
      <c r="UPY2" s="194"/>
      <c r="UPZ2" s="194"/>
      <c r="UQA2" s="194"/>
      <c r="UQB2" s="161"/>
      <c r="UQC2" s="161"/>
      <c r="UQD2" s="194"/>
      <c r="UQE2" s="161"/>
      <c r="UQF2" s="193"/>
      <c r="UQG2" s="194"/>
      <c r="UQH2" s="161"/>
      <c r="UQI2" s="161"/>
      <c r="UQJ2" s="161"/>
      <c r="UQK2" s="194"/>
      <c r="UQL2" s="194"/>
      <c r="UQM2" s="194"/>
      <c r="UQN2" s="161"/>
      <c r="UQO2" s="194"/>
      <c r="UQP2" s="194"/>
      <c r="UQQ2" s="161"/>
      <c r="UQR2" s="194"/>
      <c r="UQS2" s="194"/>
      <c r="UQT2" s="194"/>
      <c r="UQU2" s="194"/>
      <c r="UQV2" s="194"/>
      <c r="UQW2" s="194"/>
      <c r="UQX2" s="161"/>
      <c r="UQY2" s="195"/>
      <c r="UQZ2" s="195"/>
      <c r="URA2" s="161"/>
      <c r="URB2" s="161"/>
      <c r="URC2" s="161"/>
      <c r="URD2" s="161"/>
      <c r="URE2" s="196"/>
      <c r="URF2" s="196"/>
      <c r="URG2" s="192"/>
      <c r="URH2" s="181"/>
      <c r="URI2" s="180"/>
      <c r="URJ2" s="197"/>
      <c r="URK2" s="179"/>
      <c r="URL2" s="196"/>
      <c r="URM2" s="179"/>
      <c r="URN2" s="196"/>
      <c r="URO2" s="196"/>
      <c r="URP2" s="161"/>
      <c r="URQ2" s="193"/>
      <c r="URR2" s="193"/>
      <c r="URS2" s="194"/>
      <c r="URT2" s="194"/>
      <c r="URU2" s="194"/>
      <c r="URV2" s="194"/>
      <c r="URW2" s="194"/>
      <c r="URX2" s="161"/>
      <c r="URY2" s="161"/>
      <c r="URZ2" s="194"/>
      <c r="USA2" s="161"/>
      <c r="USB2" s="193"/>
      <c r="USC2" s="194"/>
      <c r="USD2" s="161"/>
      <c r="USE2" s="161"/>
      <c r="USF2" s="161"/>
      <c r="USG2" s="194"/>
      <c r="USH2" s="194"/>
      <c r="USI2" s="194"/>
      <c r="USJ2" s="161"/>
      <c r="USK2" s="194"/>
      <c r="USL2" s="194"/>
      <c r="USM2" s="161"/>
      <c r="USN2" s="194"/>
      <c r="USO2" s="194"/>
      <c r="USP2" s="194"/>
      <c r="USQ2" s="194"/>
      <c r="USR2" s="194"/>
      <c r="USS2" s="194"/>
      <c r="UST2" s="161"/>
      <c r="USU2" s="195"/>
      <c r="USV2" s="195"/>
      <c r="USW2" s="161"/>
      <c r="USX2" s="161"/>
      <c r="USY2" s="161"/>
      <c r="USZ2" s="161"/>
      <c r="UTA2" s="196"/>
      <c r="UTB2" s="196"/>
      <c r="UTC2" s="192"/>
      <c r="UTD2" s="181"/>
      <c r="UTE2" s="180"/>
      <c r="UTF2" s="197"/>
      <c r="UTG2" s="179"/>
      <c r="UTH2" s="196"/>
      <c r="UTI2" s="179"/>
      <c r="UTJ2" s="196"/>
      <c r="UTK2" s="196"/>
      <c r="UTL2" s="161"/>
      <c r="UTM2" s="193"/>
      <c r="UTN2" s="193"/>
      <c r="UTO2" s="194"/>
      <c r="UTP2" s="194"/>
      <c r="UTQ2" s="194"/>
      <c r="UTR2" s="194"/>
      <c r="UTS2" s="194"/>
      <c r="UTT2" s="161"/>
      <c r="UTU2" s="161"/>
      <c r="UTV2" s="194"/>
      <c r="UTW2" s="161"/>
      <c r="UTX2" s="193"/>
      <c r="UTY2" s="194"/>
      <c r="UTZ2" s="161"/>
      <c r="UUA2" s="161"/>
      <c r="UUB2" s="161"/>
      <c r="UUC2" s="194"/>
      <c r="UUD2" s="194"/>
      <c r="UUE2" s="194"/>
      <c r="UUF2" s="161"/>
      <c r="UUG2" s="194"/>
      <c r="UUH2" s="194"/>
      <c r="UUI2" s="161"/>
      <c r="UUJ2" s="194"/>
      <c r="UUK2" s="194"/>
      <c r="UUL2" s="194"/>
      <c r="UUM2" s="194"/>
      <c r="UUN2" s="194"/>
      <c r="UUO2" s="194"/>
      <c r="UUP2" s="161"/>
      <c r="UUQ2" s="195"/>
      <c r="UUR2" s="195"/>
      <c r="UUS2" s="161"/>
      <c r="UUT2" s="161"/>
      <c r="UUU2" s="161"/>
      <c r="UUV2" s="161"/>
      <c r="UUW2" s="196"/>
      <c r="UUX2" s="196"/>
      <c r="UUY2" s="192"/>
      <c r="UUZ2" s="181"/>
      <c r="UVA2" s="180"/>
      <c r="UVB2" s="197"/>
      <c r="UVC2" s="179"/>
      <c r="UVD2" s="196"/>
      <c r="UVE2" s="179"/>
      <c r="UVF2" s="196"/>
      <c r="UVG2" s="196"/>
      <c r="UVH2" s="161"/>
      <c r="UVI2" s="193"/>
      <c r="UVJ2" s="193"/>
      <c r="UVK2" s="194"/>
      <c r="UVL2" s="194"/>
      <c r="UVM2" s="194"/>
      <c r="UVN2" s="194"/>
      <c r="UVO2" s="194"/>
      <c r="UVP2" s="161"/>
      <c r="UVQ2" s="161"/>
      <c r="UVR2" s="194"/>
      <c r="UVS2" s="161"/>
      <c r="UVT2" s="193"/>
      <c r="UVU2" s="194"/>
      <c r="UVV2" s="161"/>
      <c r="UVW2" s="161"/>
      <c r="UVX2" s="161"/>
      <c r="UVY2" s="194"/>
      <c r="UVZ2" s="194"/>
      <c r="UWA2" s="194"/>
      <c r="UWB2" s="161"/>
      <c r="UWC2" s="194"/>
      <c r="UWD2" s="194"/>
      <c r="UWE2" s="161"/>
      <c r="UWF2" s="194"/>
      <c r="UWG2" s="194"/>
      <c r="UWH2" s="194"/>
      <c r="UWI2" s="194"/>
      <c r="UWJ2" s="194"/>
      <c r="UWK2" s="194"/>
      <c r="UWL2" s="161"/>
      <c r="UWM2" s="195"/>
      <c r="UWN2" s="195"/>
      <c r="UWO2" s="161"/>
      <c r="UWP2" s="161"/>
      <c r="UWQ2" s="161"/>
      <c r="UWR2" s="161"/>
      <c r="UWS2" s="196"/>
      <c r="UWT2" s="196"/>
      <c r="UWU2" s="192"/>
      <c r="UWV2" s="181"/>
      <c r="UWW2" s="180"/>
      <c r="UWX2" s="197"/>
      <c r="UWY2" s="179"/>
      <c r="UWZ2" s="196"/>
      <c r="UXA2" s="179"/>
      <c r="UXB2" s="196"/>
      <c r="UXC2" s="196"/>
      <c r="UXD2" s="161"/>
      <c r="UXE2" s="193"/>
      <c r="UXF2" s="193"/>
      <c r="UXG2" s="194"/>
      <c r="UXH2" s="194"/>
      <c r="UXI2" s="194"/>
      <c r="UXJ2" s="194"/>
      <c r="UXK2" s="194"/>
      <c r="UXL2" s="161"/>
      <c r="UXM2" s="161"/>
      <c r="UXN2" s="194"/>
      <c r="UXO2" s="161"/>
      <c r="UXP2" s="193"/>
      <c r="UXQ2" s="194"/>
      <c r="UXR2" s="161"/>
      <c r="UXS2" s="161"/>
      <c r="UXT2" s="161"/>
      <c r="UXU2" s="194"/>
      <c r="UXV2" s="194"/>
      <c r="UXW2" s="194"/>
      <c r="UXX2" s="161"/>
      <c r="UXY2" s="194"/>
      <c r="UXZ2" s="194"/>
      <c r="UYA2" s="161"/>
      <c r="UYB2" s="194"/>
      <c r="UYC2" s="194"/>
      <c r="UYD2" s="194"/>
      <c r="UYE2" s="194"/>
      <c r="UYF2" s="194"/>
      <c r="UYG2" s="194"/>
      <c r="UYH2" s="161"/>
      <c r="UYI2" s="195"/>
      <c r="UYJ2" s="195"/>
      <c r="UYK2" s="161"/>
      <c r="UYL2" s="161"/>
      <c r="UYM2" s="161"/>
      <c r="UYN2" s="161"/>
      <c r="UYO2" s="196"/>
      <c r="UYP2" s="196"/>
      <c r="UYQ2" s="192"/>
      <c r="UYR2" s="181"/>
      <c r="UYS2" s="180"/>
      <c r="UYT2" s="197"/>
      <c r="UYU2" s="179"/>
      <c r="UYV2" s="196"/>
      <c r="UYW2" s="179"/>
      <c r="UYX2" s="196"/>
      <c r="UYY2" s="196"/>
      <c r="UYZ2" s="161"/>
      <c r="UZA2" s="193"/>
      <c r="UZB2" s="193"/>
      <c r="UZC2" s="194"/>
      <c r="UZD2" s="194"/>
      <c r="UZE2" s="194"/>
      <c r="UZF2" s="194"/>
      <c r="UZG2" s="194"/>
      <c r="UZH2" s="161"/>
      <c r="UZI2" s="161"/>
      <c r="UZJ2" s="194"/>
      <c r="UZK2" s="161"/>
      <c r="UZL2" s="193"/>
      <c r="UZM2" s="194"/>
      <c r="UZN2" s="161"/>
      <c r="UZO2" s="161"/>
      <c r="UZP2" s="161"/>
      <c r="UZQ2" s="194"/>
      <c r="UZR2" s="194"/>
      <c r="UZS2" s="194"/>
      <c r="UZT2" s="161"/>
      <c r="UZU2" s="194"/>
      <c r="UZV2" s="194"/>
      <c r="UZW2" s="161"/>
      <c r="UZX2" s="194"/>
      <c r="UZY2" s="194"/>
      <c r="UZZ2" s="194"/>
      <c r="VAA2" s="194"/>
      <c r="VAB2" s="194"/>
      <c r="VAC2" s="194"/>
      <c r="VAD2" s="161"/>
      <c r="VAE2" s="195"/>
      <c r="VAF2" s="195"/>
      <c r="VAG2" s="161"/>
      <c r="VAH2" s="161"/>
      <c r="VAI2" s="161"/>
      <c r="VAJ2" s="161"/>
      <c r="VAK2" s="196"/>
      <c r="VAL2" s="196"/>
      <c r="VAM2" s="192"/>
      <c r="VAN2" s="181"/>
      <c r="VAO2" s="180"/>
      <c r="VAP2" s="197"/>
      <c r="VAQ2" s="179"/>
      <c r="VAR2" s="196"/>
      <c r="VAS2" s="179"/>
      <c r="VAT2" s="196"/>
      <c r="VAU2" s="196"/>
      <c r="VAV2" s="161"/>
      <c r="VAW2" s="193"/>
      <c r="VAX2" s="193"/>
      <c r="VAY2" s="194"/>
      <c r="VAZ2" s="194"/>
      <c r="VBA2" s="194"/>
      <c r="VBB2" s="194"/>
      <c r="VBC2" s="194"/>
      <c r="VBD2" s="161"/>
      <c r="VBE2" s="161"/>
      <c r="VBF2" s="194"/>
      <c r="VBG2" s="161"/>
      <c r="VBH2" s="193"/>
      <c r="VBI2" s="194"/>
      <c r="VBJ2" s="161"/>
      <c r="VBK2" s="161"/>
      <c r="VBL2" s="161"/>
      <c r="VBM2" s="194"/>
      <c r="VBN2" s="194"/>
      <c r="VBO2" s="194"/>
      <c r="VBP2" s="161"/>
      <c r="VBQ2" s="194"/>
      <c r="VBR2" s="194"/>
      <c r="VBS2" s="161"/>
      <c r="VBT2" s="194"/>
      <c r="VBU2" s="194"/>
      <c r="VBV2" s="194"/>
      <c r="VBW2" s="194"/>
      <c r="VBX2" s="194"/>
      <c r="VBY2" s="194"/>
      <c r="VBZ2" s="161"/>
      <c r="VCA2" s="195"/>
      <c r="VCB2" s="195"/>
      <c r="VCC2" s="161"/>
      <c r="VCD2" s="161"/>
      <c r="VCE2" s="161"/>
      <c r="VCF2" s="161"/>
      <c r="VCG2" s="196"/>
      <c r="VCH2" s="196"/>
      <c r="VCI2" s="192"/>
      <c r="VCJ2" s="181"/>
      <c r="VCK2" s="180"/>
      <c r="VCL2" s="197"/>
      <c r="VCM2" s="179"/>
      <c r="VCN2" s="196"/>
      <c r="VCO2" s="179"/>
      <c r="VCP2" s="196"/>
      <c r="VCQ2" s="196"/>
      <c r="VCR2" s="161"/>
      <c r="VCS2" s="193"/>
      <c r="VCT2" s="193"/>
      <c r="VCU2" s="194"/>
      <c r="VCV2" s="194"/>
      <c r="VCW2" s="194"/>
      <c r="VCX2" s="194"/>
      <c r="VCY2" s="194"/>
      <c r="VCZ2" s="161"/>
      <c r="VDA2" s="161"/>
      <c r="VDB2" s="194"/>
      <c r="VDC2" s="161"/>
      <c r="VDD2" s="193"/>
      <c r="VDE2" s="194"/>
      <c r="VDF2" s="161"/>
      <c r="VDG2" s="161"/>
      <c r="VDH2" s="161"/>
      <c r="VDI2" s="194"/>
      <c r="VDJ2" s="194"/>
      <c r="VDK2" s="194"/>
      <c r="VDL2" s="161"/>
      <c r="VDM2" s="194"/>
      <c r="VDN2" s="194"/>
      <c r="VDO2" s="161"/>
      <c r="VDP2" s="194"/>
      <c r="VDQ2" s="194"/>
      <c r="VDR2" s="194"/>
      <c r="VDS2" s="194"/>
      <c r="VDT2" s="194"/>
      <c r="VDU2" s="194"/>
      <c r="VDV2" s="161"/>
      <c r="VDW2" s="195"/>
      <c r="VDX2" s="195"/>
      <c r="VDY2" s="161"/>
      <c r="VDZ2" s="161"/>
      <c r="VEA2" s="161"/>
      <c r="VEB2" s="161"/>
      <c r="VEC2" s="196"/>
      <c r="VED2" s="196"/>
      <c r="VEE2" s="192"/>
      <c r="VEF2" s="181"/>
      <c r="VEG2" s="180"/>
      <c r="VEH2" s="197"/>
      <c r="VEI2" s="179"/>
      <c r="VEJ2" s="196"/>
      <c r="VEK2" s="179"/>
      <c r="VEL2" s="196"/>
      <c r="VEM2" s="196"/>
      <c r="VEN2" s="161"/>
      <c r="VEO2" s="193"/>
      <c r="VEP2" s="193"/>
      <c r="VEQ2" s="194"/>
      <c r="VER2" s="194"/>
      <c r="VES2" s="194"/>
      <c r="VET2" s="194"/>
      <c r="VEU2" s="194"/>
      <c r="VEV2" s="161"/>
      <c r="VEW2" s="161"/>
      <c r="VEX2" s="194"/>
      <c r="VEY2" s="161"/>
      <c r="VEZ2" s="193"/>
      <c r="VFA2" s="194"/>
      <c r="VFB2" s="161"/>
      <c r="VFC2" s="161"/>
      <c r="VFD2" s="161"/>
      <c r="VFE2" s="194"/>
      <c r="VFF2" s="194"/>
      <c r="VFG2" s="194"/>
      <c r="VFH2" s="161"/>
      <c r="VFI2" s="194"/>
      <c r="VFJ2" s="194"/>
      <c r="VFK2" s="161"/>
      <c r="VFL2" s="194"/>
      <c r="VFM2" s="194"/>
      <c r="VFN2" s="194"/>
      <c r="VFO2" s="194"/>
      <c r="VFP2" s="194"/>
      <c r="VFQ2" s="194"/>
      <c r="VFR2" s="161"/>
      <c r="VFS2" s="195"/>
      <c r="VFT2" s="195"/>
      <c r="VFU2" s="161"/>
      <c r="VFV2" s="161"/>
      <c r="VFW2" s="161"/>
      <c r="VFX2" s="161"/>
      <c r="VFY2" s="196"/>
      <c r="VFZ2" s="196"/>
      <c r="VGA2" s="192"/>
      <c r="VGB2" s="181"/>
      <c r="VGC2" s="180"/>
      <c r="VGD2" s="197"/>
      <c r="VGE2" s="179"/>
      <c r="VGF2" s="196"/>
      <c r="VGG2" s="179"/>
      <c r="VGH2" s="196"/>
      <c r="VGI2" s="196"/>
      <c r="VGJ2" s="161"/>
      <c r="VGK2" s="193"/>
      <c r="VGL2" s="193"/>
      <c r="VGM2" s="194"/>
      <c r="VGN2" s="194"/>
      <c r="VGO2" s="194"/>
      <c r="VGP2" s="194"/>
      <c r="VGQ2" s="194"/>
      <c r="VGR2" s="161"/>
      <c r="VGS2" s="161"/>
      <c r="VGT2" s="194"/>
      <c r="VGU2" s="161"/>
      <c r="VGV2" s="193"/>
      <c r="VGW2" s="194"/>
      <c r="VGX2" s="161"/>
      <c r="VGY2" s="161"/>
      <c r="VGZ2" s="161"/>
      <c r="VHA2" s="194"/>
      <c r="VHB2" s="194"/>
      <c r="VHC2" s="194"/>
      <c r="VHD2" s="161"/>
      <c r="VHE2" s="194"/>
      <c r="VHF2" s="194"/>
      <c r="VHG2" s="161"/>
      <c r="VHH2" s="194"/>
      <c r="VHI2" s="194"/>
      <c r="VHJ2" s="194"/>
      <c r="VHK2" s="194"/>
      <c r="VHL2" s="194"/>
      <c r="VHM2" s="194"/>
      <c r="VHN2" s="161"/>
      <c r="VHO2" s="195"/>
      <c r="VHP2" s="195"/>
      <c r="VHQ2" s="161"/>
      <c r="VHR2" s="161"/>
      <c r="VHS2" s="161"/>
      <c r="VHT2" s="161"/>
      <c r="VHU2" s="196"/>
      <c r="VHV2" s="196"/>
      <c r="VHW2" s="192"/>
      <c r="VHX2" s="181"/>
      <c r="VHY2" s="180"/>
      <c r="VHZ2" s="197"/>
      <c r="VIA2" s="179"/>
      <c r="VIB2" s="196"/>
      <c r="VIC2" s="179"/>
      <c r="VID2" s="196"/>
      <c r="VIE2" s="196"/>
      <c r="VIF2" s="161"/>
      <c r="VIG2" s="193"/>
      <c r="VIH2" s="193"/>
      <c r="VII2" s="194"/>
      <c r="VIJ2" s="194"/>
      <c r="VIK2" s="194"/>
      <c r="VIL2" s="194"/>
      <c r="VIM2" s="194"/>
      <c r="VIN2" s="161"/>
      <c r="VIO2" s="161"/>
      <c r="VIP2" s="194"/>
      <c r="VIQ2" s="161"/>
      <c r="VIR2" s="193"/>
      <c r="VIS2" s="194"/>
      <c r="VIT2" s="161"/>
      <c r="VIU2" s="161"/>
      <c r="VIV2" s="161"/>
      <c r="VIW2" s="194"/>
      <c r="VIX2" s="194"/>
      <c r="VIY2" s="194"/>
      <c r="VIZ2" s="161"/>
      <c r="VJA2" s="194"/>
      <c r="VJB2" s="194"/>
      <c r="VJC2" s="161"/>
      <c r="VJD2" s="194"/>
      <c r="VJE2" s="194"/>
      <c r="VJF2" s="194"/>
      <c r="VJG2" s="194"/>
      <c r="VJH2" s="194"/>
      <c r="VJI2" s="194"/>
      <c r="VJJ2" s="161"/>
      <c r="VJK2" s="195"/>
      <c r="VJL2" s="195"/>
      <c r="VJM2" s="161"/>
      <c r="VJN2" s="161"/>
      <c r="VJO2" s="161"/>
      <c r="VJP2" s="161"/>
      <c r="VJQ2" s="196"/>
      <c r="VJR2" s="196"/>
      <c r="VJS2" s="192"/>
      <c r="VJT2" s="181"/>
      <c r="VJU2" s="180"/>
      <c r="VJV2" s="197"/>
      <c r="VJW2" s="179"/>
      <c r="VJX2" s="196"/>
      <c r="VJY2" s="179"/>
      <c r="VJZ2" s="196"/>
      <c r="VKA2" s="196"/>
      <c r="VKB2" s="161"/>
      <c r="VKC2" s="193"/>
      <c r="VKD2" s="193"/>
      <c r="VKE2" s="194"/>
      <c r="VKF2" s="194"/>
      <c r="VKG2" s="194"/>
      <c r="VKH2" s="194"/>
      <c r="VKI2" s="194"/>
      <c r="VKJ2" s="161"/>
      <c r="VKK2" s="161"/>
      <c r="VKL2" s="194"/>
      <c r="VKM2" s="161"/>
      <c r="VKN2" s="193"/>
      <c r="VKO2" s="194"/>
      <c r="VKP2" s="161"/>
      <c r="VKQ2" s="161"/>
      <c r="VKR2" s="161"/>
      <c r="VKS2" s="194"/>
      <c r="VKT2" s="194"/>
      <c r="VKU2" s="194"/>
      <c r="VKV2" s="161"/>
      <c r="VKW2" s="194"/>
      <c r="VKX2" s="194"/>
      <c r="VKY2" s="161"/>
      <c r="VKZ2" s="194"/>
      <c r="VLA2" s="194"/>
      <c r="VLB2" s="194"/>
      <c r="VLC2" s="194"/>
      <c r="VLD2" s="194"/>
      <c r="VLE2" s="194"/>
      <c r="VLF2" s="161"/>
      <c r="VLG2" s="195"/>
      <c r="VLH2" s="195"/>
      <c r="VLI2" s="161"/>
      <c r="VLJ2" s="161"/>
      <c r="VLK2" s="161"/>
      <c r="VLL2" s="161"/>
      <c r="VLM2" s="196"/>
      <c r="VLN2" s="196"/>
      <c r="VLO2" s="192"/>
      <c r="VLP2" s="181"/>
      <c r="VLQ2" s="180"/>
      <c r="VLR2" s="197"/>
      <c r="VLS2" s="179"/>
      <c r="VLT2" s="196"/>
      <c r="VLU2" s="179"/>
      <c r="VLV2" s="196"/>
      <c r="VLW2" s="196"/>
      <c r="VLX2" s="161"/>
      <c r="VLY2" s="193"/>
      <c r="VLZ2" s="193"/>
      <c r="VMA2" s="194"/>
      <c r="VMB2" s="194"/>
      <c r="VMC2" s="194"/>
      <c r="VMD2" s="194"/>
      <c r="VME2" s="194"/>
      <c r="VMF2" s="161"/>
      <c r="VMG2" s="161"/>
      <c r="VMH2" s="194"/>
      <c r="VMI2" s="161"/>
      <c r="VMJ2" s="193"/>
      <c r="VMK2" s="194"/>
      <c r="VML2" s="161"/>
      <c r="VMM2" s="161"/>
      <c r="VMN2" s="161"/>
      <c r="VMO2" s="194"/>
      <c r="VMP2" s="194"/>
      <c r="VMQ2" s="194"/>
      <c r="VMR2" s="161"/>
      <c r="VMS2" s="194"/>
      <c r="VMT2" s="194"/>
      <c r="VMU2" s="161"/>
      <c r="VMV2" s="194"/>
      <c r="VMW2" s="194"/>
      <c r="VMX2" s="194"/>
      <c r="VMY2" s="194"/>
      <c r="VMZ2" s="194"/>
      <c r="VNA2" s="194"/>
      <c r="VNB2" s="161"/>
      <c r="VNC2" s="195"/>
      <c r="VND2" s="195"/>
      <c r="VNE2" s="161"/>
      <c r="VNF2" s="161"/>
      <c r="VNG2" s="161"/>
      <c r="VNH2" s="161"/>
      <c r="VNI2" s="196"/>
      <c r="VNJ2" s="196"/>
      <c r="VNK2" s="192"/>
      <c r="VNL2" s="181"/>
      <c r="VNM2" s="180"/>
      <c r="VNN2" s="197"/>
      <c r="VNO2" s="179"/>
      <c r="VNP2" s="196"/>
      <c r="VNQ2" s="179"/>
      <c r="VNR2" s="196"/>
      <c r="VNS2" s="196"/>
      <c r="VNT2" s="161"/>
      <c r="VNU2" s="193"/>
      <c r="VNV2" s="193"/>
      <c r="VNW2" s="194"/>
      <c r="VNX2" s="194"/>
      <c r="VNY2" s="194"/>
      <c r="VNZ2" s="194"/>
      <c r="VOA2" s="194"/>
      <c r="VOB2" s="161"/>
      <c r="VOC2" s="161"/>
      <c r="VOD2" s="194"/>
      <c r="VOE2" s="161"/>
      <c r="VOF2" s="193"/>
      <c r="VOG2" s="194"/>
      <c r="VOH2" s="161"/>
      <c r="VOI2" s="161"/>
      <c r="VOJ2" s="161"/>
      <c r="VOK2" s="194"/>
      <c r="VOL2" s="194"/>
      <c r="VOM2" s="194"/>
      <c r="VON2" s="161"/>
      <c r="VOO2" s="194"/>
      <c r="VOP2" s="194"/>
      <c r="VOQ2" s="161"/>
      <c r="VOR2" s="194"/>
      <c r="VOS2" s="194"/>
      <c r="VOT2" s="194"/>
      <c r="VOU2" s="194"/>
      <c r="VOV2" s="194"/>
      <c r="VOW2" s="194"/>
      <c r="VOX2" s="161"/>
      <c r="VOY2" s="195"/>
      <c r="VOZ2" s="195"/>
      <c r="VPA2" s="161"/>
      <c r="VPB2" s="161"/>
      <c r="VPC2" s="161"/>
      <c r="VPD2" s="161"/>
      <c r="VPE2" s="196"/>
      <c r="VPF2" s="196"/>
      <c r="VPG2" s="192"/>
      <c r="VPH2" s="181"/>
      <c r="VPI2" s="180"/>
      <c r="VPJ2" s="197"/>
      <c r="VPK2" s="179"/>
      <c r="VPL2" s="196"/>
      <c r="VPM2" s="179"/>
      <c r="VPN2" s="196"/>
      <c r="VPO2" s="196"/>
      <c r="VPP2" s="161"/>
      <c r="VPQ2" s="193"/>
      <c r="VPR2" s="193"/>
      <c r="VPS2" s="194"/>
      <c r="VPT2" s="194"/>
      <c r="VPU2" s="194"/>
      <c r="VPV2" s="194"/>
      <c r="VPW2" s="194"/>
      <c r="VPX2" s="161"/>
      <c r="VPY2" s="161"/>
      <c r="VPZ2" s="194"/>
      <c r="VQA2" s="161"/>
      <c r="VQB2" s="193"/>
      <c r="VQC2" s="194"/>
      <c r="VQD2" s="161"/>
      <c r="VQE2" s="161"/>
      <c r="VQF2" s="161"/>
      <c r="VQG2" s="194"/>
      <c r="VQH2" s="194"/>
      <c r="VQI2" s="194"/>
      <c r="VQJ2" s="161"/>
      <c r="VQK2" s="194"/>
      <c r="VQL2" s="194"/>
      <c r="VQM2" s="161"/>
      <c r="VQN2" s="194"/>
      <c r="VQO2" s="194"/>
      <c r="VQP2" s="194"/>
      <c r="VQQ2" s="194"/>
      <c r="VQR2" s="194"/>
      <c r="VQS2" s="194"/>
      <c r="VQT2" s="161"/>
      <c r="VQU2" s="195"/>
      <c r="VQV2" s="195"/>
      <c r="VQW2" s="161"/>
      <c r="VQX2" s="161"/>
      <c r="VQY2" s="161"/>
      <c r="VQZ2" s="161"/>
      <c r="VRA2" s="196"/>
      <c r="VRB2" s="196"/>
      <c r="VRC2" s="192"/>
      <c r="VRD2" s="181"/>
      <c r="VRE2" s="180"/>
      <c r="VRF2" s="197"/>
      <c r="VRG2" s="179"/>
      <c r="VRH2" s="196"/>
      <c r="VRI2" s="179"/>
      <c r="VRJ2" s="196"/>
      <c r="VRK2" s="196"/>
      <c r="VRL2" s="161"/>
      <c r="VRM2" s="193"/>
      <c r="VRN2" s="193"/>
      <c r="VRO2" s="194"/>
      <c r="VRP2" s="194"/>
      <c r="VRQ2" s="194"/>
      <c r="VRR2" s="194"/>
      <c r="VRS2" s="194"/>
      <c r="VRT2" s="161"/>
      <c r="VRU2" s="161"/>
      <c r="VRV2" s="194"/>
      <c r="VRW2" s="161"/>
      <c r="VRX2" s="193"/>
      <c r="VRY2" s="194"/>
      <c r="VRZ2" s="161"/>
      <c r="VSA2" s="161"/>
      <c r="VSB2" s="161"/>
      <c r="VSC2" s="194"/>
      <c r="VSD2" s="194"/>
      <c r="VSE2" s="194"/>
      <c r="VSF2" s="161"/>
      <c r="VSG2" s="194"/>
      <c r="VSH2" s="194"/>
      <c r="VSI2" s="161"/>
      <c r="VSJ2" s="194"/>
      <c r="VSK2" s="194"/>
      <c r="VSL2" s="194"/>
      <c r="VSM2" s="194"/>
      <c r="VSN2" s="194"/>
      <c r="VSO2" s="194"/>
      <c r="VSP2" s="161"/>
      <c r="VSQ2" s="195"/>
      <c r="VSR2" s="195"/>
      <c r="VSS2" s="161"/>
      <c r="VST2" s="161"/>
      <c r="VSU2" s="161"/>
      <c r="VSV2" s="161"/>
      <c r="VSW2" s="196"/>
      <c r="VSX2" s="196"/>
      <c r="VSY2" s="192"/>
      <c r="VSZ2" s="181"/>
      <c r="VTA2" s="180"/>
      <c r="VTB2" s="197"/>
      <c r="VTC2" s="179"/>
      <c r="VTD2" s="196"/>
      <c r="VTE2" s="179"/>
      <c r="VTF2" s="196"/>
      <c r="VTG2" s="196"/>
      <c r="VTH2" s="161"/>
      <c r="VTI2" s="193"/>
      <c r="VTJ2" s="193"/>
      <c r="VTK2" s="194"/>
      <c r="VTL2" s="194"/>
      <c r="VTM2" s="194"/>
      <c r="VTN2" s="194"/>
      <c r="VTO2" s="194"/>
      <c r="VTP2" s="161"/>
      <c r="VTQ2" s="161"/>
      <c r="VTR2" s="194"/>
      <c r="VTS2" s="161"/>
      <c r="VTT2" s="193"/>
      <c r="VTU2" s="194"/>
      <c r="VTV2" s="161"/>
      <c r="VTW2" s="161"/>
      <c r="VTX2" s="161"/>
      <c r="VTY2" s="194"/>
      <c r="VTZ2" s="194"/>
      <c r="VUA2" s="194"/>
      <c r="VUB2" s="161"/>
      <c r="VUC2" s="194"/>
      <c r="VUD2" s="194"/>
      <c r="VUE2" s="161"/>
      <c r="VUF2" s="194"/>
      <c r="VUG2" s="194"/>
      <c r="VUH2" s="194"/>
      <c r="VUI2" s="194"/>
      <c r="VUJ2" s="194"/>
      <c r="VUK2" s="194"/>
      <c r="VUL2" s="161"/>
      <c r="VUM2" s="195"/>
      <c r="VUN2" s="195"/>
      <c r="VUO2" s="161"/>
      <c r="VUP2" s="161"/>
      <c r="VUQ2" s="161"/>
      <c r="VUR2" s="161"/>
      <c r="VUS2" s="196"/>
      <c r="VUT2" s="196"/>
      <c r="VUU2" s="192"/>
      <c r="VUV2" s="181"/>
      <c r="VUW2" s="180"/>
      <c r="VUX2" s="197"/>
      <c r="VUY2" s="179"/>
      <c r="VUZ2" s="196"/>
      <c r="VVA2" s="179"/>
      <c r="VVB2" s="196"/>
      <c r="VVC2" s="196"/>
      <c r="VVD2" s="161"/>
      <c r="VVE2" s="193"/>
      <c r="VVF2" s="193"/>
      <c r="VVG2" s="194"/>
      <c r="VVH2" s="194"/>
      <c r="VVI2" s="194"/>
      <c r="VVJ2" s="194"/>
      <c r="VVK2" s="194"/>
      <c r="VVL2" s="161"/>
      <c r="VVM2" s="161"/>
      <c r="VVN2" s="194"/>
      <c r="VVO2" s="161"/>
      <c r="VVP2" s="193"/>
      <c r="VVQ2" s="194"/>
      <c r="VVR2" s="161"/>
      <c r="VVS2" s="161"/>
      <c r="VVT2" s="161"/>
      <c r="VVU2" s="194"/>
      <c r="VVV2" s="194"/>
      <c r="VVW2" s="194"/>
      <c r="VVX2" s="161"/>
      <c r="VVY2" s="194"/>
      <c r="VVZ2" s="194"/>
      <c r="VWA2" s="161"/>
      <c r="VWB2" s="194"/>
      <c r="VWC2" s="194"/>
      <c r="VWD2" s="194"/>
      <c r="VWE2" s="194"/>
      <c r="VWF2" s="194"/>
      <c r="VWG2" s="194"/>
      <c r="VWH2" s="161"/>
      <c r="VWI2" s="195"/>
      <c r="VWJ2" s="195"/>
      <c r="VWK2" s="161"/>
      <c r="VWL2" s="161"/>
      <c r="VWM2" s="161"/>
      <c r="VWN2" s="161"/>
      <c r="VWO2" s="196"/>
      <c r="VWP2" s="196"/>
      <c r="VWQ2" s="192"/>
      <c r="VWR2" s="181"/>
      <c r="VWS2" s="180"/>
      <c r="VWT2" s="197"/>
      <c r="VWU2" s="179"/>
      <c r="VWV2" s="196"/>
      <c r="VWW2" s="179"/>
      <c r="VWX2" s="196"/>
      <c r="VWY2" s="196"/>
      <c r="VWZ2" s="161"/>
      <c r="VXA2" s="193"/>
      <c r="VXB2" s="193"/>
      <c r="VXC2" s="194"/>
      <c r="VXD2" s="194"/>
      <c r="VXE2" s="194"/>
      <c r="VXF2" s="194"/>
      <c r="VXG2" s="194"/>
      <c r="VXH2" s="161"/>
      <c r="VXI2" s="161"/>
      <c r="VXJ2" s="194"/>
      <c r="VXK2" s="161"/>
      <c r="VXL2" s="193"/>
      <c r="VXM2" s="194"/>
      <c r="VXN2" s="161"/>
      <c r="VXO2" s="161"/>
      <c r="VXP2" s="161"/>
      <c r="VXQ2" s="194"/>
      <c r="VXR2" s="194"/>
      <c r="VXS2" s="194"/>
      <c r="VXT2" s="161"/>
      <c r="VXU2" s="194"/>
      <c r="VXV2" s="194"/>
      <c r="VXW2" s="161"/>
      <c r="VXX2" s="194"/>
      <c r="VXY2" s="194"/>
      <c r="VXZ2" s="194"/>
      <c r="VYA2" s="194"/>
      <c r="VYB2" s="194"/>
      <c r="VYC2" s="194"/>
      <c r="VYD2" s="161"/>
      <c r="VYE2" s="195"/>
      <c r="VYF2" s="195"/>
      <c r="VYG2" s="161"/>
      <c r="VYH2" s="161"/>
      <c r="VYI2" s="161"/>
      <c r="VYJ2" s="161"/>
      <c r="VYK2" s="196"/>
      <c r="VYL2" s="196"/>
      <c r="VYM2" s="192"/>
      <c r="VYN2" s="181"/>
      <c r="VYO2" s="180"/>
      <c r="VYP2" s="197"/>
      <c r="VYQ2" s="179"/>
      <c r="VYR2" s="196"/>
      <c r="VYS2" s="179"/>
      <c r="VYT2" s="196"/>
      <c r="VYU2" s="196"/>
      <c r="VYV2" s="161"/>
      <c r="VYW2" s="193"/>
      <c r="VYX2" s="193"/>
      <c r="VYY2" s="194"/>
      <c r="VYZ2" s="194"/>
      <c r="VZA2" s="194"/>
      <c r="VZB2" s="194"/>
      <c r="VZC2" s="194"/>
      <c r="VZD2" s="161"/>
      <c r="VZE2" s="161"/>
      <c r="VZF2" s="194"/>
      <c r="VZG2" s="161"/>
      <c r="VZH2" s="193"/>
      <c r="VZI2" s="194"/>
      <c r="VZJ2" s="161"/>
      <c r="VZK2" s="161"/>
      <c r="VZL2" s="161"/>
      <c r="VZM2" s="194"/>
      <c r="VZN2" s="194"/>
      <c r="VZO2" s="194"/>
      <c r="VZP2" s="161"/>
      <c r="VZQ2" s="194"/>
      <c r="VZR2" s="194"/>
      <c r="VZS2" s="161"/>
      <c r="VZT2" s="194"/>
      <c r="VZU2" s="194"/>
      <c r="VZV2" s="194"/>
      <c r="VZW2" s="194"/>
      <c r="VZX2" s="194"/>
      <c r="VZY2" s="194"/>
      <c r="VZZ2" s="161"/>
      <c r="WAA2" s="195"/>
      <c r="WAB2" s="195"/>
      <c r="WAC2" s="161"/>
      <c r="WAD2" s="161"/>
      <c r="WAE2" s="161"/>
      <c r="WAF2" s="161"/>
      <c r="WAG2" s="196"/>
      <c r="WAH2" s="196"/>
      <c r="WAI2" s="192"/>
      <c r="WAJ2" s="181"/>
      <c r="WAK2" s="180"/>
      <c r="WAL2" s="197"/>
      <c r="WAM2" s="179"/>
      <c r="WAN2" s="196"/>
      <c r="WAO2" s="179"/>
      <c r="WAP2" s="196"/>
      <c r="WAQ2" s="196"/>
      <c r="WAR2" s="161"/>
      <c r="WAS2" s="193"/>
      <c r="WAT2" s="193"/>
      <c r="WAU2" s="194"/>
      <c r="WAV2" s="194"/>
      <c r="WAW2" s="194"/>
      <c r="WAX2" s="194"/>
      <c r="WAY2" s="194"/>
      <c r="WAZ2" s="161"/>
      <c r="WBA2" s="161"/>
      <c r="WBB2" s="194"/>
      <c r="WBC2" s="161"/>
      <c r="WBD2" s="193"/>
      <c r="WBE2" s="194"/>
      <c r="WBF2" s="161"/>
      <c r="WBG2" s="161"/>
      <c r="WBH2" s="161"/>
      <c r="WBI2" s="194"/>
      <c r="WBJ2" s="194"/>
      <c r="WBK2" s="194"/>
      <c r="WBL2" s="161"/>
      <c r="WBM2" s="194"/>
      <c r="WBN2" s="194"/>
      <c r="WBO2" s="161"/>
      <c r="WBP2" s="194"/>
      <c r="WBQ2" s="194"/>
      <c r="WBR2" s="194"/>
      <c r="WBS2" s="194"/>
      <c r="WBT2" s="194"/>
      <c r="WBU2" s="194"/>
      <c r="WBV2" s="161"/>
      <c r="WBW2" s="195"/>
      <c r="WBX2" s="195"/>
      <c r="WBY2" s="161"/>
      <c r="WBZ2" s="161"/>
      <c r="WCA2" s="161"/>
      <c r="WCB2" s="161"/>
      <c r="WCC2" s="196"/>
      <c r="WCD2" s="196"/>
      <c r="WCE2" s="192"/>
      <c r="WCF2" s="181"/>
      <c r="WCG2" s="180"/>
      <c r="WCH2" s="197"/>
      <c r="WCI2" s="179"/>
      <c r="WCJ2" s="196"/>
      <c r="WCK2" s="179"/>
      <c r="WCL2" s="196"/>
      <c r="WCM2" s="196"/>
      <c r="WCN2" s="161"/>
      <c r="WCO2" s="193"/>
      <c r="WCP2" s="193"/>
      <c r="WCQ2" s="194"/>
      <c r="WCR2" s="194"/>
      <c r="WCS2" s="194"/>
      <c r="WCT2" s="194"/>
      <c r="WCU2" s="194"/>
      <c r="WCV2" s="161"/>
      <c r="WCW2" s="161"/>
      <c r="WCX2" s="194"/>
      <c r="WCY2" s="161"/>
      <c r="WCZ2" s="193"/>
      <c r="WDA2" s="194"/>
      <c r="WDB2" s="161"/>
      <c r="WDC2" s="161"/>
      <c r="WDD2" s="161"/>
      <c r="WDE2" s="194"/>
      <c r="WDF2" s="194"/>
      <c r="WDG2" s="194"/>
      <c r="WDH2" s="161"/>
      <c r="WDI2" s="194"/>
      <c r="WDJ2" s="194"/>
      <c r="WDK2" s="161"/>
      <c r="WDL2" s="194"/>
      <c r="WDM2" s="194"/>
      <c r="WDN2" s="194"/>
      <c r="WDO2" s="194"/>
      <c r="WDP2" s="194"/>
      <c r="WDQ2" s="194"/>
      <c r="WDR2" s="161"/>
      <c r="WDS2" s="195"/>
      <c r="WDT2" s="195"/>
      <c r="WDU2" s="161"/>
      <c r="WDV2" s="161"/>
      <c r="WDW2" s="161"/>
      <c r="WDX2" s="161"/>
      <c r="WDY2" s="196"/>
      <c r="WDZ2" s="196"/>
      <c r="WEA2" s="192"/>
      <c r="WEB2" s="181"/>
      <c r="WEC2" s="180"/>
      <c r="WED2" s="197"/>
      <c r="WEE2" s="179"/>
      <c r="WEF2" s="196"/>
      <c r="WEG2" s="179"/>
      <c r="WEH2" s="196"/>
      <c r="WEI2" s="196"/>
      <c r="WEJ2" s="161"/>
      <c r="WEK2" s="193"/>
      <c r="WEL2" s="193"/>
      <c r="WEM2" s="194"/>
      <c r="WEN2" s="194"/>
      <c r="WEO2" s="194"/>
      <c r="WEP2" s="194"/>
      <c r="WEQ2" s="194"/>
      <c r="WER2" s="161"/>
      <c r="WES2" s="161"/>
      <c r="WET2" s="194"/>
      <c r="WEU2" s="161"/>
      <c r="WEV2" s="193"/>
      <c r="WEW2" s="194"/>
      <c r="WEX2" s="161"/>
      <c r="WEY2" s="161"/>
      <c r="WEZ2" s="161"/>
      <c r="WFA2" s="194"/>
      <c r="WFB2" s="194"/>
      <c r="WFC2" s="194"/>
      <c r="WFD2" s="161"/>
      <c r="WFE2" s="194"/>
      <c r="WFF2" s="194"/>
      <c r="WFG2" s="161"/>
      <c r="WFH2" s="194"/>
      <c r="WFI2" s="194"/>
      <c r="WFJ2" s="194"/>
      <c r="WFK2" s="194"/>
      <c r="WFL2" s="194"/>
      <c r="WFM2" s="194"/>
      <c r="WFN2" s="161"/>
      <c r="WFO2" s="195"/>
      <c r="WFP2" s="195"/>
      <c r="WFQ2" s="161"/>
      <c r="WFR2" s="161"/>
      <c r="WFS2" s="161"/>
      <c r="WFT2" s="161"/>
      <c r="WFU2" s="196"/>
      <c r="WFV2" s="196"/>
      <c r="WFW2" s="192"/>
      <c r="WFX2" s="181"/>
      <c r="WFY2" s="180"/>
      <c r="WFZ2" s="197"/>
      <c r="WGA2" s="179"/>
      <c r="WGB2" s="196"/>
      <c r="WGC2" s="179"/>
      <c r="WGD2" s="196"/>
      <c r="WGE2" s="196"/>
      <c r="WGF2" s="161"/>
      <c r="WGG2" s="193"/>
      <c r="WGH2" s="193"/>
      <c r="WGI2" s="194"/>
      <c r="WGJ2" s="194"/>
      <c r="WGK2" s="194"/>
      <c r="WGL2" s="194"/>
      <c r="WGM2" s="194"/>
      <c r="WGN2" s="161"/>
      <c r="WGO2" s="161"/>
      <c r="WGP2" s="194"/>
      <c r="WGQ2" s="161"/>
      <c r="WGR2" s="193"/>
      <c r="WGS2" s="194"/>
      <c r="WGT2" s="161"/>
      <c r="WGU2" s="161"/>
      <c r="WGV2" s="161"/>
      <c r="WGW2" s="194"/>
      <c r="WGX2" s="194"/>
      <c r="WGY2" s="194"/>
      <c r="WGZ2" s="161"/>
      <c r="WHA2" s="194"/>
      <c r="WHB2" s="194"/>
      <c r="WHC2" s="161"/>
      <c r="WHD2" s="194"/>
      <c r="WHE2" s="194"/>
      <c r="WHF2" s="194"/>
      <c r="WHG2" s="194"/>
      <c r="WHH2" s="194"/>
      <c r="WHI2" s="194"/>
      <c r="WHJ2" s="161"/>
      <c r="WHK2" s="195"/>
      <c r="WHL2" s="195"/>
      <c r="WHM2" s="161"/>
      <c r="WHN2" s="161"/>
      <c r="WHO2" s="161"/>
      <c r="WHP2" s="161"/>
      <c r="WHQ2" s="196"/>
      <c r="WHR2" s="196"/>
      <c r="WHS2" s="192"/>
      <c r="WHT2" s="181"/>
      <c r="WHU2" s="180"/>
      <c r="WHV2" s="197"/>
      <c r="WHW2" s="179"/>
      <c r="WHX2" s="196"/>
      <c r="WHY2" s="179"/>
      <c r="WHZ2" s="196"/>
      <c r="WIA2" s="196"/>
      <c r="WIB2" s="161"/>
      <c r="WIC2" s="193"/>
      <c r="WID2" s="193"/>
      <c r="WIE2" s="194"/>
      <c r="WIF2" s="194"/>
      <c r="WIG2" s="194"/>
      <c r="WIH2" s="194"/>
      <c r="WII2" s="194"/>
      <c r="WIJ2" s="161"/>
      <c r="WIK2" s="161"/>
      <c r="WIL2" s="194"/>
      <c r="WIM2" s="161"/>
      <c r="WIN2" s="193"/>
      <c r="WIO2" s="194"/>
      <c r="WIP2" s="161"/>
      <c r="WIQ2" s="161"/>
      <c r="WIR2" s="161"/>
      <c r="WIS2" s="194"/>
      <c r="WIT2" s="194"/>
      <c r="WIU2" s="194"/>
      <c r="WIV2" s="161"/>
      <c r="WIW2" s="194"/>
      <c r="WIX2" s="194"/>
      <c r="WIY2" s="161"/>
      <c r="WIZ2" s="194"/>
      <c r="WJA2" s="194"/>
      <c r="WJB2" s="194"/>
      <c r="WJC2" s="194"/>
      <c r="WJD2" s="194"/>
      <c r="WJE2" s="194"/>
      <c r="WJF2" s="161"/>
      <c r="WJG2" s="195"/>
      <c r="WJH2" s="195"/>
      <c r="WJI2" s="161"/>
      <c r="WJJ2" s="161"/>
      <c r="WJK2" s="161"/>
      <c r="WJL2" s="161"/>
      <c r="WJM2" s="196"/>
      <c r="WJN2" s="196"/>
      <c r="WJO2" s="192"/>
      <c r="WJP2" s="181"/>
      <c r="WJQ2" s="180"/>
      <c r="WJR2" s="197"/>
      <c r="WJS2" s="179"/>
      <c r="WJT2" s="196"/>
      <c r="WJU2" s="179"/>
      <c r="WJV2" s="196"/>
      <c r="WJW2" s="196"/>
      <c r="WJX2" s="161"/>
      <c r="WJY2" s="193"/>
      <c r="WJZ2" s="193"/>
      <c r="WKA2" s="194"/>
      <c r="WKB2" s="194"/>
      <c r="WKC2" s="194"/>
      <c r="WKD2" s="194"/>
      <c r="WKE2" s="194"/>
      <c r="WKF2" s="161"/>
      <c r="WKG2" s="161"/>
      <c r="WKH2" s="194"/>
      <c r="WKI2" s="161"/>
      <c r="WKJ2" s="193"/>
      <c r="WKK2" s="194"/>
      <c r="WKL2" s="161"/>
      <c r="WKM2" s="161"/>
      <c r="WKN2" s="161"/>
      <c r="WKO2" s="194"/>
      <c r="WKP2" s="194"/>
      <c r="WKQ2" s="194"/>
      <c r="WKR2" s="161"/>
      <c r="WKS2" s="194"/>
      <c r="WKT2" s="194"/>
      <c r="WKU2" s="161"/>
      <c r="WKV2" s="194"/>
      <c r="WKW2" s="194"/>
      <c r="WKX2" s="194"/>
      <c r="WKY2" s="194"/>
      <c r="WKZ2" s="194"/>
      <c r="WLA2" s="194"/>
      <c r="WLB2" s="161"/>
      <c r="WLC2" s="195"/>
      <c r="WLD2" s="195"/>
      <c r="WLE2" s="161"/>
      <c r="WLF2" s="161"/>
      <c r="WLG2" s="161"/>
      <c r="WLH2" s="161"/>
      <c r="WLI2" s="196"/>
      <c r="WLJ2" s="196"/>
      <c r="WLK2" s="192"/>
      <c r="WLL2" s="181"/>
      <c r="WLM2" s="180"/>
      <c r="WLN2" s="197"/>
      <c r="WLO2" s="179"/>
      <c r="WLP2" s="196"/>
      <c r="WLQ2" s="179"/>
      <c r="WLR2" s="196"/>
      <c r="WLS2" s="196"/>
      <c r="WLT2" s="161"/>
      <c r="WLU2" s="193"/>
      <c r="WLV2" s="193"/>
      <c r="WLW2" s="194"/>
      <c r="WLX2" s="194"/>
      <c r="WLY2" s="194"/>
      <c r="WLZ2" s="194"/>
      <c r="WMA2" s="194"/>
      <c r="WMB2" s="161"/>
      <c r="WMC2" s="161"/>
      <c r="WMD2" s="194"/>
      <c r="WME2" s="161"/>
      <c r="WMF2" s="193"/>
      <c r="WMG2" s="194"/>
      <c r="WMH2" s="161"/>
      <c r="WMI2" s="161"/>
      <c r="WMJ2" s="161"/>
      <c r="WMK2" s="194"/>
      <c r="WML2" s="194"/>
      <c r="WMM2" s="194"/>
      <c r="WMN2" s="161"/>
      <c r="WMO2" s="194"/>
      <c r="WMP2" s="194"/>
      <c r="WMQ2" s="161"/>
      <c r="WMR2" s="194"/>
      <c r="WMS2" s="194"/>
      <c r="WMT2" s="194"/>
      <c r="WMU2" s="194"/>
      <c r="WMV2" s="194"/>
      <c r="WMW2" s="194"/>
      <c r="WMX2" s="161"/>
      <c r="WMY2" s="195"/>
      <c r="WMZ2" s="195"/>
      <c r="WNA2" s="161"/>
      <c r="WNB2" s="161"/>
      <c r="WNC2" s="161"/>
      <c r="WND2" s="161"/>
      <c r="WNE2" s="196"/>
      <c r="WNF2" s="196"/>
      <c r="WNG2" s="192"/>
      <c r="WNH2" s="181"/>
      <c r="WNI2" s="180"/>
      <c r="WNJ2" s="197"/>
      <c r="WNK2" s="179"/>
      <c r="WNL2" s="196"/>
      <c r="WNM2" s="179"/>
      <c r="WNN2" s="196"/>
      <c r="WNO2" s="196"/>
      <c r="WNP2" s="161"/>
      <c r="WNQ2" s="193"/>
      <c r="WNR2" s="193"/>
      <c r="WNS2" s="194"/>
      <c r="WNT2" s="194"/>
      <c r="WNU2" s="194"/>
      <c r="WNV2" s="194"/>
      <c r="WNW2" s="194"/>
      <c r="WNX2" s="161"/>
      <c r="WNY2" s="161"/>
      <c r="WNZ2" s="194"/>
      <c r="WOA2" s="161"/>
      <c r="WOB2" s="193"/>
      <c r="WOC2" s="194"/>
      <c r="WOD2" s="161"/>
      <c r="WOE2" s="161"/>
      <c r="WOF2" s="161"/>
      <c r="WOG2" s="194"/>
      <c r="WOH2" s="194"/>
      <c r="WOI2" s="194"/>
      <c r="WOJ2" s="161"/>
      <c r="WOK2" s="194"/>
      <c r="WOL2" s="194"/>
      <c r="WOM2" s="161"/>
      <c r="WON2" s="194"/>
      <c r="WOO2" s="194"/>
      <c r="WOP2" s="194"/>
      <c r="WOQ2" s="194"/>
      <c r="WOR2" s="194"/>
      <c r="WOS2" s="194"/>
      <c r="WOT2" s="161"/>
      <c r="WOU2" s="195"/>
      <c r="WOV2" s="195"/>
      <c r="WOW2" s="161"/>
      <c r="WOX2" s="161"/>
      <c r="WOY2" s="161"/>
      <c r="WOZ2" s="161"/>
      <c r="WPA2" s="196"/>
      <c r="WPB2" s="196"/>
      <c r="WPC2" s="192"/>
      <c r="WPD2" s="181"/>
      <c r="WPE2" s="180"/>
      <c r="WPF2" s="197"/>
      <c r="WPG2" s="179"/>
      <c r="WPH2" s="196"/>
      <c r="WPI2" s="179"/>
      <c r="WPJ2" s="196"/>
      <c r="WPK2" s="196"/>
      <c r="WPL2" s="161"/>
      <c r="WPM2" s="193"/>
      <c r="WPN2" s="193"/>
      <c r="WPO2" s="194"/>
      <c r="WPP2" s="194"/>
      <c r="WPQ2" s="194"/>
      <c r="WPR2" s="194"/>
      <c r="WPS2" s="194"/>
      <c r="WPT2" s="161"/>
      <c r="WPU2" s="161"/>
      <c r="WPV2" s="194"/>
      <c r="WPW2" s="161"/>
      <c r="WPX2" s="193"/>
      <c r="WPY2" s="194"/>
      <c r="WPZ2" s="161"/>
      <c r="WQA2" s="161"/>
      <c r="WQB2" s="161"/>
      <c r="WQC2" s="194"/>
      <c r="WQD2" s="194"/>
      <c r="WQE2" s="194"/>
      <c r="WQF2" s="161"/>
      <c r="WQG2" s="194"/>
      <c r="WQH2" s="194"/>
      <c r="WQI2" s="161"/>
      <c r="WQJ2" s="194"/>
      <c r="WQK2" s="194"/>
      <c r="WQL2" s="194"/>
      <c r="WQM2" s="194"/>
      <c r="WQN2" s="194"/>
      <c r="WQO2" s="194"/>
      <c r="WQP2" s="161"/>
      <c r="WQQ2" s="195"/>
      <c r="WQR2" s="195"/>
      <c r="WQS2" s="161"/>
      <c r="WQT2" s="161"/>
      <c r="WQU2" s="161"/>
      <c r="WQV2" s="161"/>
      <c r="WQW2" s="196"/>
      <c r="WQX2" s="196"/>
      <c r="WQY2" s="192"/>
      <c r="WQZ2" s="181"/>
      <c r="WRA2" s="180"/>
      <c r="WRB2" s="197"/>
      <c r="WRC2" s="179"/>
      <c r="WRD2" s="196"/>
      <c r="WRE2" s="179"/>
      <c r="WRF2" s="196"/>
      <c r="WRG2" s="196"/>
      <c r="WRH2" s="161"/>
      <c r="WRI2" s="193"/>
      <c r="WRJ2" s="193"/>
      <c r="WRK2" s="194"/>
      <c r="WRL2" s="194"/>
      <c r="WRM2" s="194"/>
      <c r="WRN2" s="194"/>
      <c r="WRO2" s="194"/>
      <c r="WRP2" s="161"/>
      <c r="WRQ2" s="161"/>
      <c r="WRR2" s="194"/>
      <c r="WRS2" s="161"/>
      <c r="WRT2" s="193"/>
      <c r="WRU2" s="194"/>
      <c r="WRV2" s="161"/>
      <c r="WRW2" s="161"/>
      <c r="WRX2" s="161"/>
      <c r="WRY2" s="194"/>
      <c r="WRZ2" s="194"/>
      <c r="WSA2" s="194"/>
      <c r="WSB2" s="161"/>
      <c r="WSC2" s="194"/>
      <c r="WSD2" s="194"/>
      <c r="WSE2" s="161"/>
      <c r="WSF2" s="194"/>
      <c r="WSG2" s="194"/>
      <c r="WSH2" s="194"/>
      <c r="WSI2" s="194"/>
      <c r="WSJ2" s="194"/>
      <c r="WSK2" s="194"/>
      <c r="WSL2" s="161"/>
      <c r="WSM2" s="195"/>
      <c r="WSN2" s="195"/>
      <c r="WSO2" s="161"/>
      <c r="WSP2" s="161"/>
      <c r="WSQ2" s="161"/>
      <c r="WSR2" s="161"/>
      <c r="WSS2" s="196"/>
      <c r="WST2" s="196"/>
      <c r="WSU2" s="192"/>
      <c r="WSV2" s="181"/>
      <c r="WSW2" s="180"/>
      <c r="WSX2" s="197"/>
      <c r="WSY2" s="179"/>
      <c r="WSZ2" s="196"/>
      <c r="WTA2" s="179"/>
      <c r="WTB2" s="196"/>
      <c r="WTC2" s="196"/>
      <c r="WTD2" s="161"/>
      <c r="WTE2" s="193"/>
      <c r="WTF2" s="193"/>
      <c r="WTG2" s="194"/>
      <c r="WTH2" s="194"/>
      <c r="WTI2" s="194"/>
      <c r="WTJ2" s="194"/>
      <c r="WTK2" s="194"/>
      <c r="WTL2" s="161"/>
      <c r="WTM2" s="161"/>
      <c r="WTN2" s="194"/>
      <c r="WTO2" s="161"/>
      <c r="WTP2" s="193"/>
      <c r="WTQ2" s="194"/>
      <c r="WTR2" s="161"/>
      <c r="WTS2" s="161"/>
      <c r="WTT2" s="161"/>
      <c r="WTU2" s="194"/>
      <c r="WTV2" s="194"/>
      <c r="WTW2" s="194"/>
      <c r="WTX2" s="161"/>
      <c r="WTY2" s="194"/>
      <c r="WTZ2" s="194"/>
      <c r="WUA2" s="161"/>
      <c r="WUB2" s="194"/>
      <c r="WUC2" s="194"/>
      <c r="WUD2" s="194"/>
      <c r="WUE2" s="194"/>
      <c r="WUF2" s="194"/>
      <c r="WUG2" s="194"/>
      <c r="WUH2" s="161"/>
      <c r="WUI2" s="195"/>
      <c r="WUJ2" s="195"/>
      <c r="WUK2" s="161"/>
      <c r="WUL2" s="161"/>
      <c r="WUM2" s="161"/>
      <c r="WUN2" s="161"/>
      <c r="WUO2" s="196"/>
      <c r="WUP2" s="196"/>
      <c r="WUQ2" s="192"/>
      <c r="WUR2" s="181"/>
      <c r="WUS2" s="180"/>
      <c r="WUT2" s="197"/>
      <c r="WUU2" s="179"/>
      <c r="WUV2" s="196"/>
      <c r="WUW2" s="179"/>
      <c r="WUX2" s="196"/>
      <c r="WUY2" s="196"/>
      <c r="WUZ2" s="161"/>
      <c r="WVA2" s="193"/>
      <c r="WVB2" s="193"/>
      <c r="WVC2" s="194"/>
      <c r="WVD2" s="194"/>
      <c r="WVE2" s="194"/>
      <c r="WVF2" s="194"/>
      <c r="WVG2" s="194"/>
      <c r="WVH2" s="161"/>
      <c r="WVI2" s="161"/>
      <c r="WVJ2" s="194"/>
      <c r="WVK2" s="161"/>
      <c r="WVL2" s="193"/>
      <c r="WVM2" s="194"/>
      <c r="WVN2" s="161"/>
      <c r="WVO2" s="161"/>
      <c r="WVP2" s="161"/>
      <c r="WVQ2" s="194"/>
      <c r="WVR2" s="194"/>
      <c r="WVS2" s="194"/>
      <c r="WVT2" s="161"/>
      <c r="WVU2" s="194"/>
      <c r="WVV2" s="194"/>
      <c r="WVW2" s="161"/>
      <c r="WVX2" s="194"/>
      <c r="WVY2" s="194"/>
      <c r="WVZ2" s="194"/>
      <c r="WWA2" s="194"/>
      <c r="WWB2" s="194"/>
      <c r="WWC2" s="194"/>
      <c r="WWD2" s="161"/>
      <c r="WWE2" s="195"/>
      <c r="WWF2" s="195"/>
      <c r="WWG2" s="161"/>
      <c r="WWH2" s="161"/>
      <c r="WWI2" s="161"/>
      <c r="WWJ2" s="161"/>
      <c r="WWK2" s="196"/>
      <c r="WWL2" s="196"/>
      <c r="WWM2" s="192"/>
      <c r="WWN2" s="181"/>
      <c r="WWO2" s="180"/>
      <c r="WWP2" s="197"/>
      <c r="WWQ2" s="179"/>
      <c r="WWR2" s="196"/>
      <c r="WWS2" s="179"/>
      <c r="WWT2" s="196"/>
      <c r="WWU2" s="196"/>
      <c r="WWV2" s="161"/>
      <c r="WWW2" s="193"/>
      <c r="WWX2" s="193"/>
      <c r="WWY2" s="194"/>
      <c r="WWZ2" s="194"/>
      <c r="WXA2" s="194"/>
      <c r="WXB2" s="194"/>
      <c r="WXC2" s="194"/>
      <c r="WXD2" s="161"/>
      <c r="WXE2" s="161"/>
      <c r="WXF2" s="194"/>
      <c r="WXG2" s="161"/>
      <c r="WXH2" s="193"/>
      <c r="WXI2" s="194"/>
      <c r="WXJ2" s="161"/>
      <c r="WXK2" s="161"/>
      <c r="WXL2" s="161"/>
      <c r="WXM2" s="194"/>
      <c r="WXN2" s="194"/>
      <c r="WXO2" s="194"/>
      <c r="WXP2" s="161"/>
      <c r="WXQ2" s="194"/>
      <c r="WXR2" s="194"/>
      <c r="WXS2" s="161"/>
      <c r="WXT2" s="194"/>
      <c r="WXU2" s="194"/>
      <c r="WXV2" s="194"/>
      <c r="WXW2" s="194"/>
      <c r="WXX2" s="194"/>
      <c r="WXY2" s="194"/>
      <c r="WXZ2" s="161"/>
      <c r="WYA2" s="195"/>
      <c r="WYB2" s="195"/>
      <c r="WYC2" s="161"/>
      <c r="WYD2" s="161"/>
      <c r="WYE2" s="161"/>
      <c r="WYF2" s="161"/>
      <c r="WYG2" s="196"/>
      <c r="WYH2" s="196"/>
      <c r="WYI2" s="192"/>
      <c r="WYJ2" s="181"/>
      <c r="WYK2" s="180"/>
      <c r="WYL2" s="197"/>
      <c r="WYM2" s="179"/>
      <c r="WYN2" s="196"/>
      <c r="WYO2" s="179"/>
      <c r="WYP2" s="196"/>
      <c r="WYQ2" s="196"/>
      <c r="WYR2" s="161"/>
      <c r="WYS2" s="193"/>
      <c r="WYT2" s="193"/>
      <c r="WYU2" s="194"/>
      <c r="WYV2" s="194"/>
      <c r="WYW2" s="194"/>
      <c r="WYX2" s="194"/>
      <c r="WYY2" s="194"/>
      <c r="WYZ2" s="161"/>
      <c r="WZA2" s="161"/>
      <c r="WZB2" s="194"/>
      <c r="WZC2" s="161"/>
      <c r="WZD2" s="193"/>
      <c r="WZE2" s="194"/>
      <c r="WZF2" s="161"/>
      <c r="WZG2" s="161"/>
      <c r="WZH2" s="161"/>
      <c r="WZI2" s="194"/>
      <c r="WZJ2" s="194"/>
      <c r="WZK2" s="194"/>
      <c r="WZL2" s="161"/>
      <c r="WZM2" s="194"/>
      <c r="WZN2" s="194"/>
      <c r="WZO2" s="161"/>
      <c r="WZP2" s="194"/>
      <c r="WZQ2" s="194"/>
      <c r="WZR2" s="194"/>
      <c r="WZS2" s="194"/>
      <c r="WZT2" s="194"/>
      <c r="WZU2" s="194"/>
      <c r="WZV2" s="161"/>
      <c r="WZW2" s="195"/>
      <c r="WZX2" s="195"/>
      <c r="WZY2" s="161"/>
      <c r="WZZ2" s="161"/>
      <c r="XAA2" s="161"/>
      <c r="XAB2" s="161"/>
      <c r="XAC2" s="196"/>
      <c r="XAD2" s="196"/>
      <c r="XAE2" s="192"/>
      <c r="XAF2" s="181"/>
      <c r="XAG2" s="180"/>
      <c r="XAH2" s="197"/>
      <c r="XAI2" s="179"/>
      <c r="XAJ2" s="196"/>
      <c r="XAK2" s="179"/>
      <c r="XAL2" s="196"/>
      <c r="XAM2" s="196"/>
      <c r="XAN2" s="161"/>
      <c r="XAO2" s="193"/>
      <c r="XAP2" s="193"/>
      <c r="XAQ2" s="194"/>
      <c r="XAR2" s="194"/>
      <c r="XAS2" s="194"/>
      <c r="XAT2" s="194"/>
      <c r="XAU2" s="194"/>
      <c r="XAV2" s="161"/>
      <c r="XAW2" s="161"/>
      <c r="XAX2" s="194"/>
      <c r="XAY2" s="161"/>
      <c r="XAZ2" s="193"/>
      <c r="XBA2" s="194"/>
      <c r="XBB2" s="161"/>
      <c r="XBC2" s="161"/>
      <c r="XBD2" s="161"/>
      <c r="XBE2" s="194"/>
      <c r="XBF2" s="194"/>
      <c r="XBG2" s="194"/>
      <c r="XBH2" s="161"/>
      <c r="XBI2" s="194"/>
      <c r="XBJ2" s="194"/>
      <c r="XBK2" s="161"/>
      <c r="XBL2" s="194"/>
      <c r="XBM2" s="194"/>
      <c r="XBN2" s="194"/>
      <c r="XBO2" s="194"/>
      <c r="XBP2" s="194"/>
      <c r="XBQ2" s="194"/>
      <c r="XBR2" s="161"/>
      <c r="XBS2" s="195"/>
      <c r="XBT2" s="195"/>
      <c r="XBU2" s="161"/>
      <c r="XBV2" s="161"/>
      <c r="XBW2" s="161"/>
      <c r="XBX2" s="161"/>
      <c r="XBY2" s="196"/>
      <c r="XBZ2" s="196"/>
      <c r="XCA2" s="192"/>
      <c r="XCB2" s="181"/>
      <c r="XCC2" s="180"/>
      <c r="XCD2" s="197"/>
      <c r="XCE2" s="179"/>
      <c r="XCF2" s="196"/>
      <c r="XCG2" s="179"/>
      <c r="XCH2" s="196"/>
      <c r="XCI2" s="196"/>
      <c r="XCJ2" s="161"/>
      <c r="XCK2" s="193"/>
      <c r="XCL2" s="193"/>
      <c r="XCM2" s="194"/>
      <c r="XCN2" s="194"/>
      <c r="XCO2" s="194"/>
      <c r="XCP2" s="194"/>
      <c r="XCQ2" s="194"/>
      <c r="XCR2" s="161"/>
      <c r="XCS2" s="161"/>
      <c r="XCT2" s="194"/>
      <c r="XCU2" s="161"/>
      <c r="XCV2" s="193"/>
      <c r="XCW2" s="194"/>
      <c r="XCX2" s="161"/>
      <c r="XCY2" s="161"/>
      <c r="XCZ2" s="161"/>
      <c r="XDA2" s="194"/>
      <c r="XDB2" s="194"/>
      <c r="XDC2" s="194"/>
      <c r="XDD2" s="161"/>
      <c r="XDE2" s="194"/>
      <c r="XDF2" s="194"/>
      <c r="XDG2" s="161"/>
      <c r="XDH2" s="194"/>
      <c r="XDI2" s="194"/>
      <c r="XDJ2" s="194"/>
      <c r="XDK2" s="194"/>
      <c r="XDL2" s="194"/>
      <c r="XDM2" s="194"/>
      <c r="XDN2" s="161"/>
      <c r="XDO2" s="195"/>
      <c r="XDP2" s="195"/>
      <c r="XDQ2" s="161"/>
      <c r="XDR2" s="161"/>
      <c r="XDS2" s="161"/>
      <c r="XDT2" s="161"/>
      <c r="XDU2" s="196"/>
      <c r="XDV2" s="196"/>
      <c r="XDW2" s="192"/>
      <c r="XDX2" s="181"/>
      <c r="XDY2" s="180"/>
      <c r="XDZ2" s="197"/>
      <c r="XEA2" s="179"/>
      <c r="XEB2" s="196"/>
      <c r="XEC2" s="179"/>
      <c r="XED2" s="196"/>
      <c r="XEE2" s="196"/>
      <c r="XEF2" s="161"/>
      <c r="XEG2" s="193"/>
      <c r="XEH2" s="193"/>
      <c r="XEI2" s="194"/>
      <c r="XEJ2" s="194"/>
      <c r="XEK2" s="194"/>
      <c r="XEL2" s="194"/>
      <c r="XEM2" s="194"/>
      <c r="XEN2" s="161"/>
      <c r="XEO2" s="161"/>
      <c r="XEP2" s="194"/>
      <c r="XEQ2" s="161"/>
      <c r="XER2" s="193"/>
      <c r="XES2" s="194"/>
      <c r="XET2" s="161"/>
      <c r="XEU2" s="161"/>
    </row>
    <row r="3" spans="1:16375" ht="45.75" customHeight="1">
      <c r="A3" s="244">
        <v>42</v>
      </c>
      <c r="B3" s="253">
        <v>46057.826076388897</v>
      </c>
      <c r="C3" s="253">
        <v>46057.8430787037</v>
      </c>
      <c r="D3" s="254" t="s">
        <v>91</v>
      </c>
      <c r="E3" s="254" t="s">
        <v>92</v>
      </c>
      <c r="F3" s="254" t="s">
        <v>1790</v>
      </c>
      <c r="G3" s="254" t="s">
        <v>843</v>
      </c>
      <c r="H3" s="254" t="s">
        <v>52</v>
      </c>
      <c r="I3" s="244" t="s">
        <v>77</v>
      </c>
      <c r="J3" s="279" t="s">
        <v>1791</v>
      </c>
      <c r="K3" s="244"/>
      <c r="L3" s="244" t="s">
        <v>79</v>
      </c>
      <c r="M3" s="253">
        <v>46081</v>
      </c>
      <c r="N3" s="244" t="s">
        <v>57</v>
      </c>
      <c r="O3" s="244"/>
      <c r="P3" s="244"/>
      <c r="Q3" s="279" t="s">
        <v>183</v>
      </c>
      <c r="R3" s="254" t="s">
        <v>843</v>
      </c>
      <c r="S3" s="254"/>
      <c r="T3" s="254" t="s">
        <v>846</v>
      </c>
      <c r="U3" s="279" t="s">
        <v>79</v>
      </c>
      <c r="V3" s="254" t="s">
        <v>853</v>
      </c>
      <c r="W3" s="254" t="s">
        <v>64</v>
      </c>
      <c r="X3" s="281" t="s">
        <v>86</v>
      </c>
      <c r="Y3" s="254" t="s">
        <v>855</v>
      </c>
      <c r="Z3" s="244" t="s">
        <v>856</v>
      </c>
      <c r="AA3" s="244"/>
      <c r="AB3" s="267" t="s">
        <v>860</v>
      </c>
      <c r="AC3" s="267"/>
      <c r="AD3" s="267"/>
      <c r="AE3" s="267" t="s">
        <v>3</v>
      </c>
      <c r="AF3" s="267"/>
      <c r="AG3" s="272"/>
      <c r="AH3" s="272">
        <v>2.5</v>
      </c>
      <c r="AI3" s="268"/>
      <c r="AJ3" s="269">
        <v>35122.839999999997</v>
      </c>
      <c r="AK3" s="270" t="s">
        <v>858</v>
      </c>
      <c r="AL3" s="273" t="s">
        <v>859</v>
      </c>
      <c r="AM3" s="267"/>
      <c r="AN3" s="267"/>
      <c r="AO3" s="272" t="s">
        <v>605</v>
      </c>
      <c r="AP3" s="267" t="s">
        <v>1792</v>
      </c>
      <c r="AQ3" s="271" t="s">
        <v>260</v>
      </c>
      <c r="AR3" s="274"/>
      <c r="AS3" s="282"/>
      <c r="AT3" s="282"/>
    </row>
    <row r="4" spans="1:16375" ht="80.25" customHeight="1">
      <c r="A4" s="244">
        <v>66</v>
      </c>
      <c r="B4" s="253">
        <v>46083.734027777798</v>
      </c>
      <c r="C4" s="253">
        <v>46083.756967592599</v>
      </c>
      <c r="D4" s="244" t="s">
        <v>799</v>
      </c>
      <c r="E4" s="244" t="s">
        <v>800</v>
      </c>
      <c r="F4" s="244" t="s">
        <v>1793</v>
      </c>
      <c r="G4" s="244" t="s">
        <v>1794</v>
      </c>
      <c r="H4" s="244" t="s">
        <v>1148</v>
      </c>
      <c r="I4" s="244" t="s">
        <v>204</v>
      </c>
      <c r="J4" s="279" t="s">
        <v>1795</v>
      </c>
      <c r="K4" s="244"/>
      <c r="L4" s="253" t="s">
        <v>1796</v>
      </c>
      <c r="M4" s="253">
        <v>46098</v>
      </c>
      <c r="N4" s="244" t="s">
        <v>57</v>
      </c>
      <c r="O4" s="244">
        <v>0</v>
      </c>
      <c r="P4" s="244"/>
      <c r="Q4" s="279" t="s">
        <v>58</v>
      </c>
      <c r="R4" s="244" t="s">
        <v>1797</v>
      </c>
      <c r="S4" s="244"/>
      <c r="T4" s="244" t="s">
        <v>1798</v>
      </c>
      <c r="U4" s="279" t="s">
        <v>162</v>
      </c>
      <c r="V4" s="244" t="s">
        <v>187</v>
      </c>
      <c r="W4" s="244" t="s">
        <v>64</v>
      </c>
      <c r="X4" s="281" t="s">
        <v>86</v>
      </c>
      <c r="Y4" s="244" t="s">
        <v>1799</v>
      </c>
      <c r="Z4" s="244" t="s">
        <v>1800</v>
      </c>
      <c r="AA4" s="244"/>
      <c r="AB4" s="267" t="s">
        <v>1801</v>
      </c>
      <c r="AC4" s="267" t="s">
        <v>191</v>
      </c>
      <c r="AD4" s="267"/>
      <c r="AE4" s="267" t="s">
        <v>3</v>
      </c>
      <c r="AF4" s="267"/>
      <c r="AG4" s="267"/>
      <c r="AH4" s="267">
        <v>1</v>
      </c>
      <c r="AI4" s="268">
        <v>3500</v>
      </c>
      <c r="AJ4" s="269">
        <v>10000</v>
      </c>
      <c r="AK4" s="270" t="s">
        <v>1802</v>
      </c>
      <c r="AL4" s="269" t="s">
        <v>259</v>
      </c>
      <c r="AM4" s="267" t="s">
        <v>1803</v>
      </c>
      <c r="AN4" s="267"/>
      <c r="AO4" s="267" t="s">
        <v>605</v>
      </c>
      <c r="AP4" s="267"/>
      <c r="AQ4" s="271" t="s">
        <v>1804</v>
      </c>
      <c r="AR4" s="267" t="s">
        <v>1805</v>
      </c>
      <c r="AS4" s="280" t="s">
        <v>1806</v>
      </c>
      <c r="AT4" s="282"/>
    </row>
    <row r="5" spans="1:16375" ht="78" customHeight="1">
      <c r="A5" s="244">
        <v>100</v>
      </c>
      <c r="B5" s="253">
        <v>46127.3352662037</v>
      </c>
      <c r="C5" s="253">
        <v>46127.3585648148</v>
      </c>
      <c r="D5" s="244" t="s">
        <v>220</v>
      </c>
      <c r="E5" s="244" t="s">
        <v>221</v>
      </c>
      <c r="F5" s="244" t="s">
        <v>1807</v>
      </c>
      <c r="G5" s="244" t="s">
        <v>1808</v>
      </c>
      <c r="H5" s="244" t="s">
        <v>1175</v>
      </c>
      <c r="I5" s="244" t="s">
        <v>1809</v>
      </c>
      <c r="J5" s="279" t="s">
        <v>1810</v>
      </c>
      <c r="K5" s="244"/>
      <c r="L5" s="253" t="s">
        <v>226</v>
      </c>
      <c r="M5" s="253">
        <v>46152</v>
      </c>
      <c r="N5" s="244" t="s">
        <v>57</v>
      </c>
      <c r="O5" s="244">
        <v>0</v>
      </c>
      <c r="P5" s="244"/>
      <c r="Q5" s="279" t="s">
        <v>58</v>
      </c>
      <c r="R5" s="244" t="s">
        <v>1811</v>
      </c>
      <c r="S5" s="244"/>
      <c r="T5" s="244" t="s">
        <v>1812</v>
      </c>
      <c r="U5" s="279" t="s">
        <v>162</v>
      </c>
      <c r="V5" s="244" t="s">
        <v>63</v>
      </c>
      <c r="W5" s="244" t="s">
        <v>64</v>
      </c>
      <c r="X5" s="279" t="s">
        <v>65</v>
      </c>
      <c r="Y5" s="244" t="s">
        <v>1813</v>
      </c>
      <c r="Z5" s="244" t="s">
        <v>1814</v>
      </c>
      <c r="AA5" s="244"/>
      <c r="AB5" s="267" t="s">
        <v>68</v>
      </c>
      <c r="AC5" s="267" t="s">
        <v>191</v>
      </c>
      <c r="AD5" s="267"/>
      <c r="AE5" s="267" t="s">
        <v>3</v>
      </c>
      <c r="AF5" s="267"/>
      <c r="AG5" s="267"/>
      <c r="AH5" s="267" t="s">
        <v>1815</v>
      </c>
      <c r="AI5" s="268">
        <v>40000</v>
      </c>
      <c r="AJ5" s="269">
        <f>AI5*3.55</f>
        <v>142000</v>
      </c>
      <c r="AK5" s="270" t="s">
        <v>1816</v>
      </c>
      <c r="AL5" s="269" t="s">
        <v>628</v>
      </c>
      <c r="AM5" s="267" t="s">
        <v>1817</v>
      </c>
      <c r="AN5" s="267"/>
      <c r="AO5" s="267" t="s">
        <v>605</v>
      </c>
      <c r="AP5" s="267"/>
      <c r="AQ5" s="271" t="s">
        <v>260</v>
      </c>
      <c r="AR5" s="267"/>
      <c r="AS5" s="280"/>
      <c r="AT5" s="282"/>
    </row>
    <row r="6" spans="1:16375" ht="68.25" customHeight="1">
      <c r="A6" s="244">
        <v>96</v>
      </c>
      <c r="B6" s="253">
        <v>46126.7905902778</v>
      </c>
      <c r="C6" s="253">
        <v>46126.826805555596</v>
      </c>
      <c r="D6" s="254" t="s">
        <v>529</v>
      </c>
      <c r="E6" s="254" t="s">
        <v>530</v>
      </c>
      <c r="F6" s="254" t="s">
        <v>1818</v>
      </c>
      <c r="G6" s="254" t="s">
        <v>1819</v>
      </c>
      <c r="H6" s="254" t="s">
        <v>52</v>
      </c>
      <c r="I6" s="244" t="s">
        <v>1820</v>
      </c>
      <c r="J6" s="279" t="s">
        <v>1821</v>
      </c>
      <c r="K6" s="244">
        <v>0</v>
      </c>
      <c r="L6" s="244" t="s">
        <v>56</v>
      </c>
      <c r="M6" s="253">
        <v>46387</v>
      </c>
      <c r="N6" s="244" t="s">
        <v>118</v>
      </c>
      <c r="O6" s="244" t="s">
        <v>536</v>
      </c>
      <c r="P6" s="244"/>
      <c r="Q6" s="279" t="s">
        <v>58</v>
      </c>
      <c r="R6" s="254" t="s">
        <v>1822</v>
      </c>
      <c r="S6" s="254"/>
      <c r="T6" s="254" t="s">
        <v>1823</v>
      </c>
      <c r="U6" s="279" t="s">
        <v>319</v>
      </c>
      <c r="V6" s="254" t="s">
        <v>526</v>
      </c>
      <c r="W6" s="254" t="s">
        <v>64</v>
      </c>
      <c r="X6" s="279" t="s">
        <v>230</v>
      </c>
      <c r="Y6" s="254" t="s">
        <v>1824</v>
      </c>
      <c r="Z6" s="244">
        <v>0</v>
      </c>
      <c r="AA6" s="244"/>
      <c r="AB6" s="267" t="s">
        <v>68</v>
      </c>
      <c r="AC6" s="267"/>
      <c r="AD6" s="267"/>
      <c r="AE6" s="267" t="s">
        <v>2</v>
      </c>
      <c r="AF6" s="267"/>
      <c r="AG6" s="272"/>
      <c r="AH6" s="272">
        <v>3</v>
      </c>
      <c r="AI6" s="268">
        <v>54000</v>
      </c>
      <c r="AJ6" s="269">
        <f>AI6*3.55</f>
        <v>191700</v>
      </c>
      <c r="AK6" s="270" t="s">
        <v>1825</v>
      </c>
      <c r="AL6" s="273" t="s">
        <v>259</v>
      </c>
      <c r="AM6" s="267" t="s">
        <v>217</v>
      </c>
      <c r="AN6" s="267" t="s">
        <v>260</v>
      </c>
      <c r="AO6" s="272" t="s">
        <v>605</v>
      </c>
      <c r="AP6" s="267"/>
      <c r="AQ6" s="271"/>
      <c r="AR6" s="274"/>
      <c r="AS6" s="282"/>
      <c r="AT6" s="282"/>
    </row>
    <row r="7" spans="1:16375" ht="43.5" customHeight="1">
      <c r="A7" s="244">
        <v>97</v>
      </c>
      <c r="B7" s="253">
        <v>46126.826921296299</v>
      </c>
      <c r="C7" s="253">
        <v>46126.850914351897</v>
      </c>
      <c r="D7" s="244" t="s">
        <v>529</v>
      </c>
      <c r="E7" s="244" t="s">
        <v>530</v>
      </c>
      <c r="F7" s="244" t="s">
        <v>1826</v>
      </c>
      <c r="G7" s="244" t="s">
        <v>1827</v>
      </c>
      <c r="H7" s="244" t="s">
        <v>52</v>
      </c>
      <c r="I7" s="244" t="s">
        <v>1820</v>
      </c>
      <c r="J7" s="279" t="s">
        <v>1821</v>
      </c>
      <c r="K7" s="244">
        <v>0</v>
      </c>
      <c r="L7" s="253" t="s">
        <v>56</v>
      </c>
      <c r="M7" s="253">
        <v>46387</v>
      </c>
      <c r="N7" s="244" t="s">
        <v>118</v>
      </c>
      <c r="O7" s="244" t="s">
        <v>536</v>
      </c>
      <c r="P7" s="244"/>
      <c r="Q7" s="279" t="s">
        <v>58</v>
      </c>
      <c r="R7" s="244" t="s">
        <v>1828</v>
      </c>
      <c r="S7" s="244"/>
      <c r="T7" s="244" t="s">
        <v>1829</v>
      </c>
      <c r="U7" s="279" t="s">
        <v>319</v>
      </c>
      <c r="V7" s="244" t="s">
        <v>63</v>
      </c>
      <c r="W7" s="244" t="s">
        <v>64</v>
      </c>
      <c r="X7" s="279" t="s">
        <v>230</v>
      </c>
      <c r="Y7" s="244" t="s">
        <v>1830</v>
      </c>
      <c r="Z7" s="244">
        <v>0</v>
      </c>
      <c r="AA7" s="244"/>
      <c r="AB7" s="267" t="s">
        <v>68</v>
      </c>
      <c r="AC7" s="267"/>
      <c r="AD7" s="267"/>
      <c r="AE7" s="267" t="s">
        <v>2</v>
      </c>
      <c r="AF7" s="267"/>
      <c r="AG7" s="267"/>
      <c r="AH7" s="267">
        <v>4</v>
      </c>
      <c r="AI7" s="268">
        <v>62000</v>
      </c>
      <c r="AJ7" s="269">
        <f>AI7*3.55</f>
        <v>220100</v>
      </c>
      <c r="AK7" s="270" t="s">
        <v>1831</v>
      </c>
      <c r="AL7" s="269" t="s">
        <v>259</v>
      </c>
      <c r="AM7" s="267" t="s">
        <v>217</v>
      </c>
      <c r="AN7" s="267" t="s">
        <v>260</v>
      </c>
      <c r="AO7" s="267" t="s">
        <v>605</v>
      </c>
      <c r="AP7" s="267"/>
      <c r="AQ7" s="271"/>
      <c r="AR7" s="267"/>
      <c r="AS7" s="280"/>
      <c r="AT7" s="282"/>
    </row>
    <row r="8" spans="1:16375" ht="44.25" customHeight="1">
      <c r="A8" s="244">
        <v>98</v>
      </c>
      <c r="B8" s="253">
        <v>46127.014560185198</v>
      </c>
      <c r="C8" s="253">
        <v>46127.284756944398</v>
      </c>
      <c r="D8" s="254" t="s">
        <v>529</v>
      </c>
      <c r="E8" s="254" t="s">
        <v>530</v>
      </c>
      <c r="F8" s="254" t="s">
        <v>1832</v>
      </c>
      <c r="G8" s="254" t="s">
        <v>1833</v>
      </c>
      <c r="H8" s="254" t="s">
        <v>52</v>
      </c>
      <c r="I8" s="244" t="s">
        <v>1820</v>
      </c>
      <c r="J8" s="279" t="s">
        <v>1821</v>
      </c>
      <c r="K8" s="244">
        <v>0</v>
      </c>
      <c r="L8" s="244" t="s">
        <v>56</v>
      </c>
      <c r="M8" s="253">
        <v>46387</v>
      </c>
      <c r="N8" s="244" t="s">
        <v>118</v>
      </c>
      <c r="O8" s="244" t="s">
        <v>536</v>
      </c>
      <c r="P8" s="244"/>
      <c r="Q8" s="279" t="s">
        <v>58</v>
      </c>
      <c r="R8" s="254" t="s">
        <v>1834</v>
      </c>
      <c r="S8" s="254"/>
      <c r="T8" s="254" t="s">
        <v>1835</v>
      </c>
      <c r="U8" s="279" t="s">
        <v>319</v>
      </c>
      <c r="V8" s="254" t="s">
        <v>63</v>
      </c>
      <c r="W8" s="254" t="s">
        <v>64</v>
      </c>
      <c r="X8" s="279" t="s">
        <v>230</v>
      </c>
      <c r="Y8" s="254" t="s">
        <v>1836</v>
      </c>
      <c r="Z8" s="244">
        <v>0</v>
      </c>
      <c r="AA8" s="244"/>
      <c r="AB8" s="267" t="s">
        <v>68</v>
      </c>
      <c r="AC8" s="267"/>
      <c r="AD8" s="267"/>
      <c r="AE8" s="267" t="s">
        <v>2</v>
      </c>
      <c r="AF8" s="267"/>
      <c r="AG8" s="272"/>
      <c r="AH8" s="272">
        <v>5</v>
      </c>
      <c r="AI8" s="268">
        <v>84000</v>
      </c>
      <c r="AJ8" s="269">
        <f>AI8*3.55</f>
        <v>298200</v>
      </c>
      <c r="AK8" s="270" t="s">
        <v>1831</v>
      </c>
      <c r="AL8" s="273" t="s">
        <v>259</v>
      </c>
      <c r="AM8" s="267" t="s">
        <v>217</v>
      </c>
      <c r="AN8" s="267" t="s">
        <v>260</v>
      </c>
      <c r="AO8" s="272" t="s">
        <v>605</v>
      </c>
      <c r="AP8" s="267"/>
      <c r="AQ8" s="271"/>
      <c r="AR8" s="274"/>
      <c r="AS8" s="282"/>
      <c r="AT8" s="282"/>
    </row>
    <row r="9" spans="1:16375" ht="44.25" customHeight="1">
      <c r="A9" s="244">
        <v>101</v>
      </c>
      <c r="B9" s="253">
        <v>46127.284849536998</v>
      </c>
      <c r="C9" s="253">
        <v>46127.470335648097</v>
      </c>
      <c r="D9" s="244" t="s">
        <v>529</v>
      </c>
      <c r="E9" s="244" t="s">
        <v>530</v>
      </c>
      <c r="F9" s="244" t="s">
        <v>1837</v>
      </c>
      <c r="G9" s="244" t="s">
        <v>1838</v>
      </c>
      <c r="H9" s="244" t="s">
        <v>52</v>
      </c>
      <c r="I9" s="244" t="s">
        <v>1820</v>
      </c>
      <c r="J9" s="279" t="s">
        <v>1821</v>
      </c>
      <c r="K9" s="244">
        <v>0</v>
      </c>
      <c r="L9" s="253" t="s">
        <v>56</v>
      </c>
      <c r="M9" s="253">
        <v>46387</v>
      </c>
      <c r="N9" s="244" t="s">
        <v>118</v>
      </c>
      <c r="O9" s="244" t="s">
        <v>536</v>
      </c>
      <c r="P9" s="244"/>
      <c r="Q9" s="279" t="s">
        <v>58</v>
      </c>
      <c r="R9" s="244" t="s">
        <v>1839</v>
      </c>
      <c r="S9" s="244"/>
      <c r="T9" s="244" t="s">
        <v>1840</v>
      </c>
      <c r="U9" s="279" t="s">
        <v>62</v>
      </c>
      <c r="V9" s="244" t="s">
        <v>63</v>
      </c>
      <c r="W9" s="244" t="s">
        <v>64</v>
      </c>
      <c r="X9" s="279" t="s">
        <v>230</v>
      </c>
      <c r="Y9" s="244" t="s">
        <v>1841</v>
      </c>
      <c r="Z9" s="244">
        <v>0</v>
      </c>
      <c r="AA9" s="244"/>
      <c r="AB9" s="267" t="s">
        <v>68</v>
      </c>
      <c r="AC9" s="267"/>
      <c r="AD9" s="267"/>
      <c r="AE9" s="267" t="s">
        <v>2</v>
      </c>
      <c r="AF9" s="267"/>
      <c r="AG9" s="267"/>
      <c r="AH9" s="267">
        <v>6</v>
      </c>
      <c r="AI9" s="268">
        <v>92000</v>
      </c>
      <c r="AJ9" s="269">
        <f>AI9*3.55</f>
        <v>326600</v>
      </c>
      <c r="AK9" s="270" t="s">
        <v>1842</v>
      </c>
      <c r="AL9" s="269" t="s">
        <v>259</v>
      </c>
      <c r="AM9" s="267" t="s">
        <v>217</v>
      </c>
      <c r="AN9" s="267" t="s">
        <v>260</v>
      </c>
      <c r="AO9" s="267" t="s">
        <v>605</v>
      </c>
      <c r="AP9" s="267"/>
      <c r="AQ9" s="271"/>
      <c r="AR9" s="267"/>
      <c r="AS9" s="280"/>
      <c r="AT9" s="282"/>
    </row>
    <row r="10" spans="1:16375" ht="62.25" customHeight="1">
      <c r="A10" s="244">
        <v>90</v>
      </c>
      <c r="B10" s="253">
        <v>46111.731342592597</v>
      </c>
      <c r="C10" s="253">
        <v>46111.7496875</v>
      </c>
      <c r="D10" s="254" t="s">
        <v>1843</v>
      </c>
      <c r="E10" s="254" t="s">
        <v>1844</v>
      </c>
      <c r="F10" s="254" t="s">
        <v>1845</v>
      </c>
      <c r="G10" s="254" t="s">
        <v>1846</v>
      </c>
      <c r="H10" s="254" t="s">
        <v>112</v>
      </c>
      <c r="I10" s="244" t="s">
        <v>204</v>
      </c>
      <c r="J10" s="279" t="s">
        <v>1847</v>
      </c>
      <c r="K10" s="244"/>
      <c r="L10" s="244" t="s">
        <v>1796</v>
      </c>
      <c r="M10" s="253">
        <v>46132</v>
      </c>
      <c r="N10" s="244" t="s">
        <v>57</v>
      </c>
      <c r="O10" s="244">
        <v>0</v>
      </c>
      <c r="P10" s="244"/>
      <c r="Q10" s="279" t="s">
        <v>58</v>
      </c>
      <c r="R10" s="254" t="s">
        <v>1848</v>
      </c>
      <c r="S10" s="254"/>
      <c r="T10" s="254" t="s">
        <v>1849</v>
      </c>
      <c r="U10" s="279" t="s">
        <v>162</v>
      </c>
      <c r="V10" s="254" t="s">
        <v>1850</v>
      </c>
      <c r="W10" s="254" t="s">
        <v>64</v>
      </c>
      <c r="X10" s="279" t="s">
        <v>65</v>
      </c>
      <c r="Y10" s="254" t="s">
        <v>1851</v>
      </c>
      <c r="Z10" s="244" t="s">
        <v>1852</v>
      </c>
      <c r="AA10" s="244"/>
      <c r="AB10" s="267" t="s">
        <v>1853</v>
      </c>
      <c r="AC10" s="267" t="s">
        <v>191</v>
      </c>
      <c r="AD10" s="267"/>
      <c r="AE10" s="267" t="s">
        <v>3</v>
      </c>
      <c r="AF10" s="271">
        <v>46128</v>
      </c>
      <c r="AG10" s="272"/>
      <c r="AH10" s="272" t="s">
        <v>795</v>
      </c>
      <c r="AI10" s="268">
        <v>4500</v>
      </c>
      <c r="AJ10" s="269">
        <v>15975</v>
      </c>
      <c r="AK10" s="270" t="s">
        <v>1854</v>
      </c>
      <c r="AL10" s="273" t="s">
        <v>1855</v>
      </c>
      <c r="AM10" s="267" t="s">
        <v>1803</v>
      </c>
      <c r="AN10" s="267"/>
      <c r="AO10" s="272" t="s">
        <v>605</v>
      </c>
      <c r="AP10" s="267" t="s">
        <v>1856</v>
      </c>
      <c r="AQ10" s="271" t="s">
        <v>260</v>
      </c>
      <c r="AR10" s="274" t="s">
        <v>1857</v>
      </c>
      <c r="AS10" s="282"/>
      <c r="AT10" s="282"/>
    </row>
    <row r="11" spans="1:16375" ht="64.5" customHeight="1">
      <c r="A11" s="244">
        <v>118</v>
      </c>
      <c r="B11" s="253">
        <v>46139.628726851799</v>
      </c>
      <c r="C11" s="253">
        <v>46139.650196759299</v>
      </c>
      <c r="D11" s="244" t="s">
        <v>48</v>
      </c>
      <c r="E11" s="244" t="s">
        <v>49</v>
      </c>
      <c r="F11" s="244" t="s">
        <v>1858</v>
      </c>
      <c r="G11" s="244" t="s">
        <v>1859</v>
      </c>
      <c r="H11" s="244" t="s">
        <v>430</v>
      </c>
      <c r="I11" s="244" t="s">
        <v>645</v>
      </c>
      <c r="J11" s="279" t="s">
        <v>1860</v>
      </c>
      <c r="K11" s="244"/>
      <c r="L11" s="253" t="s">
        <v>56</v>
      </c>
      <c r="M11" s="253">
        <v>46353</v>
      </c>
      <c r="N11" s="244" t="s">
        <v>118</v>
      </c>
      <c r="O11" s="244" t="s">
        <v>1861</v>
      </c>
      <c r="P11" s="244"/>
      <c r="Q11" s="279" t="s">
        <v>58</v>
      </c>
      <c r="R11" s="244" t="s">
        <v>1862</v>
      </c>
      <c r="S11" s="244"/>
      <c r="T11" s="244" t="s">
        <v>1863</v>
      </c>
      <c r="U11" s="279" t="s">
        <v>84</v>
      </c>
      <c r="V11" s="244" t="s">
        <v>526</v>
      </c>
      <c r="W11" s="244" t="s">
        <v>64</v>
      </c>
      <c r="X11" s="279" t="s">
        <v>65</v>
      </c>
      <c r="Y11" s="244" t="s">
        <v>1864</v>
      </c>
      <c r="Z11" s="244">
        <v>0</v>
      </c>
      <c r="AA11" s="244"/>
      <c r="AB11" s="267" t="s">
        <v>156</v>
      </c>
      <c r="AC11" s="267" t="s">
        <v>69</v>
      </c>
      <c r="AD11" s="271">
        <v>46142</v>
      </c>
      <c r="AE11" s="267" t="s">
        <v>2</v>
      </c>
      <c r="AF11" s="271">
        <v>46146</v>
      </c>
      <c r="AG11" s="271">
        <v>46177</v>
      </c>
      <c r="AH11" s="267">
        <v>6</v>
      </c>
      <c r="AI11" s="268" t="s">
        <v>1865</v>
      </c>
      <c r="AJ11" s="269" t="s">
        <v>1866</v>
      </c>
      <c r="AK11" s="270" t="s">
        <v>1867</v>
      </c>
      <c r="AL11" s="269" t="s">
        <v>245</v>
      </c>
      <c r="AM11" s="267" t="s">
        <v>217</v>
      </c>
      <c r="AN11" s="267" t="s">
        <v>260</v>
      </c>
      <c r="AO11" s="267" t="s">
        <v>1868</v>
      </c>
      <c r="AP11" s="267" t="s">
        <v>1869</v>
      </c>
      <c r="AQ11" s="271" t="s">
        <v>260</v>
      </c>
      <c r="AR11" s="267"/>
      <c r="AS11" s="280" t="s">
        <v>260</v>
      </c>
      <c r="AT11" s="282"/>
    </row>
    <row r="12" spans="1:16375" ht="50.25" customHeight="1">
      <c r="A12" s="244">
        <v>114</v>
      </c>
      <c r="B12" s="253">
        <v>46136.035648148099</v>
      </c>
      <c r="C12" s="253">
        <v>46136.0446296296</v>
      </c>
      <c r="D12" s="244" t="s">
        <v>200</v>
      </c>
      <c r="E12" s="244" t="s">
        <v>201</v>
      </c>
      <c r="F12" s="244" t="s">
        <v>1870</v>
      </c>
      <c r="G12" s="244" t="s">
        <v>1871</v>
      </c>
      <c r="H12" s="244" t="s">
        <v>52</v>
      </c>
      <c r="I12" s="244" t="s">
        <v>125</v>
      </c>
      <c r="J12" s="286" t="s">
        <v>1872</v>
      </c>
      <c r="K12" s="244"/>
      <c r="L12" s="253" t="s">
        <v>296</v>
      </c>
      <c r="M12" s="253">
        <v>46172</v>
      </c>
      <c r="N12" s="244" t="s">
        <v>57</v>
      </c>
      <c r="O12" s="244">
        <v>0</v>
      </c>
      <c r="P12" s="244"/>
      <c r="Q12" s="286" t="s">
        <v>58</v>
      </c>
      <c r="R12" s="244" t="s">
        <v>1873</v>
      </c>
      <c r="S12" s="244"/>
      <c r="T12" s="244" t="s">
        <v>1874</v>
      </c>
      <c r="U12" s="286" t="s">
        <v>162</v>
      </c>
      <c r="V12" s="244" t="s">
        <v>63</v>
      </c>
      <c r="W12" s="244" t="s">
        <v>64</v>
      </c>
      <c r="X12" s="286" t="s">
        <v>65</v>
      </c>
      <c r="Y12" s="244" t="s">
        <v>1875</v>
      </c>
      <c r="Z12" s="244" t="s">
        <v>1876</v>
      </c>
      <c r="AA12" s="244"/>
      <c r="AB12" s="267" t="s">
        <v>626</v>
      </c>
      <c r="AC12" s="267" t="s">
        <v>69</v>
      </c>
      <c r="AD12" s="271">
        <v>46142</v>
      </c>
      <c r="AE12" s="267" t="s">
        <v>2</v>
      </c>
      <c r="AF12" s="271"/>
      <c r="AG12" s="271"/>
      <c r="AH12" s="267" t="s">
        <v>1877</v>
      </c>
      <c r="AI12" s="268"/>
      <c r="AJ12" s="269">
        <v>37000</v>
      </c>
      <c r="AK12" s="270" t="s">
        <v>1878</v>
      </c>
      <c r="AL12" s="269" t="s">
        <v>259</v>
      </c>
      <c r="AM12" s="267"/>
      <c r="AN12" s="267"/>
      <c r="AO12" s="267" t="s">
        <v>605</v>
      </c>
      <c r="AP12" s="267" t="s">
        <v>1879</v>
      </c>
      <c r="AQ12" s="271" t="s">
        <v>260</v>
      </c>
      <c r="AR12" s="267" t="s">
        <v>1880</v>
      </c>
      <c r="AS12" s="280"/>
      <c r="AT12" s="282"/>
    </row>
    <row r="13" spans="1:16375" ht="62.25" customHeight="1">
      <c r="A13" s="244">
        <v>122</v>
      </c>
      <c r="B13" s="253">
        <v>46141.427557870396</v>
      </c>
      <c r="C13" s="253">
        <v>46141.475474537001</v>
      </c>
      <c r="D13" s="244" t="s">
        <v>606</v>
      </c>
      <c r="E13" s="244" t="s">
        <v>607</v>
      </c>
      <c r="F13" s="244" t="s">
        <v>1881</v>
      </c>
      <c r="G13" s="244" t="s">
        <v>1882</v>
      </c>
      <c r="H13" s="244" t="s">
        <v>112</v>
      </c>
      <c r="I13" s="244" t="s">
        <v>125</v>
      </c>
      <c r="J13" s="286" t="s">
        <v>610</v>
      </c>
      <c r="K13" s="244"/>
      <c r="L13" s="253" t="s">
        <v>296</v>
      </c>
      <c r="M13" s="253">
        <v>46150</v>
      </c>
      <c r="N13" s="244" t="s">
        <v>57</v>
      </c>
      <c r="O13" s="244">
        <v>0</v>
      </c>
      <c r="P13" s="244"/>
      <c r="Q13" s="286" t="s">
        <v>1883</v>
      </c>
      <c r="R13" s="244" t="s">
        <v>1884</v>
      </c>
      <c r="S13" s="244"/>
      <c r="T13" s="244" t="s">
        <v>1885</v>
      </c>
      <c r="U13" s="286" t="s">
        <v>79</v>
      </c>
      <c r="V13" s="244" t="s">
        <v>63</v>
      </c>
      <c r="W13" s="244" t="s">
        <v>64</v>
      </c>
      <c r="X13" s="286" t="s">
        <v>65</v>
      </c>
      <c r="Y13" s="244" t="s">
        <v>1886</v>
      </c>
      <c r="Z13" s="244" t="s">
        <v>1887</v>
      </c>
      <c r="AA13" s="244"/>
      <c r="AB13" s="267" t="s">
        <v>131</v>
      </c>
      <c r="AC13" s="267" t="s">
        <v>69</v>
      </c>
      <c r="AD13" s="271">
        <v>46142</v>
      </c>
      <c r="AE13" s="267" t="s">
        <v>3</v>
      </c>
      <c r="AF13" s="271">
        <v>46153</v>
      </c>
      <c r="AG13" s="271">
        <v>46155</v>
      </c>
      <c r="AH13" s="267">
        <v>1</v>
      </c>
      <c r="AI13" s="268">
        <v>413</v>
      </c>
      <c r="AJ13" s="269">
        <v>1466.1499999999999</v>
      </c>
      <c r="AK13" s="270" t="s">
        <v>1888</v>
      </c>
      <c r="AL13" s="269" t="s">
        <v>616</v>
      </c>
      <c r="AM13" s="267" t="s">
        <v>1889</v>
      </c>
      <c r="AN13" s="267" t="s">
        <v>57</v>
      </c>
      <c r="AO13" s="267" t="s">
        <v>605</v>
      </c>
      <c r="AP13" s="267"/>
      <c r="AQ13" s="271" t="s">
        <v>260</v>
      </c>
      <c r="AR13" s="267"/>
      <c r="AS13" s="280"/>
      <c r="AT13" s="282"/>
    </row>
    <row r="14" spans="1:16375" ht="49.5" customHeight="1">
      <c r="A14" s="244">
        <v>131</v>
      </c>
      <c r="B14" s="253">
        <v>46142.716261574104</v>
      </c>
      <c r="C14" s="253">
        <v>46142.721655092602</v>
      </c>
      <c r="D14" s="244" t="s">
        <v>606</v>
      </c>
      <c r="E14" s="244" t="s">
        <v>607</v>
      </c>
      <c r="F14" s="244" t="s">
        <v>1890</v>
      </c>
      <c r="G14" s="244" t="s">
        <v>1891</v>
      </c>
      <c r="H14" s="244" t="s">
        <v>52</v>
      </c>
      <c r="I14" s="244" t="s">
        <v>125</v>
      </c>
      <c r="J14" s="286" t="s">
        <v>1892</v>
      </c>
      <c r="K14" s="244"/>
      <c r="L14" s="253" t="s">
        <v>296</v>
      </c>
      <c r="M14" s="253">
        <v>46154</v>
      </c>
      <c r="N14" s="244" t="s">
        <v>57</v>
      </c>
      <c r="O14" s="244">
        <v>0</v>
      </c>
      <c r="P14" s="244"/>
      <c r="Q14" s="286" t="s">
        <v>1883</v>
      </c>
      <c r="R14" s="244" t="s">
        <v>1893</v>
      </c>
      <c r="S14" s="244"/>
      <c r="T14" s="244" t="s">
        <v>1885</v>
      </c>
      <c r="U14" s="286" t="s">
        <v>79</v>
      </c>
      <c r="V14" s="244" t="s">
        <v>526</v>
      </c>
      <c r="W14" s="244" t="s">
        <v>64</v>
      </c>
      <c r="X14" s="286" t="s">
        <v>65</v>
      </c>
      <c r="Y14" s="244" t="s">
        <v>1886</v>
      </c>
      <c r="Z14" s="244">
        <v>0</v>
      </c>
      <c r="AA14" s="244"/>
      <c r="AB14" s="267" t="s">
        <v>131</v>
      </c>
      <c r="AC14" s="267" t="s">
        <v>69</v>
      </c>
      <c r="AD14" s="271">
        <v>46149</v>
      </c>
      <c r="AE14" s="267" t="s">
        <v>3</v>
      </c>
      <c r="AF14" s="271">
        <v>46153</v>
      </c>
      <c r="AG14" s="271">
        <v>46155</v>
      </c>
      <c r="AH14" s="267">
        <v>0.25</v>
      </c>
      <c r="AI14" s="268">
        <v>413</v>
      </c>
      <c r="AJ14" s="269">
        <v>1466.1499999999999</v>
      </c>
      <c r="AK14" s="270" t="s">
        <v>1888</v>
      </c>
      <c r="AL14" s="269" t="s">
        <v>616</v>
      </c>
      <c r="AM14" s="267" t="s">
        <v>1889</v>
      </c>
      <c r="AN14" s="267" t="s">
        <v>57</v>
      </c>
      <c r="AO14" s="267" t="s">
        <v>605</v>
      </c>
      <c r="AP14" s="267"/>
      <c r="AQ14" s="271" t="s">
        <v>260</v>
      </c>
      <c r="AR14" s="267"/>
      <c r="AS14" s="280"/>
      <c r="AT14" s="282"/>
    </row>
  </sheetData>
  <sheetProtection algorithmName="SHA-512" hashValue="zXCUJ12q1gGcwXfmxKRqhSG7r+i+c0G/YJtAQUPt5P952EcA339KzvB0paNEz1qzUr2jsryfjPLrMgeRPUNjIg==" saltValue="bpRpMEo410et5fd1POldAQ==" spinCount="100000" sheet="1" autoFilter="0"/>
  <protectedRanges>
    <protectedRange algorithmName="SHA-512" hashValue="22rEZDOLaaAzExp0xxQCGNby3L6gXjGHIg9yH60f4Eq8XFziCgY0/JIYc2E2Nq4g+VRVZfuCR88Vp60KM5L1Fw==" saltValue="qJpW/Ecdk5+EDugQ3hU7fw==" spinCount="100000" sqref="A3:AA3" name="Rango1_8"/>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AS12" xr:uid="{1BDEB11F-92C2-49BC-B4DE-E9A1371879BB}">
    <sortState xmlns:xlrd2="http://schemas.microsoft.com/office/spreadsheetml/2017/richdata2" ref="A2:AS11">
      <sortCondition ref="A1:A11"/>
    </sortState>
  </autoFilter>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tabColor theme="5" tint="-0.249977111117893"/>
  </sheetPr>
  <dimension ref="A1:AV7"/>
  <sheetViews>
    <sheetView zoomScale="89" zoomScaleNormal="89" workbookViewId="0">
      <pane xSplit="6" ySplit="1" topLeftCell="AS2" activePane="bottomRight" state="frozen"/>
      <selection pane="bottomRight" activeCell="AS5" sqref="AS5"/>
      <selection pane="bottomLeft" activeCell="A2" sqref="A2"/>
      <selection pane="topRight" activeCell="G1" sqref="G1"/>
    </sheetView>
  </sheetViews>
  <sheetFormatPr defaultColWidth="20.42578125" defaultRowHeight="15" customHeight="1"/>
  <cols>
    <col min="1" max="1" width="6.42578125" style="39" customWidth="1"/>
    <col min="2" max="2" width="11.7109375" customWidth="1"/>
    <col min="3" max="3" width="11.140625" customWidth="1"/>
    <col min="4" max="4" width="20.42578125" customWidth="1"/>
    <col min="5" max="5" width="13.7109375" customWidth="1"/>
    <col min="6" max="6" width="40.42578125" customWidth="1"/>
    <col min="7" max="7" width="45.5703125" customWidth="1"/>
    <col min="8" max="15" width="20.42578125" customWidth="1"/>
    <col min="16" max="16" width="13.140625" customWidth="1"/>
    <col min="17" max="17" width="20.42578125" customWidth="1"/>
    <col min="18" max="18" width="31.42578125" customWidth="1"/>
    <col min="19" max="25" width="20.42578125" customWidth="1"/>
    <col min="26" max="26" width="42.5703125" customWidth="1"/>
    <col min="27" max="27" width="12.42578125" customWidth="1"/>
    <col min="28" max="29" width="20.42578125" bestFit="1" customWidth="1"/>
    <col min="30" max="30" width="20.42578125" customWidth="1"/>
    <col min="31" max="31" width="11.42578125"/>
    <col min="32" max="33" width="11.42578125" bestFit="1" customWidth="1"/>
    <col min="34" max="36" width="20.42578125" customWidth="1"/>
    <col min="37" max="37" width="41.28515625" style="219" customWidth="1"/>
    <col min="38" max="41" width="20.42578125" customWidth="1"/>
    <col min="42" max="42" width="38.28515625" customWidth="1"/>
    <col min="43" max="44" width="20.42578125" customWidth="1"/>
    <col min="45" max="46" width="28.42578125" customWidth="1"/>
    <col min="47" max="48" width="20.42578125" style="203" customWidth="1"/>
    <col min="49" max="49" width="20.42578125" customWidth="1"/>
  </cols>
  <sheetData>
    <row r="1" spans="1:48" s="59" customFormat="1" ht="43.5">
      <c r="A1" s="294" t="s">
        <v>5</v>
      </c>
      <c r="B1" s="295" t="s">
        <v>6</v>
      </c>
      <c r="C1" s="295" t="s">
        <v>7</v>
      </c>
      <c r="D1" s="294" t="s">
        <v>8</v>
      </c>
      <c r="E1" s="294" t="s">
        <v>9</v>
      </c>
      <c r="F1" s="294" t="s">
        <v>10</v>
      </c>
      <c r="G1" s="294" t="s">
        <v>11</v>
      </c>
      <c r="H1" s="294" t="s">
        <v>12</v>
      </c>
      <c r="I1" s="294" t="s">
        <v>13</v>
      </c>
      <c r="J1" s="266" t="s">
        <v>14</v>
      </c>
      <c r="K1" s="294" t="s">
        <v>171</v>
      </c>
      <c r="L1" s="266" t="s">
        <v>16</v>
      </c>
      <c r="M1" s="266" t="s">
        <v>17</v>
      </c>
      <c r="N1" s="294" t="s">
        <v>18</v>
      </c>
      <c r="O1" s="294" t="s">
        <v>172</v>
      </c>
      <c r="P1" s="294" t="s">
        <v>20</v>
      </c>
      <c r="Q1" s="266" t="s">
        <v>21</v>
      </c>
      <c r="R1" s="294" t="s">
        <v>22</v>
      </c>
      <c r="S1" s="159" t="s">
        <v>23</v>
      </c>
      <c r="T1" s="266" t="s">
        <v>24</v>
      </c>
      <c r="U1" s="266" t="s">
        <v>25</v>
      </c>
      <c r="V1" s="294" t="s">
        <v>26</v>
      </c>
      <c r="W1" s="294" t="s">
        <v>174</v>
      </c>
      <c r="X1" s="266" t="s">
        <v>28</v>
      </c>
      <c r="Y1" s="294" t="s">
        <v>29</v>
      </c>
      <c r="Z1" s="296" t="s">
        <v>175</v>
      </c>
      <c r="AA1" s="296" t="s">
        <v>31</v>
      </c>
      <c r="AB1" s="175" t="s">
        <v>33</v>
      </c>
      <c r="AC1" s="175" t="s">
        <v>34</v>
      </c>
      <c r="AD1" s="225" t="s">
        <v>35</v>
      </c>
      <c r="AE1" s="208" t="s">
        <v>36</v>
      </c>
      <c r="AF1" s="176" t="s">
        <v>37</v>
      </c>
      <c r="AG1" s="176" t="s">
        <v>38</v>
      </c>
      <c r="AH1" s="208" t="s">
        <v>39</v>
      </c>
      <c r="AI1" s="210" t="s">
        <v>40</v>
      </c>
      <c r="AJ1" s="211" t="s">
        <v>41</v>
      </c>
      <c r="AK1" s="208" t="s">
        <v>42</v>
      </c>
      <c r="AL1" s="208" t="s">
        <v>43</v>
      </c>
      <c r="AM1" s="208" t="s">
        <v>1785</v>
      </c>
      <c r="AN1" s="166" t="s">
        <v>178</v>
      </c>
      <c r="AO1" s="208" t="s">
        <v>45</v>
      </c>
      <c r="AP1" s="208" t="s">
        <v>46</v>
      </c>
      <c r="AQ1" s="200" t="s">
        <v>593</v>
      </c>
      <c r="AR1" s="200" t="s">
        <v>46</v>
      </c>
      <c r="AS1" s="278" t="s">
        <v>1786</v>
      </c>
      <c r="AT1" s="278" t="s">
        <v>1787</v>
      </c>
      <c r="AU1" s="293" t="s">
        <v>1894</v>
      </c>
      <c r="AV1" s="293" t="s">
        <v>1895</v>
      </c>
    </row>
    <row r="2" spans="1:48" ht="64.5" customHeight="1">
      <c r="A2" s="244">
        <v>161</v>
      </c>
      <c r="B2" s="253">
        <v>46155.444895833301</v>
      </c>
      <c r="C2" s="253">
        <v>46155.537881944401</v>
      </c>
      <c r="D2" s="244" t="s">
        <v>1896</v>
      </c>
      <c r="E2" s="244" t="s">
        <v>1897</v>
      </c>
      <c r="F2" s="244" t="s">
        <v>1898</v>
      </c>
      <c r="G2" s="244" t="s">
        <v>1899</v>
      </c>
      <c r="H2" s="244" t="s">
        <v>52</v>
      </c>
      <c r="I2" s="244" t="s">
        <v>204</v>
      </c>
      <c r="J2" s="279" t="s">
        <v>1900</v>
      </c>
      <c r="K2" s="244" t="s">
        <v>1901</v>
      </c>
      <c r="L2" s="253" t="s">
        <v>1902</v>
      </c>
      <c r="M2" s="253">
        <v>46156</v>
      </c>
      <c r="N2" s="244" t="s">
        <v>57</v>
      </c>
      <c r="O2" s="244">
        <v>0</v>
      </c>
      <c r="P2" s="244">
        <v>0</v>
      </c>
      <c r="Q2" s="279" t="s">
        <v>58</v>
      </c>
      <c r="R2" s="244" t="s">
        <v>1903</v>
      </c>
      <c r="S2" s="244" t="s">
        <v>1904</v>
      </c>
      <c r="T2" s="244" t="s">
        <v>1905</v>
      </c>
      <c r="U2" s="279" t="s">
        <v>162</v>
      </c>
      <c r="V2" s="244" t="s">
        <v>63</v>
      </c>
      <c r="W2" s="244" t="s">
        <v>64</v>
      </c>
      <c r="X2" s="279" t="s">
        <v>65</v>
      </c>
      <c r="Y2" s="244" t="s">
        <v>1906</v>
      </c>
      <c r="Z2" s="244" t="s">
        <v>1907</v>
      </c>
      <c r="AA2" s="360"/>
      <c r="AB2" s="297" t="s">
        <v>322</v>
      </c>
      <c r="AC2" s="267" t="s">
        <v>69</v>
      </c>
      <c r="AD2" s="271">
        <v>46163</v>
      </c>
      <c r="AE2" s="267" t="s">
        <v>4</v>
      </c>
      <c r="AF2" s="271">
        <v>46163</v>
      </c>
      <c r="AG2" s="271">
        <v>46163</v>
      </c>
      <c r="AH2" s="267">
        <v>1</v>
      </c>
      <c r="AI2" s="268">
        <v>0</v>
      </c>
      <c r="AJ2" s="269">
        <v>0</v>
      </c>
      <c r="AK2" s="270"/>
      <c r="AL2" s="269" t="s">
        <v>671</v>
      </c>
      <c r="AM2" s="267" t="s">
        <v>1908</v>
      </c>
      <c r="AN2" s="267" t="s">
        <v>64</v>
      </c>
      <c r="AO2" s="267" t="s">
        <v>605</v>
      </c>
      <c r="AP2" s="267"/>
      <c r="AQ2" s="271" t="s">
        <v>260</v>
      </c>
      <c r="AR2" s="267"/>
      <c r="AS2" s="267" t="s">
        <v>1909</v>
      </c>
      <c r="AT2" s="267"/>
      <c r="AU2" s="298"/>
      <c r="AV2" s="298"/>
    </row>
    <row r="3" spans="1:48" ht="118.5" customHeight="1">
      <c r="A3" s="244">
        <v>23</v>
      </c>
      <c r="B3" s="253">
        <v>46042.744837963</v>
      </c>
      <c r="C3" s="253">
        <v>46042.760972222197</v>
      </c>
      <c r="D3" s="244" t="s">
        <v>1020</v>
      </c>
      <c r="E3" s="244" t="s">
        <v>1021</v>
      </c>
      <c r="F3" s="244" t="s">
        <v>1214</v>
      </c>
      <c r="G3" s="244" t="s">
        <v>1226</v>
      </c>
      <c r="H3" s="244" t="s">
        <v>112</v>
      </c>
      <c r="I3" s="244" t="s">
        <v>125</v>
      </c>
      <c r="J3" s="286" t="s">
        <v>1215</v>
      </c>
      <c r="K3" s="244"/>
      <c r="L3" s="253" t="s">
        <v>296</v>
      </c>
      <c r="M3" s="253">
        <v>46112</v>
      </c>
      <c r="N3" s="244" t="s">
        <v>57</v>
      </c>
      <c r="O3" s="244"/>
      <c r="P3" s="244"/>
      <c r="Q3" s="286" t="s">
        <v>58</v>
      </c>
      <c r="R3" s="244" t="s">
        <v>1218</v>
      </c>
      <c r="S3" s="244"/>
      <c r="T3" s="244" t="s">
        <v>1219</v>
      </c>
      <c r="U3" s="286" t="s">
        <v>62</v>
      </c>
      <c r="V3" s="244" t="s">
        <v>187</v>
      </c>
      <c r="W3" s="244" t="s">
        <v>64</v>
      </c>
      <c r="X3" s="286" t="s">
        <v>86</v>
      </c>
      <c r="Y3" s="244" t="s">
        <v>1228</v>
      </c>
      <c r="Z3" s="246" t="s">
        <v>1229</v>
      </c>
      <c r="AA3" s="360"/>
      <c r="AB3" s="297" t="s">
        <v>626</v>
      </c>
      <c r="AC3" s="267"/>
      <c r="AD3" s="271"/>
      <c r="AE3" s="267" t="s">
        <v>3</v>
      </c>
      <c r="AF3" s="271"/>
      <c r="AG3" s="271"/>
      <c r="AH3" s="267">
        <v>2</v>
      </c>
      <c r="AI3" s="268"/>
      <c r="AJ3" s="269">
        <v>33500</v>
      </c>
      <c r="AK3" s="270" t="s">
        <v>1910</v>
      </c>
      <c r="AL3" s="269" t="s">
        <v>259</v>
      </c>
      <c r="AM3" s="267" t="s">
        <v>1803</v>
      </c>
      <c r="AN3" s="267"/>
      <c r="AO3" s="267" t="s">
        <v>605</v>
      </c>
      <c r="AP3" s="267"/>
      <c r="AQ3" s="271" t="s">
        <v>118</v>
      </c>
      <c r="AR3" s="267"/>
      <c r="AS3" s="267" t="s">
        <v>260</v>
      </c>
      <c r="AT3" s="267" t="s">
        <v>1911</v>
      </c>
      <c r="AU3" s="298"/>
      <c r="AV3" s="298"/>
    </row>
    <row r="4" spans="1:48" ht="66.75" customHeight="1">
      <c r="A4" s="244">
        <v>55</v>
      </c>
      <c r="B4" s="253">
        <v>46071.365555555603</v>
      </c>
      <c r="C4" s="253">
        <v>46071.394305555601</v>
      </c>
      <c r="D4" s="244" t="s">
        <v>930</v>
      </c>
      <c r="E4" s="244" t="s">
        <v>931</v>
      </c>
      <c r="F4" s="244" t="s">
        <v>1912</v>
      </c>
      <c r="G4" s="244" t="s">
        <v>933</v>
      </c>
      <c r="H4" s="244" t="s">
        <v>112</v>
      </c>
      <c r="I4" s="244" t="s">
        <v>113</v>
      </c>
      <c r="J4" s="286" t="s">
        <v>1913</v>
      </c>
      <c r="K4" s="244"/>
      <c r="L4" s="253" t="s">
        <v>226</v>
      </c>
      <c r="M4" s="253">
        <v>46102</v>
      </c>
      <c r="N4" s="244" t="s">
        <v>57</v>
      </c>
      <c r="O4" s="244"/>
      <c r="P4" s="244"/>
      <c r="Q4" s="286" t="s">
        <v>58</v>
      </c>
      <c r="R4" s="244" t="s">
        <v>936</v>
      </c>
      <c r="S4" s="244"/>
      <c r="T4" s="244" t="s">
        <v>937</v>
      </c>
      <c r="U4" s="286" t="s">
        <v>162</v>
      </c>
      <c r="V4" s="244" t="s">
        <v>944</v>
      </c>
      <c r="W4" s="244" t="s">
        <v>64</v>
      </c>
      <c r="X4" s="286" t="s">
        <v>230</v>
      </c>
      <c r="Y4" s="244" t="s">
        <v>946</v>
      </c>
      <c r="Z4" s="244" t="s">
        <v>947</v>
      </c>
      <c r="AA4" s="360"/>
      <c r="AB4" s="297" t="s">
        <v>106</v>
      </c>
      <c r="AC4" s="267"/>
      <c r="AD4" s="271"/>
      <c r="AE4" s="267" t="s">
        <v>3</v>
      </c>
      <c r="AF4" s="271"/>
      <c r="AG4" s="271"/>
      <c r="AH4" s="267" t="s">
        <v>948</v>
      </c>
      <c r="AI4" s="268"/>
      <c r="AJ4" s="269">
        <v>92035.25</v>
      </c>
      <c r="AK4" s="270" t="s">
        <v>950</v>
      </c>
      <c r="AL4" s="269" t="s">
        <v>628</v>
      </c>
      <c r="AM4" s="267" t="s">
        <v>217</v>
      </c>
      <c r="AN4" s="267"/>
      <c r="AO4" s="267" t="s">
        <v>605</v>
      </c>
      <c r="AP4" s="267"/>
      <c r="AQ4" s="271" t="s">
        <v>260</v>
      </c>
      <c r="AR4" s="267"/>
      <c r="AS4" s="267" t="s">
        <v>260</v>
      </c>
      <c r="AT4" s="267" t="s">
        <v>1914</v>
      </c>
      <c r="AU4" s="298"/>
      <c r="AV4" s="298"/>
    </row>
    <row r="5" spans="1:48" ht="71.25" customHeight="1">
      <c r="A5" s="244">
        <v>56</v>
      </c>
      <c r="B5" s="253">
        <v>46071.782638888886</v>
      </c>
      <c r="C5" s="253">
        <v>46071.78402777778</v>
      </c>
      <c r="D5" s="244" t="s">
        <v>930</v>
      </c>
      <c r="E5" s="244" t="s">
        <v>931</v>
      </c>
      <c r="F5" s="244" t="s">
        <v>971</v>
      </c>
      <c r="G5" s="244" t="s">
        <v>1915</v>
      </c>
      <c r="H5" s="244" t="s">
        <v>112</v>
      </c>
      <c r="I5" s="244" t="s">
        <v>113</v>
      </c>
      <c r="J5" s="286" t="s">
        <v>1913</v>
      </c>
      <c r="K5" s="244"/>
      <c r="L5" s="253" t="s">
        <v>226</v>
      </c>
      <c r="M5" s="253">
        <v>46101</v>
      </c>
      <c r="N5" s="244" t="s">
        <v>57</v>
      </c>
      <c r="O5" s="244"/>
      <c r="P5" s="244"/>
      <c r="Q5" s="286" t="s">
        <v>58</v>
      </c>
      <c r="R5" s="244" t="s">
        <v>975</v>
      </c>
      <c r="S5" s="244"/>
      <c r="T5" s="244" t="s">
        <v>976</v>
      </c>
      <c r="U5" s="286" t="s">
        <v>319</v>
      </c>
      <c r="V5" s="244" t="s">
        <v>983</v>
      </c>
      <c r="W5" s="244" t="s">
        <v>64</v>
      </c>
      <c r="X5" s="286" t="s">
        <v>86</v>
      </c>
      <c r="Y5" s="244" t="s">
        <v>1916</v>
      </c>
      <c r="Z5" s="244" t="s">
        <v>986</v>
      </c>
      <c r="AA5" s="360"/>
      <c r="AB5" s="297" t="s">
        <v>106</v>
      </c>
      <c r="AC5" s="267"/>
      <c r="AD5" s="271"/>
      <c r="AE5" s="267" t="s">
        <v>3</v>
      </c>
      <c r="AF5" s="271"/>
      <c r="AG5" s="271"/>
      <c r="AH5" s="267">
        <v>3</v>
      </c>
      <c r="AI5" s="268"/>
      <c r="AJ5" s="269">
        <v>47790</v>
      </c>
      <c r="AK5" s="270" t="s">
        <v>1917</v>
      </c>
      <c r="AL5" s="269" t="s">
        <v>628</v>
      </c>
      <c r="AM5" s="267"/>
      <c r="AN5" s="267"/>
      <c r="AO5" s="267" t="s">
        <v>605</v>
      </c>
      <c r="AP5" s="267"/>
      <c r="AQ5" s="271" t="s">
        <v>260</v>
      </c>
      <c r="AR5" s="267"/>
      <c r="AS5" s="267" t="s">
        <v>260</v>
      </c>
      <c r="AT5" s="267" t="s">
        <v>1914</v>
      </c>
      <c r="AU5" s="298"/>
      <c r="AV5" s="298"/>
    </row>
    <row r="6" spans="1:48" ht="55.5" customHeight="1">
      <c r="A6" s="244">
        <v>130</v>
      </c>
      <c r="B6" s="253">
        <v>46142.660879629599</v>
      </c>
      <c r="C6" s="253">
        <v>46142.680972222202</v>
      </c>
      <c r="D6" s="244" t="s">
        <v>262</v>
      </c>
      <c r="E6" s="244" t="s">
        <v>263</v>
      </c>
      <c r="F6" s="244" t="s">
        <v>1918</v>
      </c>
      <c r="G6" s="244" t="s">
        <v>1919</v>
      </c>
      <c r="H6" s="244" t="s">
        <v>52</v>
      </c>
      <c r="I6" s="244" t="s">
        <v>53</v>
      </c>
      <c r="J6" s="286" t="s">
        <v>1920</v>
      </c>
      <c r="K6" s="244"/>
      <c r="L6" s="253" t="s">
        <v>296</v>
      </c>
      <c r="M6" s="253">
        <v>46296</v>
      </c>
      <c r="N6" s="244" t="s">
        <v>57</v>
      </c>
      <c r="O6" s="244">
        <v>0</v>
      </c>
      <c r="P6" s="244"/>
      <c r="Q6" s="286" t="s">
        <v>58</v>
      </c>
      <c r="R6" s="244" t="s">
        <v>1921</v>
      </c>
      <c r="S6" s="244" t="s">
        <v>1922</v>
      </c>
      <c r="T6" s="244" t="s">
        <v>1923</v>
      </c>
      <c r="U6" s="286" t="s">
        <v>162</v>
      </c>
      <c r="V6" s="244" t="s">
        <v>63</v>
      </c>
      <c r="W6" s="244" t="s">
        <v>64</v>
      </c>
      <c r="X6" s="286" t="s">
        <v>65</v>
      </c>
      <c r="Y6" s="244" t="s">
        <v>1924</v>
      </c>
      <c r="Z6" s="244" t="s">
        <v>1925</v>
      </c>
      <c r="AA6" s="360"/>
      <c r="AB6" s="297" t="s">
        <v>68</v>
      </c>
      <c r="AC6" s="267" t="s">
        <v>69</v>
      </c>
      <c r="AD6" s="271">
        <v>46149</v>
      </c>
      <c r="AE6" s="267"/>
      <c r="AF6" s="271"/>
      <c r="AG6" s="271"/>
      <c r="AH6" s="267">
        <v>4</v>
      </c>
      <c r="AI6" s="268"/>
      <c r="AJ6" s="269">
        <v>90000</v>
      </c>
      <c r="AK6" s="270"/>
      <c r="AL6" s="269" t="s">
        <v>628</v>
      </c>
      <c r="AM6" s="267" t="s">
        <v>217</v>
      </c>
      <c r="AN6" s="267"/>
      <c r="AO6" s="267" t="s">
        <v>605</v>
      </c>
      <c r="AP6" s="267"/>
      <c r="AQ6" s="271" t="s">
        <v>260</v>
      </c>
      <c r="AR6" s="267"/>
      <c r="AS6" s="267" t="s">
        <v>260</v>
      </c>
      <c r="AT6" s="267" t="s">
        <v>1926</v>
      </c>
      <c r="AU6" s="298"/>
      <c r="AV6" s="298"/>
    </row>
    <row r="7" spans="1:48" ht="48.75" customHeight="1">
      <c r="A7" s="244">
        <v>175</v>
      </c>
      <c r="B7" s="253">
        <v>46168.366296296299</v>
      </c>
      <c r="C7" s="253">
        <v>46168.4558217593</v>
      </c>
      <c r="D7" s="244" t="s">
        <v>220</v>
      </c>
      <c r="E7" s="244" t="s">
        <v>221</v>
      </c>
      <c r="F7" s="244" t="s">
        <v>1927</v>
      </c>
      <c r="G7" s="244" t="s">
        <v>1928</v>
      </c>
      <c r="H7" s="244" t="s">
        <v>112</v>
      </c>
      <c r="I7" s="244" t="s">
        <v>224</v>
      </c>
      <c r="J7" s="286" t="s">
        <v>1929</v>
      </c>
      <c r="K7" s="244" t="s">
        <v>1930</v>
      </c>
      <c r="L7" s="253" t="s">
        <v>226</v>
      </c>
      <c r="M7" s="253">
        <v>46178</v>
      </c>
      <c r="N7" s="244" t="s">
        <v>57</v>
      </c>
      <c r="O7" s="244">
        <v>0</v>
      </c>
      <c r="P7" s="244">
        <v>0</v>
      </c>
      <c r="Q7" s="286" t="s">
        <v>522</v>
      </c>
      <c r="R7" s="244" t="s">
        <v>1931</v>
      </c>
      <c r="S7" s="244" t="s">
        <v>1932</v>
      </c>
      <c r="T7" s="244" t="s">
        <v>1933</v>
      </c>
      <c r="U7" s="286" t="s">
        <v>162</v>
      </c>
      <c r="V7" s="244" t="s">
        <v>365</v>
      </c>
      <c r="W7" s="244" t="s">
        <v>57</v>
      </c>
      <c r="X7" s="286" t="s">
        <v>230</v>
      </c>
      <c r="Y7" s="244" t="s">
        <v>1934</v>
      </c>
      <c r="Z7" s="244" t="s">
        <v>1935</v>
      </c>
      <c r="AA7" s="360">
        <v>2.35</v>
      </c>
      <c r="AB7" s="297" t="s">
        <v>106</v>
      </c>
      <c r="AC7" s="267" t="s">
        <v>69</v>
      </c>
      <c r="AD7" s="271">
        <v>46170</v>
      </c>
      <c r="AE7" s="267" t="s">
        <v>4</v>
      </c>
      <c r="AF7" s="271">
        <v>46170</v>
      </c>
      <c r="AG7" s="271">
        <v>46170</v>
      </c>
      <c r="AH7" s="267">
        <v>1</v>
      </c>
      <c r="AI7" s="268">
        <v>0</v>
      </c>
      <c r="AJ7" s="269">
        <v>0</v>
      </c>
      <c r="AK7" s="270" t="s">
        <v>1936</v>
      </c>
      <c r="AL7" s="269" t="s">
        <v>671</v>
      </c>
      <c r="AM7" s="267" t="s">
        <v>1937</v>
      </c>
      <c r="AN7" s="267" t="s">
        <v>260</v>
      </c>
      <c r="AO7" s="267" t="s">
        <v>605</v>
      </c>
      <c r="AP7" s="267" t="s">
        <v>1938</v>
      </c>
      <c r="AQ7" s="271" t="s">
        <v>260</v>
      </c>
      <c r="AR7" s="267"/>
      <c r="AS7" s="267"/>
      <c r="AT7" s="267"/>
      <c r="AU7" s="298"/>
      <c r="AV7" s="298"/>
    </row>
  </sheetData>
  <sheetProtection algorithmName="SHA-512" hashValue="A1a2rw5YNi4Eae63OlgkKS1/qY15jvUCytcTUcF2QI48urtvVg+FSlwM7dUNS9OISptfctHF1Xj+YO95d5qt1w==" saltValue="hhvrUM9zIY5EyYGvtR4z2A=="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AV3" xr:uid="{1ACD93ED-D4F8-4AB8-8264-3586DF594C5A}"/>
  <hyperlinks>
    <hyperlink ref="Z3" r:id="rId1" display="https://educorpperu-my.sharepoint.com/personal/diana_zapata_laureate_pe1/_layouts/15/Doc.aspx?sourcedoc=%7BFCF2BAF2-A2BE-40AB-B859-1D5B92387773%7D&amp;file=Solicitud%20de%20query%20retiros%20formales%20-%20ACT_Luis%20Alberto%20Almeyda.pptx&amp;action=edit&amp;mobileredirect=true" xr:uid="{3356D733-7AAF-4811-9291-1C4174AB0407}"/>
  </hyperlinks>
  <pageMargins left="0.7" right="0.7" top="0.75" bottom="0.75" header="0.3" footer="0.3"/>
  <headerFooter>
    <oddFooter>&amp;C_x000D_&amp;1#&amp;"Aptos"&amp;7&amp;K000000 Uso Público de Laureate Perú — Se compartir externamente, información no sensible.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4.45"/>
  <cols>
    <col min="2" max="2" width="24.42578125" bestFit="1" customWidth="1"/>
    <col min="3" max="3" width="13.85546875" bestFit="1" customWidth="1"/>
  </cols>
  <sheetData>
    <row r="2" spans="2:3">
      <c r="B2" t="s">
        <v>1939</v>
      </c>
      <c r="C2" t="s">
        <v>1940</v>
      </c>
    </row>
    <row r="3" spans="2:3">
      <c r="B3" t="s">
        <v>2</v>
      </c>
      <c r="C3">
        <v>21</v>
      </c>
    </row>
    <row r="4" spans="2:3">
      <c r="B4" t="s">
        <v>3</v>
      </c>
      <c r="C4">
        <v>14</v>
      </c>
    </row>
    <row r="5" spans="2:3">
      <c r="B5" t="s">
        <v>4</v>
      </c>
      <c r="C5">
        <v>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tabColor theme="4" tint="-0.249977111117893"/>
  </sheetPr>
  <dimension ref="A1:AX6"/>
  <sheetViews>
    <sheetView zoomScale="84" zoomScaleNormal="84" workbookViewId="0">
      <pane xSplit="6" ySplit="1" topLeftCell="AT2" activePane="bottomRight" state="frozen"/>
      <selection pane="bottomRight" activeCell="AV11" sqref="AV11"/>
      <selection pane="bottomLeft" activeCell="A2" sqref="A2"/>
      <selection pane="topRight" activeCell="G1" sqref="G1"/>
    </sheetView>
  </sheetViews>
  <sheetFormatPr defaultColWidth="11.42578125" defaultRowHeight="15" customHeight="1"/>
  <cols>
    <col min="1" max="1" width="7.42578125" style="4" customWidth="1"/>
    <col min="2" max="2" width="11.5703125" style="4" customWidth="1"/>
    <col min="3" max="3" width="18.5703125" style="4" customWidth="1"/>
    <col min="4" max="4" width="12.5703125" style="4" customWidth="1"/>
    <col min="5" max="5" width="13.7109375" style="4" customWidth="1"/>
    <col min="6" max="6" width="24" style="4" customWidth="1"/>
    <col min="7" max="7" width="64.28515625" style="4" customWidth="1"/>
    <col min="8" max="10" width="11.42578125" style="4" bestFit="1" customWidth="1"/>
    <col min="11" max="11" width="11.42578125" style="4" customWidth="1"/>
    <col min="12"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5703125" style="4" customWidth="1"/>
    <col min="25" max="26" width="11.42578125" style="4" bestFit="1" customWidth="1"/>
    <col min="27" max="27" width="11.42578125" style="4" customWidth="1"/>
    <col min="28" max="29" width="17.140625" style="4" customWidth="1"/>
    <col min="30" max="30" width="18.28515625" style="4" customWidth="1"/>
    <col min="31" max="34" width="11.42578125" style="4" bestFit="1" customWidth="1"/>
    <col min="35" max="36" width="16" style="4" customWidth="1"/>
    <col min="37" max="37" width="36.42578125" style="4" customWidth="1"/>
    <col min="38" max="38" width="14.42578125" style="4" customWidth="1"/>
    <col min="39" max="39" width="11.42578125" style="4" bestFit="1" customWidth="1"/>
    <col min="40" max="40" width="11.42578125" style="4" customWidth="1"/>
    <col min="41" max="41" width="13.85546875" style="4" customWidth="1"/>
    <col min="42" max="42" width="23.140625" style="4" customWidth="1"/>
    <col min="43" max="43" width="11.42578125" style="4" customWidth="1"/>
    <col min="44" max="44" width="26.7109375" style="4" customWidth="1"/>
    <col min="45" max="46" width="22.140625" style="4" customWidth="1"/>
    <col min="47" max="47" width="12.42578125" style="186" customWidth="1"/>
    <col min="48" max="48" width="14.42578125" style="186" customWidth="1"/>
    <col min="49" max="49" width="24.85546875" style="188" customWidth="1"/>
    <col min="50" max="16384" width="11.42578125" style="4"/>
  </cols>
  <sheetData>
    <row r="1" spans="1:50" s="59" customFormat="1" ht="48.75" customHeight="1">
      <c r="A1" s="159" t="s">
        <v>5</v>
      </c>
      <c r="B1" s="160" t="s">
        <v>6</v>
      </c>
      <c r="C1" s="160" t="s">
        <v>7</v>
      </c>
      <c r="D1" s="159" t="s">
        <v>8</v>
      </c>
      <c r="E1" s="159" t="s">
        <v>9</v>
      </c>
      <c r="F1" s="159" t="s">
        <v>10</v>
      </c>
      <c r="G1" s="159" t="s">
        <v>11</v>
      </c>
      <c r="H1" s="159" t="s">
        <v>12</v>
      </c>
      <c r="I1" s="159" t="s">
        <v>13</v>
      </c>
      <c r="J1" s="266" t="s">
        <v>14</v>
      </c>
      <c r="K1" s="159" t="s">
        <v>171</v>
      </c>
      <c r="L1" s="266" t="s">
        <v>16</v>
      </c>
      <c r="M1" s="266" t="s">
        <v>17</v>
      </c>
      <c r="N1" s="159" t="s">
        <v>18</v>
      </c>
      <c r="O1" s="159" t="s">
        <v>172</v>
      </c>
      <c r="P1" s="159" t="s">
        <v>20</v>
      </c>
      <c r="Q1" s="266" t="s">
        <v>21</v>
      </c>
      <c r="R1" s="159" t="s">
        <v>22</v>
      </c>
      <c r="S1" s="327" t="s">
        <v>23</v>
      </c>
      <c r="T1" s="266" t="s">
        <v>24</v>
      </c>
      <c r="U1" s="266" t="s">
        <v>25</v>
      </c>
      <c r="V1" s="159" t="s">
        <v>26</v>
      </c>
      <c r="W1" s="159" t="s">
        <v>174</v>
      </c>
      <c r="X1" s="266" t="s">
        <v>28</v>
      </c>
      <c r="Y1" s="159" t="s">
        <v>29</v>
      </c>
      <c r="Z1" s="177" t="s">
        <v>175</v>
      </c>
      <c r="AA1" s="296" t="s">
        <v>31</v>
      </c>
      <c r="AB1" s="175" t="s">
        <v>33</v>
      </c>
      <c r="AC1" s="175" t="s">
        <v>34</v>
      </c>
      <c r="AD1" s="225" t="s">
        <v>35</v>
      </c>
      <c r="AE1" s="208" t="s">
        <v>36</v>
      </c>
      <c r="AF1" s="176" t="s">
        <v>37</v>
      </c>
      <c r="AG1" s="176" t="s">
        <v>38</v>
      </c>
      <c r="AH1" s="208" t="s">
        <v>39</v>
      </c>
      <c r="AI1" s="210" t="s">
        <v>40</v>
      </c>
      <c r="AJ1" s="211" t="s">
        <v>41</v>
      </c>
      <c r="AK1" s="208" t="s">
        <v>42</v>
      </c>
      <c r="AL1" s="208" t="s">
        <v>43</v>
      </c>
      <c r="AM1" s="208" t="s">
        <v>1785</v>
      </c>
      <c r="AN1" s="166" t="s">
        <v>178</v>
      </c>
      <c r="AO1" s="208" t="s">
        <v>45</v>
      </c>
      <c r="AP1" s="208" t="s">
        <v>46</v>
      </c>
      <c r="AQ1" s="200" t="s">
        <v>593</v>
      </c>
      <c r="AR1" s="200" t="s">
        <v>46</v>
      </c>
      <c r="AS1" s="199" t="s">
        <v>1786</v>
      </c>
      <c r="AT1" s="299" t="s">
        <v>1787</v>
      </c>
      <c r="AU1" s="201" t="s">
        <v>1894</v>
      </c>
      <c r="AV1" s="201" t="s">
        <v>1895</v>
      </c>
      <c r="AW1" s="202" t="s">
        <v>1941</v>
      </c>
      <c r="AX1" s="305" t="s">
        <v>46</v>
      </c>
    </row>
    <row r="2" spans="1:50" ht="54.75" customHeight="1">
      <c r="A2" s="244">
        <v>15</v>
      </c>
      <c r="B2" s="253">
        <v>46006.494444444441</v>
      </c>
      <c r="C2" s="253">
        <v>46008.702777777777</v>
      </c>
      <c r="D2" s="254" t="s">
        <v>1020</v>
      </c>
      <c r="E2" s="254" t="s">
        <v>1021</v>
      </c>
      <c r="F2" s="254" t="s">
        <v>1022</v>
      </c>
      <c r="G2" s="254" t="s">
        <v>1035</v>
      </c>
      <c r="H2" s="254" t="s">
        <v>112</v>
      </c>
      <c r="I2" s="244" t="s">
        <v>125</v>
      </c>
      <c r="J2" s="349" t="s">
        <v>1942</v>
      </c>
      <c r="K2" s="244"/>
      <c r="L2" s="350" t="s">
        <v>296</v>
      </c>
      <c r="M2" s="253">
        <v>46057</v>
      </c>
      <c r="N2" s="244" t="s">
        <v>57</v>
      </c>
      <c r="O2" s="244" t="s">
        <v>80</v>
      </c>
      <c r="P2" s="244"/>
      <c r="Q2" s="351" t="s">
        <v>522</v>
      </c>
      <c r="R2" s="254" t="s">
        <v>1027</v>
      </c>
      <c r="S2" s="254"/>
      <c r="T2" s="254" t="s">
        <v>1028</v>
      </c>
      <c r="U2" s="350" t="s">
        <v>79</v>
      </c>
      <c r="V2" s="254" t="s">
        <v>187</v>
      </c>
      <c r="W2" s="254" t="s">
        <v>64</v>
      </c>
      <c r="X2" s="350" t="s">
        <v>507</v>
      </c>
      <c r="Y2" s="254" t="s">
        <v>1037</v>
      </c>
      <c r="Z2" s="244" t="s">
        <v>1038</v>
      </c>
      <c r="AA2" s="244"/>
      <c r="AB2" s="189" t="s">
        <v>131</v>
      </c>
      <c r="AC2" s="189" t="s">
        <v>243</v>
      </c>
      <c r="AD2" s="190"/>
      <c r="AE2" s="189" t="s">
        <v>3</v>
      </c>
      <c r="AF2" s="190"/>
      <c r="AG2" s="222"/>
      <c r="AH2" s="212">
        <v>1</v>
      </c>
      <c r="AI2" s="213">
        <v>1357</v>
      </c>
      <c r="AJ2" s="214">
        <v>4817.3499999999995</v>
      </c>
      <c r="AK2" s="215" t="s">
        <v>1943</v>
      </c>
      <c r="AL2" s="216" t="s">
        <v>628</v>
      </c>
      <c r="AM2" s="189"/>
      <c r="AN2" s="189"/>
      <c r="AO2" s="212" t="s">
        <v>605</v>
      </c>
      <c r="AP2" s="189"/>
      <c r="AQ2" s="190" t="s">
        <v>1804</v>
      </c>
      <c r="AR2" s="191"/>
      <c r="AS2" s="189" t="s">
        <v>260</v>
      </c>
      <c r="AT2" s="189" t="s">
        <v>1944</v>
      </c>
      <c r="AU2" s="190">
        <v>46153</v>
      </c>
      <c r="AV2" s="223">
        <v>46198</v>
      </c>
      <c r="AW2" s="324"/>
      <c r="AX2" s="325"/>
    </row>
    <row r="3" spans="1:50" ht="72.75" customHeight="1">
      <c r="A3" s="244">
        <v>168</v>
      </c>
      <c r="B3" s="253">
        <v>46161.517534722203</v>
      </c>
      <c r="C3" s="253">
        <v>46161.533912036997</v>
      </c>
      <c r="D3" s="254" t="s">
        <v>1896</v>
      </c>
      <c r="E3" s="254" t="s">
        <v>1897</v>
      </c>
      <c r="F3" s="254" t="s">
        <v>1945</v>
      </c>
      <c r="G3" s="254" t="s">
        <v>1946</v>
      </c>
      <c r="H3" s="254" t="s">
        <v>52</v>
      </c>
      <c r="I3" s="244" t="s">
        <v>204</v>
      </c>
      <c r="J3" s="349" t="s">
        <v>1900</v>
      </c>
      <c r="K3" s="244" t="s">
        <v>1947</v>
      </c>
      <c r="L3" s="350" t="s">
        <v>1902</v>
      </c>
      <c r="M3" s="253">
        <v>46164</v>
      </c>
      <c r="N3" s="244" t="s">
        <v>57</v>
      </c>
      <c r="O3" s="244">
        <v>0</v>
      </c>
      <c r="P3" s="244">
        <v>0</v>
      </c>
      <c r="Q3" s="351" t="s">
        <v>58</v>
      </c>
      <c r="R3" s="254" t="s">
        <v>1948</v>
      </c>
      <c r="S3" s="254" t="s">
        <v>1949</v>
      </c>
      <c r="T3" s="254" t="s">
        <v>1950</v>
      </c>
      <c r="U3" s="350" t="s">
        <v>62</v>
      </c>
      <c r="V3" s="254" t="s">
        <v>63</v>
      </c>
      <c r="W3" s="254" t="s">
        <v>57</v>
      </c>
      <c r="X3" s="350" t="s">
        <v>65</v>
      </c>
      <c r="Y3" s="254" t="s">
        <v>1951</v>
      </c>
      <c r="Z3" s="244" t="s">
        <v>1952</v>
      </c>
      <c r="AA3" s="244"/>
      <c r="AB3" s="189" t="s">
        <v>302</v>
      </c>
      <c r="AC3" s="189" t="s">
        <v>69</v>
      </c>
      <c r="AD3" s="190">
        <v>46163</v>
      </c>
      <c r="AE3" s="189" t="s">
        <v>4</v>
      </c>
      <c r="AF3" s="190">
        <v>46163</v>
      </c>
      <c r="AG3" s="222">
        <v>46164</v>
      </c>
      <c r="AH3" s="212">
        <v>1</v>
      </c>
      <c r="AI3" s="213">
        <v>0</v>
      </c>
      <c r="AJ3" s="214">
        <v>0</v>
      </c>
      <c r="AK3" s="215" t="s">
        <v>1953</v>
      </c>
      <c r="AL3" s="216" t="s">
        <v>216</v>
      </c>
      <c r="AM3" s="189" t="s">
        <v>518</v>
      </c>
      <c r="AN3" s="189" t="s">
        <v>64</v>
      </c>
      <c r="AO3" s="212" t="s">
        <v>605</v>
      </c>
      <c r="AP3" s="189"/>
      <c r="AQ3" s="190" t="s">
        <v>260</v>
      </c>
      <c r="AR3" s="191"/>
      <c r="AS3" s="189" t="s">
        <v>1909</v>
      </c>
      <c r="AT3" s="189"/>
      <c r="AU3" s="190">
        <v>46195</v>
      </c>
      <c r="AV3" s="223">
        <v>46234</v>
      </c>
      <c r="AW3" s="324"/>
      <c r="AX3" s="325"/>
    </row>
    <row r="4" spans="1:50" ht="45" customHeight="1">
      <c r="A4" s="244">
        <v>104</v>
      </c>
      <c r="B4" s="253">
        <v>46129.492662037002</v>
      </c>
      <c r="C4" s="253">
        <v>46129.635648148098</v>
      </c>
      <c r="D4" s="254" t="s">
        <v>1954</v>
      </c>
      <c r="E4" s="254" t="s">
        <v>1955</v>
      </c>
      <c r="F4" s="254" t="s">
        <v>1956</v>
      </c>
      <c r="G4" s="254" t="s">
        <v>1957</v>
      </c>
      <c r="H4" s="254" t="s">
        <v>1175</v>
      </c>
      <c r="I4" s="244" t="s">
        <v>77</v>
      </c>
      <c r="J4" s="349" t="s">
        <v>1958</v>
      </c>
      <c r="K4" s="244"/>
      <c r="L4" s="350" t="s">
        <v>296</v>
      </c>
      <c r="M4" s="253">
        <v>46132</v>
      </c>
      <c r="N4" s="244" t="s">
        <v>57</v>
      </c>
      <c r="O4" s="244">
        <v>0</v>
      </c>
      <c r="P4" s="244"/>
      <c r="Q4" s="351" t="s">
        <v>183</v>
      </c>
      <c r="R4" s="254" t="s">
        <v>1959</v>
      </c>
      <c r="S4" s="254"/>
      <c r="T4" s="254" t="s">
        <v>1960</v>
      </c>
      <c r="U4" s="350" t="s">
        <v>162</v>
      </c>
      <c r="V4" s="254" t="s">
        <v>63</v>
      </c>
      <c r="W4" s="254" t="s">
        <v>64</v>
      </c>
      <c r="X4" s="350" t="s">
        <v>65</v>
      </c>
      <c r="Y4" s="254" t="s">
        <v>1961</v>
      </c>
      <c r="Z4" s="244" t="s">
        <v>1962</v>
      </c>
      <c r="AA4" s="244"/>
      <c r="AB4" s="189" t="s">
        <v>68</v>
      </c>
      <c r="AC4" s="189" t="s">
        <v>69</v>
      </c>
      <c r="AD4" s="190">
        <v>46135</v>
      </c>
      <c r="AE4" s="189"/>
      <c r="AF4" s="190"/>
      <c r="AG4" s="222"/>
      <c r="AH4" s="212">
        <v>1</v>
      </c>
      <c r="AI4" s="213"/>
      <c r="AJ4" s="214">
        <v>0</v>
      </c>
      <c r="AK4" s="215"/>
      <c r="AL4" s="216" t="s">
        <v>216</v>
      </c>
      <c r="AM4" s="189" t="s">
        <v>1963</v>
      </c>
      <c r="AN4" s="189"/>
      <c r="AO4" s="212" t="s">
        <v>605</v>
      </c>
      <c r="AP4" s="189"/>
      <c r="AQ4" s="190" t="s">
        <v>260</v>
      </c>
      <c r="AR4" s="191"/>
      <c r="AS4" s="189" t="s">
        <v>1909</v>
      </c>
      <c r="AT4" s="189"/>
      <c r="AU4" s="190">
        <v>46161</v>
      </c>
      <c r="AV4" s="223">
        <v>46190</v>
      </c>
      <c r="AW4" s="324"/>
      <c r="AX4" s="325"/>
    </row>
    <row r="5" spans="1:50" ht="42" customHeight="1">
      <c r="A5" s="244">
        <v>115</v>
      </c>
      <c r="B5" s="253">
        <v>46136.386631944399</v>
      </c>
      <c r="C5" s="253">
        <v>46136.399050925902</v>
      </c>
      <c r="D5" s="254" t="s">
        <v>606</v>
      </c>
      <c r="E5" s="254" t="s">
        <v>607</v>
      </c>
      <c r="F5" s="254" t="s">
        <v>1964</v>
      </c>
      <c r="G5" s="254" t="s">
        <v>1965</v>
      </c>
      <c r="H5" s="254" t="s">
        <v>430</v>
      </c>
      <c r="I5" s="244" t="s">
        <v>125</v>
      </c>
      <c r="J5" s="349" t="s">
        <v>1966</v>
      </c>
      <c r="K5" s="244"/>
      <c r="L5" s="350" t="s">
        <v>296</v>
      </c>
      <c r="M5" s="253">
        <v>46136</v>
      </c>
      <c r="N5" s="244" t="s">
        <v>57</v>
      </c>
      <c r="O5" s="244">
        <v>0</v>
      </c>
      <c r="P5" s="244"/>
      <c r="Q5" s="351" t="s">
        <v>1883</v>
      </c>
      <c r="R5" s="254" t="s">
        <v>1965</v>
      </c>
      <c r="S5" s="254"/>
      <c r="T5" s="254" t="s">
        <v>1885</v>
      </c>
      <c r="U5" s="350" t="s">
        <v>79</v>
      </c>
      <c r="V5" s="254" t="s">
        <v>63</v>
      </c>
      <c r="W5" s="254" t="s">
        <v>64</v>
      </c>
      <c r="X5" s="350" t="s">
        <v>65</v>
      </c>
      <c r="Y5" s="254" t="s">
        <v>1967</v>
      </c>
      <c r="Z5" s="244">
        <v>0</v>
      </c>
      <c r="AA5" s="244"/>
      <c r="AB5" s="189" t="s">
        <v>131</v>
      </c>
      <c r="AC5" s="189" t="s">
        <v>69</v>
      </c>
      <c r="AD5" s="190">
        <v>46142</v>
      </c>
      <c r="AE5" s="189" t="s">
        <v>3</v>
      </c>
      <c r="AF5" s="190">
        <v>46146</v>
      </c>
      <c r="AG5" s="222">
        <v>46155</v>
      </c>
      <c r="AH5" s="212">
        <v>1</v>
      </c>
      <c r="AI5" s="213"/>
      <c r="AJ5" s="214">
        <v>0</v>
      </c>
      <c r="AK5" s="215"/>
      <c r="AL5" s="216" t="s">
        <v>671</v>
      </c>
      <c r="AM5" s="189" t="s">
        <v>1889</v>
      </c>
      <c r="AN5" s="189" t="s">
        <v>57</v>
      </c>
      <c r="AO5" s="212" t="s">
        <v>605</v>
      </c>
      <c r="AP5" s="189"/>
      <c r="AQ5" s="190" t="s">
        <v>260</v>
      </c>
      <c r="AR5" s="191"/>
      <c r="AS5" s="189" t="s">
        <v>1909</v>
      </c>
      <c r="AT5" s="189"/>
      <c r="AU5" s="190">
        <v>46216</v>
      </c>
      <c r="AV5" s="223">
        <v>46248</v>
      </c>
      <c r="AW5" s="324"/>
      <c r="AX5" s="325"/>
    </row>
    <row r="6" spans="1:50" ht="42" customHeight="1">
      <c r="A6" s="244">
        <v>120</v>
      </c>
      <c r="B6" s="253">
        <v>46140.504409722198</v>
      </c>
      <c r="C6" s="253">
        <v>46140.510578703703</v>
      </c>
      <c r="D6" s="254" t="s">
        <v>606</v>
      </c>
      <c r="E6" s="254" t="s">
        <v>607</v>
      </c>
      <c r="F6" s="254" t="s">
        <v>1968</v>
      </c>
      <c r="G6" s="254" t="s">
        <v>1969</v>
      </c>
      <c r="H6" s="254" t="s">
        <v>112</v>
      </c>
      <c r="I6" s="244" t="s">
        <v>125</v>
      </c>
      <c r="J6" s="349" t="s">
        <v>610</v>
      </c>
      <c r="K6" s="244"/>
      <c r="L6" s="350" t="s">
        <v>296</v>
      </c>
      <c r="M6" s="253">
        <v>46150</v>
      </c>
      <c r="N6" s="244" t="s">
        <v>57</v>
      </c>
      <c r="O6" s="244">
        <v>0</v>
      </c>
      <c r="P6" s="244"/>
      <c r="Q6" s="351" t="s">
        <v>58</v>
      </c>
      <c r="R6" s="254" t="s">
        <v>1970</v>
      </c>
      <c r="S6" s="254" t="s">
        <v>1971</v>
      </c>
      <c r="T6" s="254" t="s">
        <v>1972</v>
      </c>
      <c r="U6" s="350" t="s">
        <v>79</v>
      </c>
      <c r="V6" s="254" t="s">
        <v>63</v>
      </c>
      <c r="W6" s="254" t="s">
        <v>64</v>
      </c>
      <c r="X6" s="350" t="s">
        <v>65</v>
      </c>
      <c r="Y6" s="254" t="s">
        <v>1973</v>
      </c>
      <c r="Z6" s="244" t="s">
        <v>1974</v>
      </c>
      <c r="AA6" s="244"/>
      <c r="AB6" s="189" t="s">
        <v>131</v>
      </c>
      <c r="AC6" s="189" t="s">
        <v>69</v>
      </c>
      <c r="AD6" s="190">
        <v>46163</v>
      </c>
      <c r="AE6" s="189" t="s">
        <v>3</v>
      </c>
      <c r="AF6" s="190">
        <v>46163</v>
      </c>
      <c r="AG6" s="222">
        <v>46163</v>
      </c>
      <c r="AH6" s="212">
        <v>1</v>
      </c>
      <c r="AI6" s="213">
        <v>0</v>
      </c>
      <c r="AJ6" s="214">
        <v>0</v>
      </c>
      <c r="AK6" s="215"/>
      <c r="AL6" s="216" t="s">
        <v>671</v>
      </c>
      <c r="AM6" s="189" t="s">
        <v>1975</v>
      </c>
      <c r="AN6" s="189" t="s">
        <v>260</v>
      </c>
      <c r="AO6" s="212" t="s">
        <v>605</v>
      </c>
      <c r="AP6" s="189"/>
      <c r="AQ6" s="190" t="s">
        <v>260</v>
      </c>
      <c r="AR6" s="191"/>
      <c r="AS6" s="189" t="s">
        <v>1909</v>
      </c>
      <c r="AT6" s="189"/>
      <c r="AU6" s="190">
        <v>46190</v>
      </c>
      <c r="AV6" s="223">
        <v>46199</v>
      </c>
      <c r="AW6" s="324"/>
      <c r="AX6" s="325"/>
    </row>
  </sheetData>
  <sheetProtection algorithmName="SHA-512" hashValue="DwCGSZt7vrygP4bLq7BsDc00W/ffLui9KUDhiesK4o7i605Jl+SktyRl6GhQB4jvwZDHiTgk/64FPAdixODmmg==" saltValue="vl3FuFAUVx0kNsi1FJQzOA==" spinCount="100000" sheet="1" objects="1" scenarios="1"/>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AW1" xr:uid="{D09E137F-13D1-4358-8DED-3EEC1762CF94}"/>
  <pageMargins left="0.7" right="0.7" top="0.75" bottom="0.75" header="0.3" footer="0.3"/>
  <headerFooter>
    <oddFooter>&amp;C_x000D_&amp;1#&amp;"Aptos"&amp;7&amp;K000000 Uso Público de Laureate Perú — Se compartir externamente, información no sensible.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filterMode="1">
    <tabColor theme="0" tint="-0.499984740745262"/>
  </sheetPr>
  <dimension ref="A1:FH58"/>
  <sheetViews>
    <sheetView zoomScaleNormal="100" workbookViewId="0">
      <pane xSplit="1" ySplit="1" topLeftCell="B2" activePane="bottomRight" state="frozen"/>
      <selection pane="bottomRight" activeCell="A2" sqref="A2"/>
      <selection pane="bottomLeft" activeCell="A2" sqref="A2"/>
      <selection pane="topRight" activeCell="G1" sqref="G1"/>
    </sheetView>
  </sheetViews>
  <sheetFormatPr defaultColWidth="115.42578125" defaultRowHeight="15" customHeight="1"/>
  <cols>
    <col min="1" max="1" width="6.28515625" style="10" customWidth="1"/>
    <col min="2" max="2" width="21" style="94" customWidth="1"/>
    <col min="3" max="3" width="16.28515625" style="94" customWidth="1"/>
    <col min="4" max="4" width="10.7109375" style="10" customWidth="1"/>
    <col min="5" max="5" width="17" style="10" customWidth="1"/>
    <col min="6" max="6" width="31.28515625" style="10" customWidth="1"/>
    <col min="7" max="7" width="51" style="184" customWidth="1"/>
    <col min="8" max="8" width="17.42578125" style="10" customWidth="1"/>
    <col min="9" max="9" width="32.5703125" style="10" customWidth="1"/>
    <col min="10" max="10" width="42" style="10" customWidth="1"/>
    <col min="11" max="11" width="16.85546875" style="10" customWidth="1"/>
    <col min="12" max="12" width="19" style="10" customWidth="1"/>
    <col min="13" max="13" width="19" style="185" customWidth="1"/>
    <col min="14" max="14" width="22.28515625" style="10" customWidth="1"/>
    <col min="15" max="16" width="20.7109375" style="10" customWidth="1"/>
    <col min="17" max="17" width="19" style="10" customWidth="1"/>
    <col min="18" max="21" width="34.42578125" style="10" customWidth="1"/>
    <col min="22" max="22" width="25.28515625" style="10" customWidth="1"/>
    <col min="23" max="23" width="16.7109375" style="10" customWidth="1"/>
    <col min="24" max="24" width="47.7109375" style="10" customWidth="1"/>
    <col min="25" max="25" width="41.42578125" style="10" customWidth="1"/>
    <col min="26" max="26" width="24.42578125" style="10" customWidth="1"/>
    <col min="27" max="27" width="14.85546875" style="10" customWidth="1"/>
    <col min="28" max="34" width="22.7109375" style="10" customWidth="1"/>
    <col min="35" max="36" width="17.28515625" style="10" customWidth="1"/>
    <col min="37" max="37" width="55.7109375" style="59" customWidth="1"/>
    <col min="38" max="38" width="21.7109375" style="10" bestFit="1" customWidth="1"/>
    <col min="39" max="40" width="21.7109375" style="10" customWidth="1"/>
    <col min="41" max="42" width="17.42578125" style="10" customWidth="1"/>
    <col min="43" max="43" width="20.7109375" style="10" customWidth="1"/>
    <col min="44" max="44" width="25.85546875" style="10" customWidth="1"/>
    <col min="45" max="45" width="20.7109375" style="10" customWidth="1"/>
    <col min="46" max="46" width="22.85546875" style="10" customWidth="1"/>
    <col min="47" max="49" width="20.7109375" style="10" customWidth="1"/>
    <col min="50" max="50" width="27.7109375" style="10" customWidth="1"/>
    <col min="51" max="16384" width="115.42578125" style="10"/>
  </cols>
  <sheetData>
    <row r="1" spans="1:164" s="59" customFormat="1" ht="43.5">
      <c r="A1" s="159" t="s">
        <v>5</v>
      </c>
      <c r="B1" s="160" t="s">
        <v>6</v>
      </c>
      <c r="C1" s="160" t="s">
        <v>7</v>
      </c>
      <c r="D1" s="159" t="s">
        <v>8</v>
      </c>
      <c r="E1" s="159" t="s">
        <v>9</v>
      </c>
      <c r="F1" s="159" t="s">
        <v>10</v>
      </c>
      <c r="G1" s="159" t="s">
        <v>11</v>
      </c>
      <c r="H1" s="159" t="s">
        <v>12</v>
      </c>
      <c r="I1" s="300" t="s">
        <v>13</v>
      </c>
      <c r="J1" s="300" t="s">
        <v>14</v>
      </c>
      <c r="K1" s="159" t="s">
        <v>171</v>
      </c>
      <c r="L1" s="300" t="s">
        <v>16</v>
      </c>
      <c r="M1" s="300" t="s">
        <v>17</v>
      </c>
      <c r="N1" s="159" t="s">
        <v>18</v>
      </c>
      <c r="O1" s="159" t="s">
        <v>172</v>
      </c>
      <c r="P1" s="159" t="s">
        <v>20</v>
      </c>
      <c r="Q1" s="300" t="s">
        <v>21</v>
      </c>
      <c r="R1" s="159" t="s">
        <v>22</v>
      </c>
      <c r="S1" s="159" t="s">
        <v>23</v>
      </c>
      <c r="T1" s="300" t="s">
        <v>24</v>
      </c>
      <c r="U1" s="300" t="s">
        <v>25</v>
      </c>
      <c r="V1" s="159" t="s">
        <v>26</v>
      </c>
      <c r="W1" s="159" t="s">
        <v>174</v>
      </c>
      <c r="X1" s="159" t="s">
        <v>591</v>
      </c>
      <c r="Y1" s="159" t="s">
        <v>29</v>
      </c>
      <c r="Z1" s="177" t="s">
        <v>175</v>
      </c>
      <c r="AA1" s="296" t="s">
        <v>31</v>
      </c>
      <c r="AB1" s="175" t="s">
        <v>33</v>
      </c>
      <c r="AC1" s="175" t="s">
        <v>34</v>
      </c>
      <c r="AD1" s="225" t="s">
        <v>35</v>
      </c>
      <c r="AE1" s="208" t="s">
        <v>36</v>
      </c>
      <c r="AF1" s="209" t="s">
        <v>1976</v>
      </c>
      <c r="AG1" s="209" t="s">
        <v>1977</v>
      </c>
      <c r="AH1" s="208" t="s">
        <v>39</v>
      </c>
      <c r="AI1" s="210" t="s">
        <v>40</v>
      </c>
      <c r="AJ1" s="211" t="s">
        <v>41</v>
      </c>
      <c r="AK1" s="208" t="s">
        <v>42</v>
      </c>
      <c r="AL1" s="208" t="s">
        <v>43</v>
      </c>
      <c r="AM1" s="208" t="s">
        <v>1785</v>
      </c>
      <c r="AN1" s="166" t="s">
        <v>178</v>
      </c>
      <c r="AO1" s="208" t="s">
        <v>45</v>
      </c>
      <c r="AP1" s="208" t="s">
        <v>46</v>
      </c>
      <c r="AQ1" s="218" t="s">
        <v>593</v>
      </c>
      <c r="AR1" s="218" t="s">
        <v>46</v>
      </c>
      <c r="AS1" s="301" t="s">
        <v>1786</v>
      </c>
      <c r="AT1" s="301" t="s">
        <v>1787</v>
      </c>
      <c r="AU1" s="302" t="s">
        <v>1894</v>
      </c>
      <c r="AV1" s="302" t="s">
        <v>1895</v>
      </c>
      <c r="AW1" s="303" t="s">
        <v>1941</v>
      </c>
      <c r="AX1" s="305" t="s">
        <v>46</v>
      </c>
    </row>
    <row r="2" spans="1:164" ht="95.45" hidden="1" customHeight="1">
      <c r="A2" s="244">
        <v>25</v>
      </c>
      <c r="B2" s="253">
        <v>46048.5886342593</v>
      </c>
      <c r="C2" s="253">
        <v>46048.615358796298</v>
      </c>
      <c r="D2" s="254" t="s">
        <v>735</v>
      </c>
      <c r="E2" s="254" t="s">
        <v>736</v>
      </c>
      <c r="F2" s="254" t="s">
        <v>1289</v>
      </c>
      <c r="G2" s="254" t="s">
        <v>1300</v>
      </c>
      <c r="H2" s="254" t="s">
        <v>52</v>
      </c>
      <c r="I2" s="244" t="s">
        <v>739</v>
      </c>
      <c r="J2" s="244" t="s">
        <v>1290</v>
      </c>
      <c r="K2" s="244"/>
      <c r="L2" s="244" t="s">
        <v>56</v>
      </c>
      <c r="M2" s="253">
        <v>46083</v>
      </c>
      <c r="N2" s="244" t="s">
        <v>118</v>
      </c>
      <c r="O2" s="244">
        <v>76553</v>
      </c>
      <c r="P2" s="244"/>
      <c r="Q2" s="304" t="s">
        <v>58</v>
      </c>
      <c r="R2" s="254" t="s">
        <v>1292</v>
      </c>
      <c r="S2" s="254"/>
      <c r="T2" s="254" t="s">
        <v>1293</v>
      </c>
      <c r="U2" s="254"/>
      <c r="V2" s="254" t="s">
        <v>750</v>
      </c>
      <c r="W2" s="254" t="s">
        <v>64</v>
      </c>
      <c r="X2" s="254" t="s">
        <v>1301</v>
      </c>
      <c r="Y2" s="254" t="s">
        <v>1302</v>
      </c>
      <c r="Z2" s="244" t="s">
        <v>1303</v>
      </c>
      <c r="AA2" s="244"/>
      <c r="AB2" s="267" t="s">
        <v>860</v>
      </c>
      <c r="AC2" s="267"/>
      <c r="AD2" s="267"/>
      <c r="AE2" s="267" t="s">
        <v>4</v>
      </c>
      <c r="AF2" s="267"/>
      <c r="AG2" s="272"/>
      <c r="AH2" s="272"/>
      <c r="AI2" s="268"/>
      <c r="AJ2" s="269">
        <v>0</v>
      </c>
      <c r="AK2" s="270" t="s">
        <v>1093</v>
      </c>
      <c r="AL2" s="273" t="s">
        <v>671</v>
      </c>
      <c r="AM2" s="267" t="s">
        <v>1978</v>
      </c>
      <c r="AN2" s="267"/>
      <c r="AO2" s="272" t="s">
        <v>605</v>
      </c>
      <c r="AP2" s="267"/>
      <c r="AQ2" s="271" t="s">
        <v>260</v>
      </c>
      <c r="AR2" s="274"/>
      <c r="AS2" s="267" t="s">
        <v>1909</v>
      </c>
      <c r="AT2" s="267"/>
      <c r="AU2" s="271">
        <v>46097</v>
      </c>
      <c r="AV2" s="271">
        <v>46115</v>
      </c>
      <c r="AW2" s="267" t="s">
        <v>1979</v>
      </c>
      <c r="AX2" s="272"/>
    </row>
    <row r="3" spans="1:164" ht="95.45" hidden="1" customHeight="1">
      <c r="A3" s="244">
        <v>26</v>
      </c>
      <c r="B3" s="253">
        <v>46048.615775462997</v>
      </c>
      <c r="C3" s="253">
        <v>46048.6236921296</v>
      </c>
      <c r="D3" s="244" t="s">
        <v>735</v>
      </c>
      <c r="E3" s="244" t="s">
        <v>736</v>
      </c>
      <c r="F3" s="244" t="s">
        <v>737</v>
      </c>
      <c r="G3" s="244" t="s">
        <v>738</v>
      </c>
      <c r="H3" s="244" t="s">
        <v>52</v>
      </c>
      <c r="I3" s="244" t="s">
        <v>739</v>
      </c>
      <c r="J3" s="244" t="s">
        <v>740</v>
      </c>
      <c r="K3" s="244"/>
      <c r="L3" s="253" t="s">
        <v>56</v>
      </c>
      <c r="M3" s="253">
        <v>46035</v>
      </c>
      <c r="N3" s="244" t="s">
        <v>118</v>
      </c>
      <c r="O3" s="244">
        <v>76553</v>
      </c>
      <c r="P3" s="244"/>
      <c r="Q3" s="304" t="s">
        <v>58</v>
      </c>
      <c r="R3" s="244" t="s">
        <v>743</v>
      </c>
      <c r="S3" s="244"/>
      <c r="T3" s="244" t="s">
        <v>744</v>
      </c>
      <c r="U3" s="244"/>
      <c r="V3" s="244" t="s">
        <v>750</v>
      </c>
      <c r="W3" s="244" t="s">
        <v>64</v>
      </c>
      <c r="X3" s="244" t="s">
        <v>751</v>
      </c>
      <c r="Y3" s="244" t="s">
        <v>746</v>
      </c>
      <c r="Z3" s="244" t="s">
        <v>752</v>
      </c>
      <c r="AA3" s="244"/>
      <c r="AB3" s="267" t="s">
        <v>343</v>
      </c>
      <c r="AC3" s="267" t="s">
        <v>243</v>
      </c>
      <c r="AD3" s="267"/>
      <c r="AE3" s="267" t="s">
        <v>3</v>
      </c>
      <c r="AF3" s="267"/>
      <c r="AG3" s="267"/>
      <c r="AH3" s="267" t="s">
        <v>795</v>
      </c>
      <c r="AI3" s="268"/>
      <c r="AJ3" s="269">
        <v>0</v>
      </c>
      <c r="AK3" s="270" t="s">
        <v>1980</v>
      </c>
      <c r="AL3" s="269" t="s">
        <v>671</v>
      </c>
      <c r="AM3" s="267" t="s">
        <v>1978</v>
      </c>
      <c r="AN3" s="267"/>
      <c r="AO3" s="267" t="s">
        <v>605</v>
      </c>
      <c r="AP3" s="267"/>
      <c r="AQ3" s="271" t="s">
        <v>260</v>
      </c>
      <c r="AR3" s="267" t="s">
        <v>1981</v>
      </c>
      <c r="AS3" s="267" t="s">
        <v>1909</v>
      </c>
      <c r="AT3" s="267"/>
      <c r="AU3" s="271">
        <v>46112</v>
      </c>
      <c r="AV3" s="271">
        <v>46128</v>
      </c>
      <c r="AW3" s="267" t="s">
        <v>118</v>
      </c>
      <c r="AX3" s="267"/>
    </row>
    <row r="4" spans="1:164" ht="95.45" hidden="1" customHeight="1">
      <c r="A4" s="244">
        <v>28</v>
      </c>
      <c r="B4" s="253">
        <v>46048.633958333303</v>
      </c>
      <c r="C4" s="253">
        <v>46048.654606481497</v>
      </c>
      <c r="D4" s="244" t="s">
        <v>735</v>
      </c>
      <c r="E4" s="244" t="s">
        <v>736</v>
      </c>
      <c r="F4" s="244" t="s">
        <v>1982</v>
      </c>
      <c r="G4" s="244" t="s">
        <v>1328</v>
      </c>
      <c r="H4" s="244" t="s">
        <v>52</v>
      </c>
      <c r="I4" s="244" t="s">
        <v>739</v>
      </c>
      <c r="J4" s="244" t="s">
        <v>1307</v>
      </c>
      <c r="K4" s="244"/>
      <c r="L4" s="253" t="s">
        <v>56</v>
      </c>
      <c r="M4" s="253">
        <v>46113</v>
      </c>
      <c r="N4" s="244" t="s">
        <v>118</v>
      </c>
      <c r="O4" s="244">
        <v>76553</v>
      </c>
      <c r="P4" s="244"/>
      <c r="Q4" s="304" t="s">
        <v>58</v>
      </c>
      <c r="R4" s="244" t="s">
        <v>1321</v>
      </c>
      <c r="S4" s="244"/>
      <c r="T4" s="244" t="s">
        <v>1322</v>
      </c>
      <c r="U4" s="244"/>
      <c r="V4" s="244" t="s">
        <v>750</v>
      </c>
      <c r="W4" s="244" t="s">
        <v>64</v>
      </c>
      <c r="X4" s="244" t="s">
        <v>742</v>
      </c>
      <c r="Y4" s="244" t="s">
        <v>1329</v>
      </c>
      <c r="Z4" s="244" t="s">
        <v>1330</v>
      </c>
      <c r="AA4" s="244"/>
      <c r="AB4" s="267" t="s">
        <v>860</v>
      </c>
      <c r="AC4" s="267"/>
      <c r="AD4" s="267"/>
      <c r="AE4" s="267" t="s">
        <v>2</v>
      </c>
      <c r="AF4" s="267"/>
      <c r="AG4" s="267"/>
      <c r="AH4" s="267" t="s">
        <v>1092</v>
      </c>
      <c r="AI4" s="268"/>
      <c r="AJ4" s="269">
        <v>0</v>
      </c>
      <c r="AK4" s="270" t="s">
        <v>1146</v>
      </c>
      <c r="AL4" s="269" t="s">
        <v>671</v>
      </c>
      <c r="AM4" s="267" t="s">
        <v>1978</v>
      </c>
      <c r="AN4" s="267"/>
      <c r="AO4" s="267" t="s">
        <v>605</v>
      </c>
      <c r="AP4" s="267"/>
      <c r="AQ4" s="271" t="s">
        <v>260</v>
      </c>
      <c r="AR4" s="267"/>
      <c r="AS4" s="267" t="s">
        <v>1909</v>
      </c>
      <c r="AT4" s="267"/>
      <c r="AU4" s="271">
        <v>46083</v>
      </c>
      <c r="AV4" s="271">
        <v>46122</v>
      </c>
      <c r="AW4" s="267" t="s">
        <v>1983</v>
      </c>
      <c r="AX4" s="272"/>
    </row>
    <row r="5" spans="1:164" ht="95.45" customHeight="1">
      <c r="A5" s="244">
        <v>32</v>
      </c>
      <c r="B5" s="253">
        <v>46048.673553240696</v>
      </c>
      <c r="C5" s="253">
        <v>46048.690682870401</v>
      </c>
      <c r="D5" s="254" t="s">
        <v>757</v>
      </c>
      <c r="E5" s="254" t="s">
        <v>758</v>
      </c>
      <c r="F5" s="254" t="s">
        <v>1357</v>
      </c>
      <c r="G5" s="254" t="s">
        <v>1369</v>
      </c>
      <c r="H5" s="254" t="s">
        <v>52</v>
      </c>
      <c r="I5" s="244" t="s">
        <v>125</v>
      </c>
      <c r="J5" s="244" t="s">
        <v>1358</v>
      </c>
      <c r="K5" s="244"/>
      <c r="L5" s="244" t="s">
        <v>206</v>
      </c>
      <c r="M5" s="253">
        <v>46080</v>
      </c>
      <c r="N5" s="244" t="s">
        <v>57</v>
      </c>
      <c r="O5" s="244"/>
      <c r="P5" s="244"/>
      <c r="Q5" s="304" t="s">
        <v>58</v>
      </c>
      <c r="R5" s="254" t="s">
        <v>1361</v>
      </c>
      <c r="S5" s="254"/>
      <c r="T5" s="254" t="s">
        <v>1362</v>
      </c>
      <c r="U5" s="254"/>
      <c r="V5" s="254" t="s">
        <v>187</v>
      </c>
      <c r="W5" s="254" t="s">
        <v>64</v>
      </c>
      <c r="X5" s="254" t="s">
        <v>1370</v>
      </c>
      <c r="Y5" s="254" t="s">
        <v>1371</v>
      </c>
      <c r="Z5" s="244" t="s">
        <v>1372</v>
      </c>
      <c r="AA5" s="244"/>
      <c r="AB5" s="267" t="s">
        <v>131</v>
      </c>
      <c r="AC5" s="267"/>
      <c r="AD5" s="267"/>
      <c r="AE5" s="267" t="s">
        <v>3</v>
      </c>
      <c r="AF5" s="267"/>
      <c r="AG5" s="272"/>
      <c r="AH5" s="272"/>
      <c r="AI5" s="268"/>
      <c r="AJ5" s="269">
        <v>0</v>
      </c>
      <c r="AK5" s="270"/>
      <c r="AL5" s="273" t="s">
        <v>671</v>
      </c>
      <c r="AM5" s="267" t="s">
        <v>1978</v>
      </c>
      <c r="AN5" s="267"/>
      <c r="AO5" s="272" t="s">
        <v>605</v>
      </c>
      <c r="AP5" s="267"/>
      <c r="AQ5" s="271" t="s">
        <v>1804</v>
      </c>
      <c r="AR5" s="274" t="s">
        <v>1984</v>
      </c>
      <c r="AS5" s="267" t="s">
        <v>1909</v>
      </c>
      <c r="AT5" s="267"/>
      <c r="AU5" s="271">
        <v>46129</v>
      </c>
      <c r="AV5" s="271"/>
      <c r="AW5" s="267"/>
      <c r="AX5" s="272"/>
    </row>
    <row r="6" spans="1:164" ht="95.45" hidden="1" customHeight="1">
      <c r="A6" s="244">
        <v>33</v>
      </c>
      <c r="B6" s="253">
        <v>46049.461261574099</v>
      </c>
      <c r="C6" s="253">
        <v>46049.472210648099</v>
      </c>
      <c r="D6" s="254" t="s">
        <v>779</v>
      </c>
      <c r="E6" s="254" t="s">
        <v>780</v>
      </c>
      <c r="F6" s="254" t="s">
        <v>781</v>
      </c>
      <c r="G6" s="254" t="s">
        <v>782</v>
      </c>
      <c r="H6" s="254" t="s">
        <v>52</v>
      </c>
      <c r="I6" s="244" t="s">
        <v>77</v>
      </c>
      <c r="J6" s="244" t="s">
        <v>783</v>
      </c>
      <c r="K6" s="244"/>
      <c r="L6" s="244" t="s">
        <v>206</v>
      </c>
      <c r="M6" s="253">
        <v>46081</v>
      </c>
      <c r="N6" s="244" t="s">
        <v>118</v>
      </c>
      <c r="O6" s="244">
        <v>75364</v>
      </c>
      <c r="P6" s="244"/>
      <c r="Q6" s="304" t="s">
        <v>58</v>
      </c>
      <c r="R6" s="254" t="s">
        <v>785</v>
      </c>
      <c r="S6" s="254"/>
      <c r="T6" s="254" t="s">
        <v>786</v>
      </c>
      <c r="U6" s="254"/>
      <c r="V6" s="254" t="s">
        <v>187</v>
      </c>
      <c r="W6" s="254" t="s">
        <v>64</v>
      </c>
      <c r="X6" s="254" t="s">
        <v>792</v>
      </c>
      <c r="Y6" s="254" t="s">
        <v>793</v>
      </c>
      <c r="Z6" s="244" t="s">
        <v>794</v>
      </c>
      <c r="AA6" s="244"/>
      <c r="AB6" s="267" t="s">
        <v>214</v>
      </c>
      <c r="AC6" s="267"/>
      <c r="AD6" s="267"/>
      <c r="AE6" s="267" t="s">
        <v>3</v>
      </c>
      <c r="AF6" s="267"/>
      <c r="AG6" s="272"/>
      <c r="AH6" s="272">
        <v>0.5</v>
      </c>
      <c r="AI6" s="268">
        <v>10564.39</v>
      </c>
      <c r="AJ6" s="269">
        <f>AI6*3.55</f>
        <v>37503.584499999997</v>
      </c>
      <c r="AK6" s="270" t="s">
        <v>798</v>
      </c>
      <c r="AL6" s="273" t="s">
        <v>628</v>
      </c>
      <c r="AM6" s="267" t="s">
        <v>1978</v>
      </c>
      <c r="AN6" s="267"/>
      <c r="AO6" s="272" t="s">
        <v>605</v>
      </c>
      <c r="AP6" s="267"/>
      <c r="AQ6" s="271" t="s">
        <v>1804</v>
      </c>
      <c r="AR6" s="274" t="s">
        <v>1985</v>
      </c>
      <c r="AS6" s="267" t="s">
        <v>1986</v>
      </c>
      <c r="AT6" s="267"/>
      <c r="AU6" s="271">
        <v>46128</v>
      </c>
      <c r="AV6" s="271">
        <f>AU6+15</f>
        <v>46143</v>
      </c>
      <c r="AW6" s="267"/>
      <c r="AX6" s="267" t="s">
        <v>1987</v>
      </c>
    </row>
    <row r="7" spans="1:164" ht="95.45" hidden="1" customHeight="1">
      <c r="A7" s="244">
        <v>34</v>
      </c>
      <c r="B7" s="253">
        <v>46049.599756944401</v>
      </c>
      <c r="C7" s="253">
        <v>46049.717407407399</v>
      </c>
      <c r="D7" s="244" t="s">
        <v>799</v>
      </c>
      <c r="E7" s="244" t="s">
        <v>800</v>
      </c>
      <c r="F7" s="244" t="s">
        <v>1374</v>
      </c>
      <c r="G7" s="244" t="s">
        <v>1384</v>
      </c>
      <c r="H7" s="244" t="s">
        <v>430</v>
      </c>
      <c r="I7" s="244" t="s">
        <v>645</v>
      </c>
      <c r="J7" s="244" t="s">
        <v>917</v>
      </c>
      <c r="K7" s="244"/>
      <c r="L7" s="253"/>
      <c r="M7" s="253">
        <v>46081</v>
      </c>
      <c r="N7" s="244" t="s">
        <v>57</v>
      </c>
      <c r="O7" s="244"/>
      <c r="P7" s="244"/>
      <c r="Q7" s="304" t="s">
        <v>58</v>
      </c>
      <c r="R7" s="244" t="s">
        <v>1376</v>
      </c>
      <c r="S7" s="244"/>
      <c r="T7" s="244" t="s">
        <v>1377</v>
      </c>
      <c r="U7" s="244"/>
      <c r="V7" s="244" t="s">
        <v>187</v>
      </c>
      <c r="W7" s="244" t="s">
        <v>64</v>
      </c>
      <c r="X7" s="244" t="s">
        <v>1385</v>
      </c>
      <c r="Y7" s="244" t="s">
        <v>1386</v>
      </c>
      <c r="Z7" s="244" t="s">
        <v>1387</v>
      </c>
      <c r="AA7" s="244"/>
      <c r="AB7" s="267" t="s">
        <v>322</v>
      </c>
      <c r="AC7" s="267"/>
      <c r="AD7" s="267"/>
      <c r="AE7" s="267" t="s">
        <v>3</v>
      </c>
      <c r="AF7" s="267"/>
      <c r="AG7" s="267"/>
      <c r="AH7" s="267" t="s">
        <v>795</v>
      </c>
      <c r="AI7" s="268">
        <v>0</v>
      </c>
      <c r="AJ7" s="269">
        <v>0</v>
      </c>
      <c r="AK7" s="270"/>
      <c r="AL7" s="269" t="s">
        <v>671</v>
      </c>
      <c r="AM7" s="267"/>
      <c r="AN7" s="267"/>
      <c r="AO7" s="267" t="s">
        <v>605</v>
      </c>
      <c r="AP7" s="267"/>
      <c r="AQ7" s="271" t="s">
        <v>260</v>
      </c>
      <c r="AR7" s="267" t="s">
        <v>1988</v>
      </c>
      <c r="AS7" s="267" t="s">
        <v>1909</v>
      </c>
      <c r="AT7" s="267"/>
      <c r="AU7" s="271">
        <v>46141</v>
      </c>
      <c r="AV7" s="271">
        <v>46192</v>
      </c>
      <c r="AW7" s="267" t="s">
        <v>260</v>
      </c>
      <c r="AX7" s="272"/>
    </row>
    <row r="8" spans="1:164" ht="95.45" hidden="1" customHeight="1">
      <c r="A8" s="244">
        <v>36</v>
      </c>
      <c r="B8" s="253">
        <v>46055.426550925898</v>
      </c>
      <c r="C8" s="253">
        <v>46055.469699074099</v>
      </c>
      <c r="D8" s="254" t="s">
        <v>989</v>
      </c>
      <c r="E8" s="254" t="s">
        <v>49</v>
      </c>
      <c r="F8" s="254" t="s">
        <v>1388</v>
      </c>
      <c r="G8" s="254" t="s">
        <v>1400</v>
      </c>
      <c r="H8" s="254" t="s">
        <v>52</v>
      </c>
      <c r="I8" s="244" t="s">
        <v>204</v>
      </c>
      <c r="J8" s="244" t="s">
        <v>1389</v>
      </c>
      <c r="K8" s="244"/>
      <c r="L8" s="244" t="s">
        <v>1796</v>
      </c>
      <c r="M8" s="253">
        <v>46068</v>
      </c>
      <c r="N8" s="244" t="s">
        <v>57</v>
      </c>
      <c r="O8" s="244"/>
      <c r="P8" s="244"/>
      <c r="Q8" s="304" t="s">
        <v>58</v>
      </c>
      <c r="R8" s="254" t="s">
        <v>1392</v>
      </c>
      <c r="S8" s="254"/>
      <c r="T8" s="254" t="s">
        <v>1393</v>
      </c>
      <c r="U8" s="254"/>
      <c r="V8" s="254" t="s">
        <v>750</v>
      </c>
      <c r="W8" s="254" t="s">
        <v>64</v>
      </c>
      <c r="X8" s="254" t="s">
        <v>1401</v>
      </c>
      <c r="Y8" s="254" t="s">
        <v>1402</v>
      </c>
      <c r="Z8" s="244" t="s">
        <v>1403</v>
      </c>
      <c r="AA8" s="244"/>
      <c r="AB8" s="267" t="s">
        <v>1853</v>
      </c>
      <c r="AC8" s="267"/>
      <c r="AD8" s="267"/>
      <c r="AE8" s="267" t="s">
        <v>2</v>
      </c>
      <c r="AF8" s="267"/>
      <c r="AG8" s="272"/>
      <c r="AH8" s="272" t="s">
        <v>1145</v>
      </c>
      <c r="AI8" s="268">
        <v>9847.94</v>
      </c>
      <c r="AJ8" s="269">
        <f>AI8*3.55</f>
        <v>34960.186999999998</v>
      </c>
      <c r="AK8" s="270" t="s">
        <v>1249</v>
      </c>
      <c r="AL8" s="273" t="s">
        <v>671</v>
      </c>
      <c r="AM8" s="267" t="s">
        <v>1978</v>
      </c>
      <c r="AN8" s="267"/>
      <c r="AO8" s="272" t="s">
        <v>605</v>
      </c>
      <c r="AP8" s="267"/>
      <c r="AQ8" s="271" t="s">
        <v>260</v>
      </c>
      <c r="AR8" s="274"/>
      <c r="AS8" s="267" t="s">
        <v>1909</v>
      </c>
      <c r="AT8" s="267"/>
      <c r="AU8" s="271">
        <v>46085</v>
      </c>
      <c r="AV8" s="271">
        <v>46113</v>
      </c>
      <c r="AW8" s="267" t="s">
        <v>1989</v>
      </c>
      <c r="AX8" s="272"/>
      <c r="AY8" s="80"/>
      <c r="AZ8" s="198"/>
      <c r="BA8" s="198"/>
      <c r="BB8" s="198"/>
      <c r="BC8" s="198"/>
      <c r="BD8" s="198"/>
      <c r="BE8" s="198"/>
      <c r="BF8" s="198"/>
      <c r="BG8" s="198"/>
      <c r="BH8" s="198"/>
      <c r="BI8" s="198"/>
      <c r="BJ8" s="198"/>
      <c r="BK8" s="198"/>
      <c r="BL8" s="198"/>
      <c r="BM8" s="198"/>
      <c r="BN8" s="198"/>
      <c r="BO8" s="198"/>
      <c r="BP8" s="198"/>
      <c r="BQ8" s="198"/>
      <c r="BR8" s="198"/>
      <c r="BS8" s="198"/>
      <c r="BT8" s="198"/>
      <c r="BU8" s="198"/>
      <c r="BV8" s="198"/>
      <c r="BW8" s="198"/>
      <c r="BX8" s="198"/>
      <c r="BY8" s="198"/>
      <c r="BZ8" s="198"/>
      <c r="CA8" s="198"/>
      <c r="CB8" s="198"/>
      <c r="CC8" s="198"/>
      <c r="CD8" s="198"/>
      <c r="CE8" s="198"/>
      <c r="CF8" s="198"/>
      <c r="CG8" s="198"/>
      <c r="CH8" s="198"/>
      <c r="CI8" s="198"/>
      <c r="CJ8" s="198"/>
      <c r="CK8" s="198"/>
      <c r="CL8" s="198"/>
      <c r="CM8" s="198"/>
      <c r="CN8" s="198"/>
      <c r="CO8" s="198"/>
      <c r="CP8" s="198"/>
      <c r="CQ8" s="198"/>
      <c r="CR8" s="198"/>
      <c r="CS8" s="198"/>
      <c r="CT8" s="198"/>
      <c r="CU8" s="198"/>
      <c r="CV8" s="198"/>
      <c r="CW8" s="198"/>
      <c r="CX8" s="198"/>
      <c r="CY8" s="198"/>
      <c r="CZ8" s="198"/>
      <c r="DA8" s="198"/>
      <c r="DB8" s="198"/>
      <c r="DC8" s="198"/>
      <c r="DD8" s="198"/>
      <c r="DE8" s="198"/>
      <c r="DF8" s="198"/>
      <c r="DG8" s="198"/>
      <c r="DH8" s="198"/>
      <c r="DI8" s="198"/>
      <c r="DJ8" s="198"/>
      <c r="DK8" s="198"/>
      <c r="DL8" s="198"/>
      <c r="DM8" s="198"/>
      <c r="DN8" s="198"/>
      <c r="DO8" s="198"/>
      <c r="DP8" s="198"/>
      <c r="DQ8" s="198"/>
      <c r="DR8" s="198"/>
      <c r="DS8" s="198"/>
      <c r="DT8" s="198"/>
      <c r="DU8" s="198"/>
      <c r="DV8" s="198"/>
      <c r="DW8" s="198"/>
      <c r="DX8" s="198"/>
      <c r="DY8" s="198"/>
      <c r="DZ8" s="198"/>
      <c r="EA8" s="198"/>
      <c r="EB8" s="198"/>
      <c r="EC8" s="198"/>
      <c r="ED8" s="198"/>
      <c r="EE8" s="198"/>
      <c r="EF8" s="198"/>
      <c r="EG8" s="198"/>
      <c r="EH8" s="198"/>
      <c r="EI8" s="198"/>
      <c r="EJ8" s="198"/>
      <c r="EK8" s="198"/>
      <c r="EL8" s="198"/>
      <c r="EM8" s="198"/>
      <c r="EN8" s="198"/>
      <c r="EO8" s="198"/>
      <c r="EP8" s="198"/>
      <c r="EQ8" s="198"/>
      <c r="ER8" s="198"/>
      <c r="ES8" s="198"/>
      <c r="ET8" s="198"/>
      <c r="EU8" s="198"/>
      <c r="EV8" s="198"/>
      <c r="EW8" s="198"/>
      <c r="EX8" s="198"/>
      <c r="EY8" s="198"/>
      <c r="EZ8" s="198"/>
      <c r="FA8" s="198"/>
      <c r="FB8" s="198"/>
      <c r="FC8" s="198"/>
      <c r="FD8" s="198"/>
      <c r="FE8" s="198"/>
      <c r="FF8" s="198"/>
      <c r="FG8" s="198"/>
      <c r="FH8" s="198"/>
    </row>
    <row r="9" spans="1:164" ht="95.45" hidden="1" customHeight="1">
      <c r="A9" s="244">
        <v>40</v>
      </c>
      <c r="B9" s="253">
        <v>46057.4041319444</v>
      </c>
      <c r="C9" s="253">
        <v>46057.4622453704</v>
      </c>
      <c r="D9" s="244" t="s">
        <v>818</v>
      </c>
      <c r="E9" s="244" t="s">
        <v>819</v>
      </c>
      <c r="F9" s="244" t="s">
        <v>1436</v>
      </c>
      <c r="G9" s="244" t="s">
        <v>1447</v>
      </c>
      <c r="H9" s="244" t="s">
        <v>112</v>
      </c>
      <c r="I9" s="244" t="s">
        <v>224</v>
      </c>
      <c r="J9" s="244" t="s">
        <v>1437</v>
      </c>
      <c r="K9" s="244"/>
      <c r="L9" s="253" t="s">
        <v>824</v>
      </c>
      <c r="M9" s="253">
        <v>46101</v>
      </c>
      <c r="N9" s="244" t="s">
        <v>57</v>
      </c>
      <c r="O9" s="244"/>
      <c r="P9" s="244"/>
      <c r="Q9" s="304" t="s">
        <v>58</v>
      </c>
      <c r="R9" s="244" t="s">
        <v>1439</v>
      </c>
      <c r="S9" s="244"/>
      <c r="T9" s="244" t="s">
        <v>1440</v>
      </c>
      <c r="U9" s="244"/>
      <c r="V9" s="244" t="s">
        <v>637</v>
      </c>
      <c r="W9" s="244" t="s">
        <v>64</v>
      </c>
      <c r="X9" s="244" t="s">
        <v>1448</v>
      </c>
      <c r="Y9" s="244" t="s">
        <v>1449</v>
      </c>
      <c r="Z9" s="244" t="s">
        <v>1450</v>
      </c>
      <c r="AA9" s="244"/>
      <c r="AB9" s="267" t="s">
        <v>322</v>
      </c>
      <c r="AC9" s="267"/>
      <c r="AD9" s="267"/>
      <c r="AE9" s="267" t="s">
        <v>4</v>
      </c>
      <c r="AF9" s="267"/>
      <c r="AG9" s="267"/>
      <c r="AH9" s="267">
        <v>1</v>
      </c>
      <c r="AI9" s="268">
        <v>0</v>
      </c>
      <c r="AJ9" s="269">
        <v>0</v>
      </c>
      <c r="AK9" s="270" t="s">
        <v>1274</v>
      </c>
      <c r="AL9" s="269" t="s">
        <v>671</v>
      </c>
      <c r="AM9" s="267"/>
      <c r="AN9" s="267"/>
      <c r="AO9" s="267" t="s">
        <v>605</v>
      </c>
      <c r="AP9" s="267"/>
      <c r="AQ9" s="271" t="s">
        <v>260</v>
      </c>
      <c r="AR9" s="267"/>
      <c r="AS9" s="267" t="s">
        <v>1909</v>
      </c>
      <c r="AT9" s="267"/>
      <c r="AU9" s="271">
        <v>46167</v>
      </c>
      <c r="AV9" s="271">
        <v>46206</v>
      </c>
      <c r="AW9" s="267" t="s">
        <v>260</v>
      </c>
      <c r="AX9" s="272"/>
    </row>
    <row r="10" spans="1:164" ht="95.45" hidden="1" customHeight="1">
      <c r="A10" s="244">
        <v>45</v>
      </c>
      <c r="B10" s="253">
        <v>46064.797696759299</v>
      </c>
      <c r="C10" s="253">
        <v>46064.828738425902</v>
      </c>
      <c r="D10" s="244" t="s">
        <v>1469</v>
      </c>
      <c r="E10" s="244" t="s">
        <v>1470</v>
      </c>
      <c r="F10" s="244" t="s">
        <v>1471</v>
      </c>
      <c r="G10" s="244" t="s">
        <v>1477</v>
      </c>
      <c r="H10" s="244" t="s">
        <v>52</v>
      </c>
      <c r="I10" s="244" t="s">
        <v>224</v>
      </c>
      <c r="J10" s="244" t="s">
        <v>1472</v>
      </c>
      <c r="K10" s="244"/>
      <c r="L10" s="253" t="s">
        <v>296</v>
      </c>
      <c r="M10" s="253">
        <v>46066</v>
      </c>
      <c r="N10" s="244" t="s">
        <v>57</v>
      </c>
      <c r="O10" s="244"/>
      <c r="P10" s="244"/>
      <c r="Q10" s="304" t="s">
        <v>58</v>
      </c>
      <c r="R10" s="244" t="s">
        <v>1475</v>
      </c>
      <c r="S10" s="244"/>
      <c r="T10" s="244" t="s">
        <v>1476</v>
      </c>
      <c r="U10" s="244"/>
      <c r="V10" s="244" t="s">
        <v>678</v>
      </c>
      <c r="W10" s="244" t="s">
        <v>64</v>
      </c>
      <c r="X10" s="244" t="s">
        <v>1483</v>
      </c>
      <c r="Y10" s="244" t="s">
        <v>1484</v>
      </c>
      <c r="Z10" s="244" t="s">
        <v>1485</v>
      </c>
      <c r="AA10" s="244"/>
      <c r="AB10" s="267" t="s">
        <v>1990</v>
      </c>
      <c r="AC10" s="267"/>
      <c r="AD10" s="267"/>
      <c r="AE10" s="267"/>
      <c r="AF10" s="267"/>
      <c r="AG10" s="267"/>
      <c r="AH10" s="267">
        <v>1</v>
      </c>
      <c r="AI10" s="268"/>
      <c r="AJ10" s="269">
        <v>0</v>
      </c>
      <c r="AK10" s="270" t="s">
        <v>1991</v>
      </c>
      <c r="AL10" s="269" t="s">
        <v>628</v>
      </c>
      <c r="AM10" s="267" t="s">
        <v>1978</v>
      </c>
      <c r="AN10" s="267"/>
      <c r="AO10" s="267" t="s">
        <v>605</v>
      </c>
      <c r="AP10" s="267"/>
      <c r="AQ10" s="271" t="s">
        <v>260</v>
      </c>
      <c r="AR10" s="267"/>
      <c r="AS10" s="267"/>
      <c r="AT10" s="267"/>
      <c r="AU10" s="271"/>
      <c r="AV10" s="271"/>
      <c r="AW10" s="267"/>
      <c r="AX10" s="271" t="s">
        <v>1992</v>
      </c>
    </row>
    <row r="11" spans="1:164" ht="95.45" hidden="1" customHeight="1">
      <c r="A11" s="244">
        <v>58</v>
      </c>
      <c r="B11" s="253">
        <v>46077.447222222225</v>
      </c>
      <c r="C11" s="253">
        <v>46077.465277777781</v>
      </c>
      <c r="D11" s="254" t="s">
        <v>989</v>
      </c>
      <c r="E11" s="254" t="s">
        <v>49</v>
      </c>
      <c r="F11" s="254" t="s">
        <v>990</v>
      </c>
      <c r="G11" s="254" t="s">
        <v>991</v>
      </c>
      <c r="H11" s="254" t="s">
        <v>52</v>
      </c>
      <c r="I11" s="244" t="s">
        <v>125</v>
      </c>
      <c r="J11" s="244" t="s">
        <v>992</v>
      </c>
      <c r="K11" s="244"/>
      <c r="L11" s="244"/>
      <c r="M11" s="253">
        <v>46078</v>
      </c>
      <c r="N11" s="244" t="s">
        <v>57</v>
      </c>
      <c r="O11" s="244"/>
      <c r="P11" s="244"/>
      <c r="Q11" s="304" t="s">
        <v>58</v>
      </c>
      <c r="R11" s="254" t="s">
        <v>994</v>
      </c>
      <c r="S11" s="254"/>
      <c r="T11" s="254" t="s">
        <v>995</v>
      </c>
      <c r="U11" s="254"/>
      <c r="V11" s="254" t="s">
        <v>187</v>
      </c>
      <c r="W11" s="254" t="s">
        <v>64</v>
      </c>
      <c r="X11" s="254" t="s">
        <v>1001</v>
      </c>
      <c r="Y11" s="254" t="s">
        <v>1002</v>
      </c>
      <c r="Z11" s="244" t="s">
        <v>1003</v>
      </c>
      <c r="AA11" s="244"/>
      <c r="AB11" s="267" t="s">
        <v>322</v>
      </c>
      <c r="AC11" s="267"/>
      <c r="AD11" s="267"/>
      <c r="AE11" s="267" t="s">
        <v>4</v>
      </c>
      <c r="AF11" s="267"/>
      <c r="AG11" s="272"/>
      <c r="AH11" s="272">
        <v>0.75</v>
      </c>
      <c r="AI11" s="268">
        <v>0</v>
      </c>
      <c r="AJ11" s="269">
        <v>0</v>
      </c>
      <c r="AK11" s="270"/>
      <c r="AL11" s="273" t="s">
        <v>671</v>
      </c>
      <c r="AM11" s="267"/>
      <c r="AN11" s="267"/>
      <c r="AO11" s="272" t="s">
        <v>605</v>
      </c>
      <c r="AP11" s="267"/>
      <c r="AQ11" s="271" t="s">
        <v>1804</v>
      </c>
      <c r="AR11" s="274" t="s">
        <v>1984</v>
      </c>
      <c r="AS11" s="267" t="s">
        <v>1909</v>
      </c>
      <c r="AT11" s="267"/>
      <c r="AU11" s="271">
        <v>46083</v>
      </c>
      <c r="AV11" s="271">
        <v>46094</v>
      </c>
      <c r="AW11" s="267" t="s">
        <v>260</v>
      </c>
      <c r="AX11" s="272"/>
    </row>
    <row r="12" spans="1:164" ht="95.45" hidden="1" customHeight="1">
      <c r="A12" s="244">
        <v>65</v>
      </c>
      <c r="B12" s="253">
        <v>46083.708483796298</v>
      </c>
      <c r="C12" s="253">
        <v>46083.737210648098</v>
      </c>
      <c r="D12" s="254" t="s">
        <v>1993</v>
      </c>
      <c r="E12" s="254" t="s">
        <v>1994</v>
      </c>
      <c r="F12" s="254" t="s">
        <v>1995</v>
      </c>
      <c r="G12" s="254" t="s">
        <v>1996</v>
      </c>
      <c r="H12" s="254" t="s">
        <v>430</v>
      </c>
      <c r="I12" s="244" t="s">
        <v>77</v>
      </c>
      <c r="J12" s="244" t="s">
        <v>1997</v>
      </c>
      <c r="K12" s="244"/>
      <c r="L12" s="244"/>
      <c r="M12" s="253">
        <v>46112</v>
      </c>
      <c r="N12" s="244" t="s">
        <v>57</v>
      </c>
      <c r="O12" s="244">
        <v>0</v>
      </c>
      <c r="P12" s="244"/>
      <c r="Q12" s="304" t="s">
        <v>58</v>
      </c>
      <c r="R12" s="254" t="s">
        <v>1998</v>
      </c>
      <c r="S12" s="254"/>
      <c r="T12" s="254" t="s">
        <v>1999</v>
      </c>
      <c r="U12" s="254"/>
      <c r="V12" s="254" t="s">
        <v>678</v>
      </c>
      <c r="W12" s="254" t="s">
        <v>64</v>
      </c>
      <c r="X12" s="254" t="s">
        <v>2000</v>
      </c>
      <c r="Y12" s="254" t="s">
        <v>2001</v>
      </c>
      <c r="Z12" s="244">
        <v>0</v>
      </c>
      <c r="AA12" s="244"/>
      <c r="AB12" s="267" t="s">
        <v>2002</v>
      </c>
      <c r="AC12" s="267" t="s">
        <v>191</v>
      </c>
      <c r="AD12" s="267"/>
      <c r="AE12" s="267"/>
      <c r="AF12" s="267"/>
      <c r="AG12" s="272"/>
      <c r="AH12" s="272"/>
      <c r="AI12" s="268">
        <v>0</v>
      </c>
      <c r="AJ12" s="269">
        <v>0</v>
      </c>
      <c r="AK12" s="270" t="s">
        <v>2003</v>
      </c>
      <c r="AL12" s="273" t="s">
        <v>671</v>
      </c>
      <c r="AM12" s="267"/>
      <c r="AN12" s="267"/>
      <c r="AO12" s="272" t="s">
        <v>192</v>
      </c>
      <c r="AP12" s="267" t="s">
        <v>2004</v>
      </c>
      <c r="AQ12" s="271" t="s">
        <v>1804</v>
      </c>
      <c r="AR12" s="274"/>
      <c r="AS12" s="267" t="s">
        <v>1909</v>
      </c>
      <c r="AT12" s="267"/>
      <c r="AU12" s="271">
        <v>46204</v>
      </c>
      <c r="AV12" s="271">
        <v>46225</v>
      </c>
      <c r="AW12" s="267" t="s">
        <v>260</v>
      </c>
      <c r="AX12" s="272"/>
    </row>
    <row r="13" spans="1:164" ht="63.75" hidden="1" customHeight="1">
      <c r="A13" s="244">
        <v>69</v>
      </c>
      <c r="B13" s="253">
        <v>46093.419641203698</v>
      </c>
      <c r="C13" s="253">
        <v>46093.4243055556</v>
      </c>
      <c r="D13" s="244" t="s">
        <v>757</v>
      </c>
      <c r="E13" s="244" t="s">
        <v>758</v>
      </c>
      <c r="F13" s="244" t="s">
        <v>2005</v>
      </c>
      <c r="G13" s="244" t="s">
        <v>2006</v>
      </c>
      <c r="H13" s="244" t="s">
        <v>52</v>
      </c>
      <c r="I13" s="244" t="s">
        <v>77</v>
      </c>
      <c r="J13" s="244" t="s">
        <v>1198</v>
      </c>
      <c r="K13" s="244"/>
      <c r="L13" s="253" t="s">
        <v>1796</v>
      </c>
      <c r="M13" s="253">
        <v>46142</v>
      </c>
      <c r="N13" s="244" t="s">
        <v>118</v>
      </c>
      <c r="O13" s="244" t="s">
        <v>207</v>
      </c>
      <c r="P13" s="244"/>
      <c r="Q13" s="304" t="s">
        <v>58</v>
      </c>
      <c r="R13" s="244" t="s">
        <v>2007</v>
      </c>
      <c r="S13" s="244"/>
      <c r="T13" s="244" t="s">
        <v>2008</v>
      </c>
      <c r="U13" s="244"/>
      <c r="V13" s="244" t="s">
        <v>1210</v>
      </c>
      <c r="W13" s="244" t="s">
        <v>64</v>
      </c>
      <c r="X13" s="244" t="s">
        <v>1211</v>
      </c>
      <c r="Y13" s="244" t="s">
        <v>1212</v>
      </c>
      <c r="Z13" s="244" t="s">
        <v>2009</v>
      </c>
      <c r="AA13" s="244"/>
      <c r="AB13" s="267" t="s">
        <v>1853</v>
      </c>
      <c r="AC13" s="267" t="s">
        <v>191</v>
      </c>
      <c r="AD13" s="267"/>
      <c r="AE13" s="267"/>
      <c r="AF13" s="267"/>
      <c r="AG13" s="267"/>
      <c r="AH13" s="267"/>
      <c r="AI13" s="268"/>
      <c r="AJ13" s="269"/>
      <c r="AK13" s="270"/>
      <c r="AL13" s="269"/>
      <c r="AM13" s="267"/>
      <c r="AN13" s="267"/>
      <c r="AO13" s="267" t="s">
        <v>218</v>
      </c>
      <c r="AP13" s="267" t="s">
        <v>2010</v>
      </c>
      <c r="AQ13" s="271"/>
      <c r="AR13" s="267"/>
      <c r="AS13" s="267"/>
      <c r="AT13" s="267"/>
      <c r="AU13" s="271"/>
      <c r="AV13" s="271"/>
      <c r="AW13" s="272"/>
      <c r="AX13" s="267" t="s">
        <v>2011</v>
      </c>
    </row>
    <row r="14" spans="1:164" ht="93" hidden="1" customHeight="1">
      <c r="A14" s="244">
        <v>80</v>
      </c>
      <c r="B14" s="253">
        <v>46105.570034722201</v>
      </c>
      <c r="C14" s="253">
        <v>46105.588645833297</v>
      </c>
      <c r="D14" s="244" t="s">
        <v>1344</v>
      </c>
      <c r="E14" s="244" t="s">
        <v>607</v>
      </c>
      <c r="F14" s="244" t="s">
        <v>2012</v>
      </c>
      <c r="G14" s="244" t="s">
        <v>2013</v>
      </c>
      <c r="H14" s="244" t="s">
        <v>52</v>
      </c>
      <c r="I14" s="244" t="s">
        <v>335</v>
      </c>
      <c r="J14" s="244" t="s">
        <v>2014</v>
      </c>
      <c r="K14" s="244"/>
      <c r="L14" s="253" t="s">
        <v>296</v>
      </c>
      <c r="M14" s="253">
        <v>46118</v>
      </c>
      <c r="N14" s="244" t="s">
        <v>57</v>
      </c>
      <c r="O14" s="244">
        <v>0</v>
      </c>
      <c r="P14" s="244"/>
      <c r="Q14" s="304" t="s">
        <v>58</v>
      </c>
      <c r="R14" s="244" t="s">
        <v>2015</v>
      </c>
      <c r="S14" s="244"/>
      <c r="T14" s="244" t="s">
        <v>2016</v>
      </c>
      <c r="U14" s="244"/>
      <c r="V14" s="244" t="s">
        <v>187</v>
      </c>
      <c r="W14" s="244" t="s">
        <v>64</v>
      </c>
      <c r="X14" s="244" t="s">
        <v>2017</v>
      </c>
      <c r="Y14" s="244" t="s">
        <v>2018</v>
      </c>
      <c r="Z14" s="244" t="s">
        <v>2019</v>
      </c>
      <c r="AA14" s="244"/>
      <c r="AB14" s="267" t="s">
        <v>322</v>
      </c>
      <c r="AC14" s="267"/>
      <c r="AD14" s="267"/>
      <c r="AE14" s="267" t="s">
        <v>4</v>
      </c>
      <c r="AF14" s="267"/>
      <c r="AG14" s="267"/>
      <c r="AH14" s="267">
        <v>1</v>
      </c>
      <c r="AI14" s="268">
        <v>7000</v>
      </c>
      <c r="AJ14" s="269">
        <v>7000</v>
      </c>
      <c r="AK14" s="270"/>
      <c r="AL14" s="269" t="s">
        <v>259</v>
      </c>
      <c r="AM14" s="267" t="s">
        <v>1978</v>
      </c>
      <c r="AN14" s="267"/>
      <c r="AO14" s="267" t="s">
        <v>2020</v>
      </c>
      <c r="AP14" s="267" t="s">
        <v>2021</v>
      </c>
      <c r="AQ14" s="271"/>
      <c r="AR14" s="267"/>
      <c r="AS14" s="267"/>
      <c r="AT14" s="267"/>
      <c r="AU14" s="272"/>
      <c r="AV14" s="271"/>
      <c r="AW14" s="272"/>
      <c r="AX14" s="271" t="s">
        <v>2022</v>
      </c>
    </row>
    <row r="15" spans="1:164" ht="78" hidden="1" customHeight="1">
      <c r="A15" s="244">
        <v>83</v>
      </c>
      <c r="B15" s="253">
        <v>46106.06795138889</v>
      </c>
      <c r="C15" s="253">
        <v>46106.080798611103</v>
      </c>
      <c r="D15" s="254" t="s">
        <v>757</v>
      </c>
      <c r="E15" s="254" t="s">
        <v>758</v>
      </c>
      <c r="F15" s="254" t="s">
        <v>2023</v>
      </c>
      <c r="G15" s="254" t="s">
        <v>2024</v>
      </c>
      <c r="H15" s="254" t="s">
        <v>52</v>
      </c>
      <c r="I15" s="244" t="s">
        <v>204</v>
      </c>
      <c r="J15" s="244" t="s">
        <v>2025</v>
      </c>
      <c r="K15" s="244"/>
      <c r="L15" s="244" t="s">
        <v>206</v>
      </c>
      <c r="M15" s="253">
        <v>46127</v>
      </c>
      <c r="N15" s="244" t="s">
        <v>118</v>
      </c>
      <c r="O15" s="244" t="s">
        <v>350</v>
      </c>
      <c r="P15" s="244"/>
      <c r="Q15" s="304" t="s">
        <v>58</v>
      </c>
      <c r="R15" s="254" t="s">
        <v>2026</v>
      </c>
      <c r="S15" s="254"/>
      <c r="T15" s="254" t="s">
        <v>2027</v>
      </c>
      <c r="U15" s="254"/>
      <c r="V15" s="254" t="s">
        <v>750</v>
      </c>
      <c r="W15" s="254" t="s">
        <v>64</v>
      </c>
      <c r="X15" s="254" t="s">
        <v>2028</v>
      </c>
      <c r="Y15" s="254" t="s">
        <v>2029</v>
      </c>
      <c r="Z15" s="244" t="s">
        <v>2030</v>
      </c>
      <c r="AA15" s="244"/>
      <c r="AB15" s="267" t="s">
        <v>860</v>
      </c>
      <c r="AC15" s="267" t="s">
        <v>191</v>
      </c>
      <c r="AD15" s="267"/>
      <c r="AE15" s="267" t="s">
        <v>4</v>
      </c>
      <c r="AF15" s="267"/>
      <c r="AG15" s="272"/>
      <c r="AH15" s="272">
        <v>0.75</v>
      </c>
      <c r="AI15" s="268">
        <v>0</v>
      </c>
      <c r="AJ15" s="269">
        <v>0</v>
      </c>
      <c r="AK15" s="270" t="s">
        <v>2031</v>
      </c>
      <c r="AL15" s="273" t="s">
        <v>216</v>
      </c>
      <c r="AM15" s="267" t="s">
        <v>1817</v>
      </c>
      <c r="AN15" s="267"/>
      <c r="AO15" s="272" t="s">
        <v>605</v>
      </c>
      <c r="AP15" s="267"/>
      <c r="AQ15" s="271" t="s">
        <v>1804</v>
      </c>
      <c r="AR15" s="274"/>
      <c r="AS15" s="267" t="s">
        <v>1909</v>
      </c>
      <c r="AT15" s="267"/>
      <c r="AU15" s="271">
        <v>46153</v>
      </c>
      <c r="AV15" s="271">
        <v>46171</v>
      </c>
      <c r="AW15" s="267" t="s">
        <v>2032</v>
      </c>
      <c r="AX15" s="267"/>
    </row>
    <row r="16" spans="1:164" s="337" customFormat="1" ht="39" hidden="1" customHeight="1">
      <c r="A16" s="328">
        <v>132</v>
      </c>
      <c r="B16" s="329">
        <v>46153.716261574067</v>
      </c>
      <c r="C16" s="329">
        <v>46153.721655092602</v>
      </c>
      <c r="D16" s="328" t="s">
        <v>2033</v>
      </c>
      <c r="E16" s="328" t="s">
        <v>2034</v>
      </c>
      <c r="F16" s="328" t="s">
        <v>2035</v>
      </c>
      <c r="G16" s="328" t="s">
        <v>2036</v>
      </c>
      <c r="H16" s="328" t="s">
        <v>52</v>
      </c>
      <c r="I16" s="328" t="s">
        <v>204</v>
      </c>
      <c r="J16" s="328" t="s">
        <v>2037</v>
      </c>
      <c r="K16" s="328" t="s">
        <v>80</v>
      </c>
      <c r="L16" s="329" t="s">
        <v>206</v>
      </c>
      <c r="M16" s="329">
        <v>0</v>
      </c>
      <c r="N16" s="328" t="s">
        <v>118</v>
      </c>
      <c r="O16" s="328" t="s">
        <v>2038</v>
      </c>
      <c r="P16" s="328"/>
      <c r="Q16" s="330" t="s">
        <v>58</v>
      </c>
      <c r="R16" s="328" t="s">
        <v>2039</v>
      </c>
      <c r="S16" s="328"/>
      <c r="T16" s="328" t="s">
        <v>2040</v>
      </c>
      <c r="U16" s="328"/>
      <c r="V16" s="328" t="s">
        <v>63</v>
      </c>
      <c r="W16" s="328" t="s">
        <v>64</v>
      </c>
      <c r="X16" s="328" t="s">
        <v>2041</v>
      </c>
      <c r="Y16" s="328" t="s">
        <v>2042</v>
      </c>
      <c r="Z16" s="328" t="s">
        <v>80</v>
      </c>
      <c r="AA16" s="328"/>
      <c r="AB16" s="331" t="s">
        <v>1853</v>
      </c>
      <c r="AC16" s="331" t="s">
        <v>69</v>
      </c>
      <c r="AD16" s="331"/>
      <c r="AE16" s="331" t="s">
        <v>2</v>
      </c>
      <c r="AF16" s="331"/>
      <c r="AG16" s="331"/>
      <c r="AH16" s="331">
        <v>12</v>
      </c>
      <c r="AI16" s="332">
        <v>571588</v>
      </c>
      <c r="AJ16" s="333">
        <v>2029137.4</v>
      </c>
      <c r="AK16" s="334"/>
      <c r="AL16" s="333" t="s">
        <v>245</v>
      </c>
      <c r="AM16" s="331" t="s">
        <v>217</v>
      </c>
      <c r="AN16" s="331"/>
      <c r="AO16" s="331" t="s">
        <v>605</v>
      </c>
      <c r="AP16" s="331"/>
      <c r="AQ16" s="335"/>
      <c r="AR16" s="331"/>
      <c r="AS16" s="331" t="s">
        <v>260</v>
      </c>
      <c r="AT16" s="331"/>
      <c r="AU16" s="335">
        <v>46143</v>
      </c>
      <c r="AV16" s="335">
        <v>46508</v>
      </c>
      <c r="AW16" s="336" t="s">
        <v>260</v>
      </c>
      <c r="AX16" s="335"/>
    </row>
    <row r="17" spans="1:50" s="337" customFormat="1" ht="15" hidden="1" customHeight="1">
      <c r="A17" s="328">
        <v>133</v>
      </c>
      <c r="B17" s="329">
        <v>46153.365277777775</v>
      </c>
      <c r="C17" s="329">
        <v>46153.404861111114</v>
      </c>
      <c r="D17" s="338" t="s">
        <v>2043</v>
      </c>
      <c r="E17" s="338" t="s">
        <v>2044</v>
      </c>
      <c r="F17" s="338" t="s">
        <v>2045</v>
      </c>
      <c r="G17" s="338" t="s">
        <v>2046</v>
      </c>
      <c r="H17" s="338" t="s">
        <v>52</v>
      </c>
      <c r="I17" s="328" t="s">
        <v>2047</v>
      </c>
      <c r="J17" s="328" t="s">
        <v>2048</v>
      </c>
      <c r="K17" s="328"/>
      <c r="L17" s="328" t="s">
        <v>237</v>
      </c>
      <c r="M17" s="329">
        <v>46447</v>
      </c>
      <c r="N17" s="328" t="s">
        <v>118</v>
      </c>
      <c r="O17" s="328" t="s">
        <v>2049</v>
      </c>
      <c r="P17" s="328"/>
      <c r="Q17" s="330" t="s">
        <v>58</v>
      </c>
      <c r="R17" s="338" t="s">
        <v>2050</v>
      </c>
      <c r="S17" s="338"/>
      <c r="T17" s="338"/>
      <c r="U17" s="338"/>
      <c r="V17" s="338" t="s">
        <v>2051</v>
      </c>
      <c r="W17" s="338" t="s">
        <v>57</v>
      </c>
      <c r="X17" s="338"/>
      <c r="Y17" s="338"/>
      <c r="Z17" s="328"/>
      <c r="AA17" s="328"/>
      <c r="AB17" s="331" t="s">
        <v>2052</v>
      </c>
      <c r="AC17" s="331"/>
      <c r="AD17" s="331"/>
      <c r="AE17" s="331"/>
      <c r="AF17" s="331"/>
      <c r="AG17" s="336"/>
      <c r="AH17" s="336"/>
      <c r="AI17" s="332"/>
      <c r="AJ17" s="333"/>
      <c r="AK17" s="334"/>
      <c r="AL17" s="339" t="s">
        <v>245</v>
      </c>
      <c r="AM17" s="331" t="s">
        <v>217</v>
      </c>
      <c r="AN17" s="331"/>
      <c r="AO17" s="336"/>
      <c r="AP17" s="331"/>
      <c r="AQ17" s="335"/>
      <c r="AR17" s="340"/>
      <c r="AS17" s="331"/>
      <c r="AT17" s="331"/>
      <c r="AU17" s="335">
        <v>45958</v>
      </c>
      <c r="AV17" s="335">
        <v>46458</v>
      </c>
      <c r="AW17" s="331"/>
      <c r="AX17" s="331"/>
    </row>
    <row r="18" spans="1:50" s="337" customFormat="1" ht="15" hidden="1" customHeight="1">
      <c r="A18" s="328">
        <v>31</v>
      </c>
      <c r="B18" s="329">
        <v>46048.646111111098</v>
      </c>
      <c r="C18" s="329">
        <v>46048.673055555599</v>
      </c>
      <c r="D18" s="328" t="s">
        <v>757</v>
      </c>
      <c r="E18" s="328" t="s">
        <v>758</v>
      </c>
      <c r="F18" s="328" t="s">
        <v>759</v>
      </c>
      <c r="G18" s="328" t="s">
        <v>760</v>
      </c>
      <c r="H18" s="328" t="s">
        <v>52</v>
      </c>
      <c r="I18" s="328" t="s">
        <v>251</v>
      </c>
      <c r="J18" s="328" t="s">
        <v>761</v>
      </c>
      <c r="K18" s="328"/>
      <c r="L18" s="329" t="s">
        <v>1796</v>
      </c>
      <c r="M18" s="329">
        <v>46081</v>
      </c>
      <c r="N18" s="328" t="s">
        <v>57</v>
      </c>
      <c r="O18" s="328"/>
      <c r="P18" s="328"/>
      <c r="Q18" s="330" t="s">
        <v>522</v>
      </c>
      <c r="R18" s="328" t="s">
        <v>763</v>
      </c>
      <c r="S18" s="328"/>
      <c r="T18" s="328" t="s">
        <v>764</v>
      </c>
      <c r="U18" s="328"/>
      <c r="V18" s="328" t="s">
        <v>771</v>
      </c>
      <c r="W18" s="328" t="s">
        <v>64</v>
      </c>
      <c r="X18" s="328" t="s">
        <v>772</v>
      </c>
      <c r="Y18" s="328" t="s">
        <v>773</v>
      </c>
      <c r="Z18" s="328" t="s">
        <v>774</v>
      </c>
      <c r="AA18" s="328"/>
      <c r="AB18" s="331" t="s">
        <v>778</v>
      </c>
      <c r="AC18" s="331"/>
      <c r="AD18" s="331"/>
      <c r="AE18" s="331" t="s">
        <v>3</v>
      </c>
      <c r="AF18" s="331"/>
      <c r="AG18" s="331"/>
      <c r="AH18" s="331">
        <v>2</v>
      </c>
      <c r="AI18" s="332"/>
      <c r="AJ18" s="333">
        <v>6000</v>
      </c>
      <c r="AK18" s="334" t="s">
        <v>2053</v>
      </c>
      <c r="AL18" s="333" t="s">
        <v>245</v>
      </c>
      <c r="AM18" s="331"/>
      <c r="AN18" s="331"/>
      <c r="AO18" s="331" t="s">
        <v>605</v>
      </c>
      <c r="AP18" s="331"/>
      <c r="AQ18" s="335" t="s">
        <v>1804</v>
      </c>
      <c r="AR18" s="331" t="s">
        <v>1984</v>
      </c>
      <c r="AS18" s="331" t="s">
        <v>2054</v>
      </c>
      <c r="AT18" s="331"/>
      <c r="AU18" s="335">
        <v>46258</v>
      </c>
      <c r="AV18" s="335">
        <v>46297</v>
      </c>
      <c r="AW18" s="336" t="s">
        <v>1804</v>
      </c>
      <c r="AX18" s="335"/>
    </row>
    <row r="19" spans="1:50" s="337" customFormat="1" ht="15" hidden="1" customHeight="1">
      <c r="A19" s="328">
        <v>129</v>
      </c>
      <c r="B19" s="329">
        <v>46142.488923611098</v>
      </c>
      <c r="C19" s="329">
        <v>46142.509629629603</v>
      </c>
      <c r="D19" s="338" t="s">
        <v>262</v>
      </c>
      <c r="E19" s="338" t="s">
        <v>263</v>
      </c>
      <c r="F19" s="338" t="s">
        <v>2055</v>
      </c>
      <c r="G19" s="338" t="s">
        <v>2056</v>
      </c>
      <c r="H19" s="338" t="s">
        <v>112</v>
      </c>
      <c r="I19" s="328" t="s">
        <v>335</v>
      </c>
      <c r="J19" s="328" t="s">
        <v>2057</v>
      </c>
      <c r="K19" s="328"/>
      <c r="L19" s="328" t="s">
        <v>296</v>
      </c>
      <c r="M19" s="329">
        <v>46325</v>
      </c>
      <c r="N19" s="328" t="s">
        <v>57</v>
      </c>
      <c r="O19" s="328">
        <v>0</v>
      </c>
      <c r="P19" s="328"/>
      <c r="Q19" s="330" t="s">
        <v>58</v>
      </c>
      <c r="R19" s="338" t="s">
        <v>2058</v>
      </c>
      <c r="S19" s="338"/>
      <c r="T19" s="338" t="s">
        <v>2059</v>
      </c>
      <c r="U19" s="338"/>
      <c r="V19" s="338" t="s">
        <v>63</v>
      </c>
      <c r="W19" s="338" t="s">
        <v>64</v>
      </c>
      <c r="X19" s="338" t="s">
        <v>2060</v>
      </c>
      <c r="Y19" s="338" t="s">
        <v>2061</v>
      </c>
      <c r="Z19" s="328" t="s">
        <v>2062</v>
      </c>
      <c r="AA19" s="328"/>
      <c r="AB19" s="331" t="s">
        <v>2063</v>
      </c>
      <c r="AC19" s="331" t="s">
        <v>69</v>
      </c>
      <c r="AD19" s="331">
        <v>46142</v>
      </c>
      <c r="AE19" s="331" t="s">
        <v>4</v>
      </c>
      <c r="AF19" s="331">
        <v>46153</v>
      </c>
      <c r="AG19" s="336">
        <v>46164</v>
      </c>
      <c r="AH19" s="336">
        <v>0.5</v>
      </c>
      <c r="AI19" s="332">
        <v>0</v>
      </c>
      <c r="AJ19" s="333">
        <v>0</v>
      </c>
      <c r="AK19" s="334" t="s">
        <v>2064</v>
      </c>
      <c r="AL19" s="339" t="s">
        <v>216</v>
      </c>
      <c r="AM19" s="331"/>
      <c r="AN19" s="331" t="s">
        <v>64</v>
      </c>
      <c r="AO19" s="336" t="s">
        <v>712</v>
      </c>
      <c r="AP19" s="331" t="s">
        <v>2065</v>
      </c>
      <c r="AQ19" s="335" t="s">
        <v>260</v>
      </c>
      <c r="AR19" s="340"/>
      <c r="AS19" s="331" t="s">
        <v>1909</v>
      </c>
      <c r="AT19" s="331"/>
      <c r="AU19" s="335">
        <v>46153</v>
      </c>
      <c r="AV19" s="335">
        <v>46162</v>
      </c>
      <c r="AW19" s="331" t="s">
        <v>1804</v>
      </c>
      <c r="AX19" s="331"/>
    </row>
    <row r="20" spans="1:50" s="337" customFormat="1" ht="15" hidden="1" customHeight="1">
      <c r="A20" s="328">
        <v>145</v>
      </c>
      <c r="B20" s="329">
        <v>46153.734027777777</v>
      </c>
      <c r="C20" s="329">
        <v>46153.73541666667</v>
      </c>
      <c r="D20" s="328" t="s">
        <v>2066</v>
      </c>
      <c r="E20" s="328" t="s">
        <v>2067</v>
      </c>
      <c r="F20" s="328" t="s">
        <v>2068</v>
      </c>
      <c r="G20" s="328" t="s">
        <v>2069</v>
      </c>
      <c r="H20" s="328" t="s">
        <v>2070</v>
      </c>
      <c r="I20" s="328"/>
      <c r="J20" s="328" t="s">
        <v>2071</v>
      </c>
      <c r="K20" s="328"/>
      <c r="L20" s="329" t="s">
        <v>56</v>
      </c>
      <c r="M20" s="329"/>
      <c r="N20" s="328" t="s">
        <v>118</v>
      </c>
      <c r="O20" s="328"/>
      <c r="P20" s="328"/>
      <c r="Q20" s="330" t="s">
        <v>58</v>
      </c>
      <c r="R20" s="328" t="s">
        <v>2069</v>
      </c>
      <c r="S20" s="328"/>
      <c r="T20" s="328" t="s">
        <v>2069</v>
      </c>
      <c r="U20" s="328"/>
      <c r="V20" s="328" t="s">
        <v>2069</v>
      </c>
      <c r="W20" s="328" t="s">
        <v>64</v>
      </c>
      <c r="X20" s="328" t="s">
        <v>2069</v>
      </c>
      <c r="Y20" s="328" t="s">
        <v>2069</v>
      </c>
      <c r="Z20" s="328" t="s">
        <v>2072</v>
      </c>
      <c r="AA20" s="328"/>
      <c r="AB20" s="331"/>
      <c r="AC20" s="331"/>
      <c r="AD20" s="331"/>
      <c r="AE20" s="331"/>
      <c r="AF20" s="331"/>
      <c r="AG20" s="331"/>
      <c r="AH20" s="331"/>
      <c r="AI20" s="332"/>
      <c r="AJ20" s="333" t="s">
        <v>2073</v>
      </c>
      <c r="AK20" s="334"/>
      <c r="AL20" s="333"/>
      <c r="AM20" s="331" t="s">
        <v>217</v>
      </c>
      <c r="AN20" s="331"/>
      <c r="AO20" s="331"/>
      <c r="AP20" s="331"/>
      <c r="AQ20" s="335"/>
      <c r="AR20" s="331"/>
      <c r="AS20" s="331"/>
      <c r="AT20" s="331"/>
      <c r="AU20" s="335">
        <v>46113</v>
      </c>
      <c r="AV20" s="335" t="s">
        <v>993</v>
      </c>
      <c r="AW20" s="336"/>
      <c r="AX20" s="335"/>
    </row>
    <row r="21" spans="1:50" s="337" customFormat="1" ht="15" hidden="1" customHeight="1">
      <c r="A21" s="328">
        <v>146</v>
      </c>
      <c r="B21" s="329">
        <v>46153.73541666667</v>
      </c>
      <c r="C21" s="329">
        <v>46153.736111111109</v>
      </c>
      <c r="D21" s="338" t="s">
        <v>2066</v>
      </c>
      <c r="E21" s="338" t="s">
        <v>2067</v>
      </c>
      <c r="F21" s="338" t="s">
        <v>2074</v>
      </c>
      <c r="G21" s="338" t="s">
        <v>2069</v>
      </c>
      <c r="H21" s="338" t="s">
        <v>76</v>
      </c>
      <c r="I21" s="328"/>
      <c r="J21" s="328" t="s">
        <v>2069</v>
      </c>
      <c r="K21" s="328"/>
      <c r="L21" s="328" t="s">
        <v>2075</v>
      </c>
      <c r="M21" s="329"/>
      <c r="N21" s="328" t="s">
        <v>118</v>
      </c>
      <c r="O21" s="328"/>
      <c r="P21" s="328"/>
      <c r="Q21" s="330" t="s">
        <v>58</v>
      </c>
      <c r="R21" s="338" t="s">
        <v>2069</v>
      </c>
      <c r="S21" s="338"/>
      <c r="T21" s="338" t="s">
        <v>2069</v>
      </c>
      <c r="U21" s="338"/>
      <c r="V21" s="338" t="s">
        <v>2069</v>
      </c>
      <c r="W21" s="338" t="s">
        <v>64</v>
      </c>
      <c r="X21" s="338" t="s">
        <v>2069</v>
      </c>
      <c r="Y21" s="338" t="s">
        <v>2069</v>
      </c>
      <c r="Z21" s="328" t="s">
        <v>2076</v>
      </c>
      <c r="AA21" s="328"/>
      <c r="AB21" s="331"/>
      <c r="AC21" s="331"/>
      <c r="AD21" s="331"/>
      <c r="AE21" s="331"/>
      <c r="AF21" s="331"/>
      <c r="AG21" s="336"/>
      <c r="AH21" s="336"/>
      <c r="AI21" s="332"/>
      <c r="AJ21" s="333" t="s">
        <v>2073</v>
      </c>
      <c r="AK21" s="334"/>
      <c r="AL21" s="339"/>
      <c r="AM21" s="331" t="s">
        <v>217</v>
      </c>
      <c r="AN21" s="331"/>
      <c r="AO21" s="336"/>
      <c r="AP21" s="331"/>
      <c r="AQ21" s="335"/>
      <c r="AR21" s="340"/>
      <c r="AS21" s="331"/>
      <c r="AT21" s="331"/>
      <c r="AU21" s="335">
        <v>45962</v>
      </c>
      <c r="AV21" s="335">
        <v>46054</v>
      </c>
      <c r="AW21" s="331"/>
      <c r="AX21" s="331"/>
    </row>
    <row r="22" spans="1:50" s="337" customFormat="1" ht="15" hidden="1" customHeight="1">
      <c r="A22" s="328">
        <v>147</v>
      </c>
      <c r="B22" s="329">
        <v>46153.736111111109</v>
      </c>
      <c r="C22" s="329">
        <v>46153.736805555556</v>
      </c>
      <c r="D22" s="328" t="s">
        <v>2066</v>
      </c>
      <c r="E22" s="328" t="s">
        <v>2067</v>
      </c>
      <c r="F22" s="328" t="s">
        <v>2077</v>
      </c>
      <c r="G22" s="328" t="s">
        <v>2069</v>
      </c>
      <c r="H22" s="328" t="s">
        <v>112</v>
      </c>
      <c r="I22" s="328"/>
      <c r="J22" s="328" t="s">
        <v>2069</v>
      </c>
      <c r="K22" s="328"/>
      <c r="L22" s="329" t="s">
        <v>56</v>
      </c>
      <c r="M22" s="329"/>
      <c r="N22" s="328" t="s">
        <v>118</v>
      </c>
      <c r="O22" s="328"/>
      <c r="P22" s="328"/>
      <c r="Q22" s="330" t="s">
        <v>58</v>
      </c>
      <c r="R22" s="328" t="s">
        <v>2069</v>
      </c>
      <c r="S22" s="328"/>
      <c r="T22" s="328" t="s">
        <v>2069</v>
      </c>
      <c r="U22" s="328"/>
      <c r="V22" s="328" t="s">
        <v>2069</v>
      </c>
      <c r="W22" s="328" t="s">
        <v>64</v>
      </c>
      <c r="X22" s="328" t="s">
        <v>2069</v>
      </c>
      <c r="Y22" s="328" t="s">
        <v>2069</v>
      </c>
      <c r="Z22" s="328" t="s">
        <v>2078</v>
      </c>
      <c r="AA22" s="328"/>
      <c r="AB22" s="331"/>
      <c r="AC22" s="331"/>
      <c r="AD22" s="331"/>
      <c r="AE22" s="331"/>
      <c r="AF22" s="331"/>
      <c r="AG22" s="331"/>
      <c r="AH22" s="331"/>
      <c r="AI22" s="332"/>
      <c r="AJ22" s="333" t="s">
        <v>2073</v>
      </c>
      <c r="AK22" s="334"/>
      <c r="AL22" s="333"/>
      <c r="AM22" s="331" t="s">
        <v>217</v>
      </c>
      <c r="AN22" s="331"/>
      <c r="AO22" s="331"/>
      <c r="AP22" s="331"/>
      <c r="AQ22" s="335"/>
      <c r="AR22" s="331"/>
      <c r="AS22" s="331"/>
      <c r="AT22" s="331"/>
      <c r="AU22" s="335">
        <v>46113</v>
      </c>
      <c r="AV22" s="335" t="s">
        <v>993</v>
      </c>
      <c r="AW22" s="336"/>
      <c r="AX22" s="335"/>
    </row>
    <row r="23" spans="1:50" s="337" customFormat="1" ht="15" hidden="1" customHeight="1">
      <c r="A23" s="328">
        <v>148</v>
      </c>
      <c r="B23" s="329">
        <v>46153.736805555556</v>
      </c>
      <c r="C23" s="329">
        <v>46153.737500000003</v>
      </c>
      <c r="D23" s="338" t="s">
        <v>2066</v>
      </c>
      <c r="E23" s="338" t="s">
        <v>2067</v>
      </c>
      <c r="F23" s="338" t="s">
        <v>2079</v>
      </c>
      <c r="G23" s="338" t="s">
        <v>2069</v>
      </c>
      <c r="H23" s="338" t="s">
        <v>2070</v>
      </c>
      <c r="I23" s="328"/>
      <c r="J23" s="328" t="s">
        <v>2069</v>
      </c>
      <c r="K23" s="328"/>
      <c r="L23" s="328" t="s">
        <v>56</v>
      </c>
      <c r="M23" s="329"/>
      <c r="N23" s="328" t="s">
        <v>118</v>
      </c>
      <c r="O23" s="328"/>
      <c r="P23" s="328"/>
      <c r="Q23" s="330" t="s">
        <v>58</v>
      </c>
      <c r="R23" s="338" t="s">
        <v>2069</v>
      </c>
      <c r="S23" s="338"/>
      <c r="T23" s="338" t="s">
        <v>2069</v>
      </c>
      <c r="U23" s="338"/>
      <c r="V23" s="338" t="s">
        <v>2069</v>
      </c>
      <c r="W23" s="338" t="s">
        <v>64</v>
      </c>
      <c r="X23" s="338" t="s">
        <v>2069</v>
      </c>
      <c r="Y23" s="338" t="s">
        <v>2069</v>
      </c>
      <c r="Z23" s="328"/>
      <c r="AA23" s="328"/>
      <c r="AB23" s="331"/>
      <c r="AC23" s="331"/>
      <c r="AD23" s="331"/>
      <c r="AE23" s="331"/>
      <c r="AF23" s="331"/>
      <c r="AG23" s="336"/>
      <c r="AH23" s="336"/>
      <c r="AI23" s="332"/>
      <c r="AJ23" s="333" t="s">
        <v>2073</v>
      </c>
      <c r="AK23" s="334"/>
      <c r="AL23" s="339"/>
      <c r="AM23" s="331" t="s">
        <v>217</v>
      </c>
      <c r="AN23" s="331"/>
      <c r="AO23" s="336"/>
      <c r="AP23" s="331"/>
      <c r="AQ23" s="335"/>
      <c r="AR23" s="340"/>
      <c r="AS23" s="331"/>
      <c r="AT23" s="331"/>
      <c r="AU23" s="335">
        <v>45870</v>
      </c>
      <c r="AV23" s="335">
        <v>45931</v>
      </c>
      <c r="AW23" s="331"/>
      <c r="AX23" s="331"/>
    </row>
    <row r="24" spans="1:50" s="337" customFormat="1" ht="15" hidden="1" customHeight="1">
      <c r="A24" s="328">
        <v>149</v>
      </c>
      <c r="B24" s="329">
        <v>46153.737500000003</v>
      </c>
      <c r="C24" s="329">
        <v>46153.737500000003</v>
      </c>
      <c r="D24" s="328" t="s">
        <v>2066</v>
      </c>
      <c r="E24" s="328" t="s">
        <v>2067</v>
      </c>
      <c r="F24" s="328" t="s">
        <v>2080</v>
      </c>
      <c r="G24" s="328" t="s">
        <v>2069</v>
      </c>
      <c r="H24" s="328" t="s">
        <v>76</v>
      </c>
      <c r="I24" s="328"/>
      <c r="J24" s="328" t="s">
        <v>2069</v>
      </c>
      <c r="K24" s="328"/>
      <c r="L24" s="329" t="s">
        <v>2075</v>
      </c>
      <c r="M24" s="329"/>
      <c r="N24" s="328" t="s">
        <v>118</v>
      </c>
      <c r="O24" s="328"/>
      <c r="P24" s="328"/>
      <c r="Q24" s="330" t="s">
        <v>58</v>
      </c>
      <c r="R24" s="328" t="s">
        <v>2069</v>
      </c>
      <c r="S24" s="328"/>
      <c r="T24" s="328" t="s">
        <v>2069</v>
      </c>
      <c r="U24" s="328"/>
      <c r="V24" s="328" t="s">
        <v>2069</v>
      </c>
      <c r="W24" s="328" t="s">
        <v>64</v>
      </c>
      <c r="X24" s="328" t="s">
        <v>2069</v>
      </c>
      <c r="Y24" s="328" t="s">
        <v>2069</v>
      </c>
      <c r="Z24" s="328"/>
      <c r="AA24" s="328"/>
      <c r="AB24" s="331"/>
      <c r="AC24" s="331"/>
      <c r="AD24" s="331"/>
      <c r="AE24" s="331"/>
      <c r="AF24" s="331"/>
      <c r="AG24" s="331"/>
      <c r="AH24" s="331"/>
      <c r="AI24" s="332"/>
      <c r="AJ24" s="333" t="s">
        <v>2073</v>
      </c>
      <c r="AK24" s="334"/>
      <c r="AL24" s="333"/>
      <c r="AM24" s="331" t="s">
        <v>217</v>
      </c>
      <c r="AN24" s="331"/>
      <c r="AO24" s="331"/>
      <c r="AP24" s="331"/>
      <c r="AQ24" s="335"/>
      <c r="AR24" s="331"/>
      <c r="AS24" s="331"/>
      <c r="AT24" s="331"/>
      <c r="AU24" s="335">
        <v>45597</v>
      </c>
      <c r="AV24" s="335">
        <v>45658</v>
      </c>
      <c r="AW24" s="336"/>
      <c r="AX24" s="335"/>
    </row>
    <row r="25" spans="1:50" s="337" customFormat="1" ht="15" hidden="1" customHeight="1">
      <c r="A25" s="328">
        <v>150</v>
      </c>
      <c r="B25" s="329">
        <v>46153.737500000003</v>
      </c>
      <c r="C25" s="329">
        <v>46153.738194444442</v>
      </c>
      <c r="D25" s="338" t="s">
        <v>2066</v>
      </c>
      <c r="E25" s="338" t="s">
        <v>2067</v>
      </c>
      <c r="F25" s="338" t="s">
        <v>2081</v>
      </c>
      <c r="G25" s="338" t="s">
        <v>2069</v>
      </c>
      <c r="H25" s="338" t="s">
        <v>112</v>
      </c>
      <c r="I25" s="328"/>
      <c r="J25" s="328" t="s">
        <v>2069</v>
      </c>
      <c r="K25" s="328"/>
      <c r="L25" s="328" t="s">
        <v>56</v>
      </c>
      <c r="M25" s="329"/>
      <c r="N25" s="328" t="s">
        <v>118</v>
      </c>
      <c r="O25" s="328"/>
      <c r="P25" s="328"/>
      <c r="Q25" s="330" t="s">
        <v>58</v>
      </c>
      <c r="R25" s="338" t="s">
        <v>2069</v>
      </c>
      <c r="S25" s="338"/>
      <c r="T25" s="338" t="s">
        <v>2069</v>
      </c>
      <c r="U25" s="338"/>
      <c r="V25" s="338" t="s">
        <v>2069</v>
      </c>
      <c r="W25" s="338" t="s">
        <v>64</v>
      </c>
      <c r="X25" s="338" t="s">
        <v>2069</v>
      </c>
      <c r="Y25" s="338" t="s">
        <v>2069</v>
      </c>
      <c r="Z25" s="328"/>
      <c r="AA25" s="328"/>
      <c r="AB25" s="331"/>
      <c r="AC25" s="331"/>
      <c r="AD25" s="331"/>
      <c r="AE25" s="331"/>
      <c r="AF25" s="331"/>
      <c r="AG25" s="336"/>
      <c r="AH25" s="336"/>
      <c r="AI25" s="332"/>
      <c r="AJ25" s="333" t="s">
        <v>2082</v>
      </c>
      <c r="AK25" s="334"/>
      <c r="AL25" s="339"/>
      <c r="AM25" s="331" t="s">
        <v>217</v>
      </c>
      <c r="AN25" s="331"/>
      <c r="AO25" s="336"/>
      <c r="AP25" s="331"/>
      <c r="AQ25" s="335"/>
      <c r="AR25" s="340"/>
      <c r="AS25" s="331"/>
      <c r="AT25" s="331"/>
      <c r="AU25" s="335">
        <v>46174</v>
      </c>
      <c r="AV25" s="335" t="s">
        <v>993</v>
      </c>
      <c r="AW25" s="331"/>
      <c r="AX25" s="331"/>
    </row>
    <row r="26" spans="1:50" s="337" customFormat="1" ht="15" hidden="1" customHeight="1">
      <c r="A26" s="328">
        <v>151</v>
      </c>
      <c r="B26" s="329">
        <v>46153.738194444442</v>
      </c>
      <c r="C26" s="329">
        <v>46153.738888888889</v>
      </c>
      <c r="D26" s="328" t="s">
        <v>2066</v>
      </c>
      <c r="E26" s="328" t="s">
        <v>2067</v>
      </c>
      <c r="F26" s="328" t="s">
        <v>2083</v>
      </c>
      <c r="G26" s="328" t="s">
        <v>2069</v>
      </c>
      <c r="H26" s="328" t="s">
        <v>52</v>
      </c>
      <c r="I26" s="328"/>
      <c r="J26" s="328" t="s">
        <v>2069</v>
      </c>
      <c r="K26" s="328"/>
      <c r="L26" s="329" t="s">
        <v>56</v>
      </c>
      <c r="M26" s="329"/>
      <c r="N26" s="328" t="s">
        <v>118</v>
      </c>
      <c r="O26" s="328"/>
      <c r="P26" s="328"/>
      <c r="Q26" s="330" t="s">
        <v>58</v>
      </c>
      <c r="R26" s="328" t="s">
        <v>2069</v>
      </c>
      <c r="S26" s="328"/>
      <c r="T26" s="328" t="s">
        <v>2069</v>
      </c>
      <c r="U26" s="328"/>
      <c r="V26" s="328" t="s">
        <v>2069</v>
      </c>
      <c r="W26" s="328" t="s">
        <v>64</v>
      </c>
      <c r="X26" s="328" t="s">
        <v>2069</v>
      </c>
      <c r="Y26" s="328" t="s">
        <v>2069</v>
      </c>
      <c r="Z26" s="328"/>
      <c r="AA26" s="328"/>
      <c r="AB26" s="331"/>
      <c r="AC26" s="331"/>
      <c r="AD26" s="331"/>
      <c r="AE26" s="331"/>
      <c r="AF26" s="331"/>
      <c r="AG26" s="331"/>
      <c r="AH26" s="331"/>
      <c r="AI26" s="332"/>
      <c r="AJ26" s="333"/>
      <c r="AK26" s="334"/>
      <c r="AL26" s="333"/>
      <c r="AM26" s="331" t="s">
        <v>217</v>
      </c>
      <c r="AN26" s="331"/>
      <c r="AO26" s="331"/>
      <c r="AP26" s="331"/>
      <c r="AQ26" s="335"/>
      <c r="AR26" s="331"/>
      <c r="AS26" s="331"/>
      <c r="AT26" s="331"/>
      <c r="AU26" s="335"/>
      <c r="AV26" s="335"/>
      <c r="AW26" s="336"/>
      <c r="AX26" s="335"/>
    </row>
    <row r="27" spans="1:50" s="337" customFormat="1" ht="15" hidden="1" customHeight="1">
      <c r="A27" s="328">
        <v>152</v>
      </c>
      <c r="B27" s="329">
        <v>46153.741666666669</v>
      </c>
      <c r="C27" s="329">
        <v>46153.742361111108</v>
      </c>
      <c r="D27" s="338" t="s">
        <v>2066</v>
      </c>
      <c r="E27" s="338" t="s">
        <v>2067</v>
      </c>
      <c r="F27" s="338" t="s">
        <v>2084</v>
      </c>
      <c r="G27" s="338" t="s">
        <v>2069</v>
      </c>
      <c r="H27" s="338" t="s">
        <v>112</v>
      </c>
      <c r="I27" s="328"/>
      <c r="J27" s="328" t="s">
        <v>2069</v>
      </c>
      <c r="K27" s="328"/>
      <c r="L27" s="328" t="s">
        <v>56</v>
      </c>
      <c r="M27" s="329"/>
      <c r="N27" s="328" t="s">
        <v>118</v>
      </c>
      <c r="O27" s="328"/>
      <c r="P27" s="328"/>
      <c r="Q27" s="330" t="s">
        <v>58</v>
      </c>
      <c r="R27" s="338" t="s">
        <v>2069</v>
      </c>
      <c r="S27" s="338"/>
      <c r="T27" s="338" t="s">
        <v>2069</v>
      </c>
      <c r="U27" s="338"/>
      <c r="V27" s="338" t="s">
        <v>2069</v>
      </c>
      <c r="W27" s="338" t="s">
        <v>64</v>
      </c>
      <c r="X27" s="338" t="s">
        <v>2069</v>
      </c>
      <c r="Y27" s="338" t="s">
        <v>2069</v>
      </c>
      <c r="Z27" s="328"/>
      <c r="AA27" s="328"/>
      <c r="AB27" s="331"/>
      <c r="AC27" s="331"/>
      <c r="AD27" s="331"/>
      <c r="AE27" s="331"/>
      <c r="AF27" s="331"/>
      <c r="AG27" s="336"/>
      <c r="AH27" s="336"/>
      <c r="AI27" s="332"/>
      <c r="AJ27" s="333" t="s">
        <v>2073</v>
      </c>
      <c r="AK27" s="334"/>
      <c r="AL27" s="339"/>
      <c r="AM27" s="331" t="s">
        <v>217</v>
      </c>
      <c r="AN27" s="331"/>
      <c r="AO27" s="336"/>
      <c r="AP27" s="331"/>
      <c r="AQ27" s="335"/>
      <c r="AR27" s="340"/>
      <c r="AS27" s="331"/>
      <c r="AT27" s="331"/>
      <c r="AU27" s="335">
        <v>45231</v>
      </c>
      <c r="AV27" s="335">
        <v>45352</v>
      </c>
      <c r="AW27" s="331"/>
      <c r="AX27" s="331"/>
    </row>
    <row r="28" spans="1:50" s="337" customFormat="1" ht="15" hidden="1" customHeight="1">
      <c r="A28" s="328">
        <v>103</v>
      </c>
      <c r="B28" s="329">
        <v>46128.371990740699</v>
      </c>
      <c r="C28" s="329">
        <v>46129.069513888899</v>
      </c>
      <c r="D28" s="328" t="s">
        <v>490</v>
      </c>
      <c r="E28" s="328" t="s">
        <v>491</v>
      </c>
      <c r="F28" s="328" t="s">
        <v>2085</v>
      </c>
      <c r="G28" s="328" t="s">
        <v>2086</v>
      </c>
      <c r="H28" s="328" t="s">
        <v>430</v>
      </c>
      <c r="I28" s="328" t="s">
        <v>224</v>
      </c>
      <c r="J28" s="328" t="s">
        <v>2087</v>
      </c>
      <c r="K28" s="328"/>
      <c r="L28" s="329" t="s">
        <v>56</v>
      </c>
      <c r="M28" s="329">
        <v>46142</v>
      </c>
      <c r="N28" s="328" t="s">
        <v>57</v>
      </c>
      <c r="O28" s="328">
        <v>0</v>
      </c>
      <c r="P28" s="328"/>
      <c r="Q28" s="330" t="s">
        <v>58</v>
      </c>
      <c r="R28" s="328" t="s">
        <v>2088</v>
      </c>
      <c r="S28" s="328"/>
      <c r="T28" s="328" t="s">
        <v>2089</v>
      </c>
      <c r="U28" s="328"/>
      <c r="V28" s="328" t="s">
        <v>365</v>
      </c>
      <c r="W28" s="328" t="s">
        <v>64</v>
      </c>
      <c r="X28" s="328" t="s">
        <v>1168</v>
      </c>
      <c r="Y28" s="328" t="s">
        <v>2090</v>
      </c>
      <c r="Z28" s="328" t="s">
        <v>2091</v>
      </c>
      <c r="AA28" s="328"/>
      <c r="AB28" s="331" t="s">
        <v>2092</v>
      </c>
      <c r="AC28" s="331" t="s">
        <v>69</v>
      </c>
      <c r="AD28" s="335">
        <v>46135</v>
      </c>
      <c r="AE28" s="331" t="s">
        <v>3</v>
      </c>
      <c r="AF28" s="335"/>
      <c r="AG28" s="335"/>
      <c r="AH28" s="331">
        <v>1</v>
      </c>
      <c r="AI28" s="332"/>
      <c r="AJ28" s="333">
        <v>13000</v>
      </c>
      <c r="AK28" s="334" t="s">
        <v>2093</v>
      </c>
      <c r="AL28" s="333" t="s">
        <v>245</v>
      </c>
      <c r="AM28" s="331" t="s">
        <v>1963</v>
      </c>
      <c r="AN28" s="331"/>
      <c r="AO28" s="331" t="s">
        <v>605</v>
      </c>
      <c r="AP28" s="331" t="s">
        <v>2094</v>
      </c>
      <c r="AQ28" s="335" t="s">
        <v>260</v>
      </c>
      <c r="AR28" s="331" t="s">
        <v>2095</v>
      </c>
      <c r="AS28" s="331" t="s">
        <v>2096</v>
      </c>
      <c r="AT28" s="331"/>
      <c r="AU28" s="335">
        <v>46167</v>
      </c>
      <c r="AV28" s="335">
        <v>46198</v>
      </c>
      <c r="AW28" s="336" t="s">
        <v>260</v>
      </c>
      <c r="AX28" s="335"/>
    </row>
    <row r="29" spans="1:50" s="337" customFormat="1" ht="15" hidden="1" customHeight="1">
      <c r="A29" s="328">
        <v>155</v>
      </c>
      <c r="B29" s="329">
        <v>46153.745138888888</v>
      </c>
      <c r="C29" s="329">
        <v>46153.745833333334</v>
      </c>
      <c r="D29" s="338" t="s">
        <v>2066</v>
      </c>
      <c r="E29" s="338" t="s">
        <v>2067</v>
      </c>
      <c r="F29" s="338" t="s">
        <v>2097</v>
      </c>
      <c r="G29" s="338" t="s">
        <v>2069</v>
      </c>
      <c r="H29" s="338" t="s">
        <v>52</v>
      </c>
      <c r="I29" s="328"/>
      <c r="J29" s="328" t="s">
        <v>2069</v>
      </c>
      <c r="K29" s="328"/>
      <c r="L29" s="328" t="s">
        <v>56</v>
      </c>
      <c r="M29" s="329"/>
      <c r="N29" s="328" t="s">
        <v>118</v>
      </c>
      <c r="O29" s="328"/>
      <c r="P29" s="328"/>
      <c r="Q29" s="330" t="s">
        <v>183</v>
      </c>
      <c r="R29" s="338" t="s">
        <v>2069</v>
      </c>
      <c r="S29" s="338"/>
      <c r="T29" s="338" t="s">
        <v>2069</v>
      </c>
      <c r="U29" s="338"/>
      <c r="V29" s="338" t="s">
        <v>2069</v>
      </c>
      <c r="W29" s="338" t="s">
        <v>64</v>
      </c>
      <c r="X29" s="338" t="s">
        <v>2069</v>
      </c>
      <c r="Y29" s="338" t="s">
        <v>2069</v>
      </c>
      <c r="Z29" s="328"/>
      <c r="AA29" s="328"/>
      <c r="AB29" s="331"/>
      <c r="AC29" s="331"/>
      <c r="AD29" s="331"/>
      <c r="AE29" s="331"/>
      <c r="AF29" s="331"/>
      <c r="AG29" s="336"/>
      <c r="AH29" s="336"/>
      <c r="AI29" s="332"/>
      <c r="AJ29" s="333" t="s">
        <v>2073</v>
      </c>
      <c r="AK29" s="334"/>
      <c r="AL29" s="339"/>
      <c r="AM29" s="331" t="s">
        <v>217</v>
      </c>
      <c r="AN29" s="331"/>
      <c r="AO29" s="336"/>
      <c r="AP29" s="331"/>
      <c r="AQ29" s="335"/>
      <c r="AR29" s="340"/>
      <c r="AS29" s="331"/>
      <c r="AT29" s="331"/>
      <c r="AU29" s="335">
        <v>45413</v>
      </c>
      <c r="AV29" s="335">
        <v>45505</v>
      </c>
      <c r="AW29" s="331"/>
      <c r="AX29" s="331"/>
    </row>
    <row r="30" spans="1:50" s="337" customFormat="1" ht="15" hidden="1" customHeight="1">
      <c r="A30" s="328">
        <v>157</v>
      </c>
      <c r="B30" s="329">
        <v>46153.746527777781</v>
      </c>
      <c r="C30" s="329">
        <v>46153.74722222222</v>
      </c>
      <c r="D30" s="328" t="s">
        <v>2066</v>
      </c>
      <c r="E30" s="328" t="s">
        <v>2067</v>
      </c>
      <c r="F30" s="328" t="s">
        <v>2098</v>
      </c>
      <c r="G30" s="328" t="s">
        <v>2069</v>
      </c>
      <c r="H30" s="328" t="s">
        <v>112</v>
      </c>
      <c r="I30" s="328"/>
      <c r="J30" s="328" t="s">
        <v>2069</v>
      </c>
      <c r="K30" s="328"/>
      <c r="L30" s="329" t="s">
        <v>2075</v>
      </c>
      <c r="M30" s="329"/>
      <c r="N30" s="328" t="s">
        <v>118</v>
      </c>
      <c r="O30" s="328"/>
      <c r="P30" s="328"/>
      <c r="Q30" s="330" t="s">
        <v>183</v>
      </c>
      <c r="R30" s="328" t="s">
        <v>2069</v>
      </c>
      <c r="S30" s="328"/>
      <c r="T30" s="328" t="s">
        <v>2069</v>
      </c>
      <c r="U30" s="328"/>
      <c r="V30" s="328" t="s">
        <v>2069</v>
      </c>
      <c r="W30" s="328" t="s">
        <v>64</v>
      </c>
      <c r="X30" s="328" t="s">
        <v>2069</v>
      </c>
      <c r="Y30" s="328" t="s">
        <v>2069</v>
      </c>
      <c r="Z30" s="328"/>
      <c r="AA30" s="328"/>
      <c r="AB30" s="331" t="s">
        <v>1853</v>
      </c>
      <c r="AC30" s="331"/>
      <c r="AD30" s="331"/>
      <c r="AE30" s="331"/>
      <c r="AF30" s="331"/>
      <c r="AG30" s="331"/>
      <c r="AH30" s="331"/>
      <c r="AI30" s="332"/>
      <c r="AJ30" s="333"/>
      <c r="AK30" s="334"/>
      <c r="AL30" s="333"/>
      <c r="AM30" s="331" t="s">
        <v>217</v>
      </c>
      <c r="AN30" s="331"/>
      <c r="AO30" s="331"/>
      <c r="AP30" s="331"/>
      <c r="AQ30" s="335"/>
      <c r="AR30" s="331"/>
      <c r="AS30" s="331"/>
      <c r="AT30" s="331"/>
      <c r="AU30" s="335">
        <v>45658</v>
      </c>
      <c r="AV30" s="335">
        <v>46082</v>
      </c>
      <c r="AW30" s="336"/>
      <c r="AX30" s="335"/>
    </row>
    <row r="31" spans="1:50" s="337" customFormat="1" ht="15" customHeight="1">
      <c r="A31" s="328">
        <v>82</v>
      </c>
      <c r="B31" s="329">
        <v>46106.062025462998</v>
      </c>
      <c r="C31" s="329">
        <v>46106.067824074104</v>
      </c>
      <c r="D31" s="338" t="s">
        <v>757</v>
      </c>
      <c r="E31" s="338" t="s">
        <v>758</v>
      </c>
      <c r="F31" s="338" t="s">
        <v>2099</v>
      </c>
      <c r="G31" s="338" t="s">
        <v>2100</v>
      </c>
      <c r="H31" s="338" t="s">
        <v>52</v>
      </c>
      <c r="I31" s="328" t="s">
        <v>204</v>
      </c>
      <c r="J31" s="328" t="s">
        <v>2025</v>
      </c>
      <c r="K31" s="328"/>
      <c r="L31" s="328" t="s">
        <v>206</v>
      </c>
      <c r="M31" s="329">
        <v>46127</v>
      </c>
      <c r="N31" s="328" t="s">
        <v>118</v>
      </c>
      <c r="O31" s="328" t="s">
        <v>350</v>
      </c>
      <c r="P31" s="328"/>
      <c r="Q31" s="330" t="s">
        <v>58</v>
      </c>
      <c r="R31" s="338" t="s">
        <v>2101</v>
      </c>
      <c r="S31" s="338"/>
      <c r="T31" s="338" t="s">
        <v>2102</v>
      </c>
      <c r="U31" s="338"/>
      <c r="V31" s="338" t="s">
        <v>750</v>
      </c>
      <c r="W31" s="338" t="s">
        <v>64</v>
      </c>
      <c r="X31" s="338" t="s">
        <v>2103</v>
      </c>
      <c r="Y31" s="338" t="s">
        <v>2103</v>
      </c>
      <c r="Z31" s="328" t="s">
        <v>2104</v>
      </c>
      <c r="AA31" s="328"/>
      <c r="AB31" s="331" t="s">
        <v>131</v>
      </c>
      <c r="AC31" s="331" t="s">
        <v>191</v>
      </c>
      <c r="AD31" s="331"/>
      <c r="AE31" s="331" t="s">
        <v>3</v>
      </c>
      <c r="AF31" s="331"/>
      <c r="AG31" s="336"/>
      <c r="AH31" s="336" t="s">
        <v>1074</v>
      </c>
      <c r="AI31" s="332"/>
      <c r="AJ31" s="333">
        <v>0</v>
      </c>
      <c r="AK31" s="334" t="s">
        <v>2105</v>
      </c>
      <c r="AL31" s="339" t="s">
        <v>216</v>
      </c>
      <c r="AM31" s="331"/>
      <c r="AN31" s="331"/>
      <c r="AO31" s="336" t="s">
        <v>2106</v>
      </c>
      <c r="AP31" s="331"/>
      <c r="AQ31" s="335" t="s">
        <v>1804</v>
      </c>
      <c r="AR31" s="340"/>
      <c r="AS31" s="331" t="s">
        <v>1909</v>
      </c>
      <c r="AT31" s="331"/>
      <c r="AU31" s="335">
        <v>46163</v>
      </c>
      <c r="AV31" s="335">
        <v>46189</v>
      </c>
      <c r="AW31" s="331" t="s">
        <v>1804</v>
      </c>
      <c r="AX31" s="331"/>
    </row>
    <row r="32" spans="1:50" s="337" customFormat="1" ht="15" hidden="1" customHeight="1">
      <c r="A32" s="328">
        <v>116</v>
      </c>
      <c r="B32" s="329">
        <v>46136.677083333299</v>
      </c>
      <c r="C32" s="329">
        <v>46136.683622685203</v>
      </c>
      <c r="D32" s="328" t="s">
        <v>200</v>
      </c>
      <c r="E32" s="328" t="s">
        <v>201</v>
      </c>
      <c r="F32" s="328" t="s">
        <v>2107</v>
      </c>
      <c r="G32" s="328" t="s">
        <v>2108</v>
      </c>
      <c r="H32" s="328" t="s">
        <v>112</v>
      </c>
      <c r="I32" s="328" t="s">
        <v>204</v>
      </c>
      <c r="J32" s="328" t="s">
        <v>2109</v>
      </c>
      <c r="K32" s="328"/>
      <c r="L32" s="329" t="s">
        <v>206</v>
      </c>
      <c r="M32" s="329">
        <v>46218</v>
      </c>
      <c r="N32" s="328" t="s">
        <v>57</v>
      </c>
      <c r="O32" s="328">
        <v>0</v>
      </c>
      <c r="P32" s="328"/>
      <c r="Q32" s="330" t="s">
        <v>58</v>
      </c>
      <c r="R32" s="328" t="s">
        <v>2110</v>
      </c>
      <c r="S32" s="328"/>
      <c r="T32" s="328" t="s">
        <v>2111</v>
      </c>
      <c r="U32" s="328"/>
      <c r="V32" s="328" t="s">
        <v>63</v>
      </c>
      <c r="W32" s="328" t="s">
        <v>64</v>
      </c>
      <c r="X32" s="328" t="s">
        <v>2112</v>
      </c>
      <c r="Y32" s="328" t="s">
        <v>2112</v>
      </c>
      <c r="Z32" s="328" t="s">
        <v>2113</v>
      </c>
      <c r="AA32" s="328"/>
      <c r="AB32" s="331" t="s">
        <v>322</v>
      </c>
      <c r="AC32" s="331" t="s">
        <v>69</v>
      </c>
      <c r="AD32" s="335">
        <v>46142</v>
      </c>
      <c r="AE32" s="331" t="s">
        <v>3</v>
      </c>
      <c r="AF32" s="335">
        <v>46146</v>
      </c>
      <c r="AG32" s="335">
        <v>46150</v>
      </c>
      <c r="AH32" s="331">
        <v>2</v>
      </c>
      <c r="AI32" s="332">
        <v>0</v>
      </c>
      <c r="AJ32" s="333">
        <v>0</v>
      </c>
      <c r="AK32" s="334"/>
      <c r="AL32" s="333" t="s">
        <v>216</v>
      </c>
      <c r="AM32" s="331" t="s">
        <v>1908</v>
      </c>
      <c r="AN32" s="331"/>
      <c r="AO32" s="331" t="s">
        <v>2114</v>
      </c>
      <c r="AP32" s="331"/>
      <c r="AQ32" s="335" t="s">
        <v>1804</v>
      </c>
      <c r="AR32" s="331" t="s">
        <v>2115</v>
      </c>
      <c r="AS32" s="331" t="s">
        <v>1909</v>
      </c>
      <c r="AT32" s="331"/>
      <c r="AU32" s="335">
        <v>46161</v>
      </c>
      <c r="AV32" s="335">
        <v>46217</v>
      </c>
      <c r="AW32" s="336" t="s">
        <v>1804</v>
      </c>
      <c r="AX32" s="335"/>
    </row>
    <row r="33" spans="1:56" s="337" customFormat="1" ht="15" hidden="1" customHeight="1">
      <c r="A33" s="328">
        <v>68</v>
      </c>
      <c r="B33" s="329">
        <v>46091.775648148097</v>
      </c>
      <c r="C33" s="329">
        <v>46091.799606481502</v>
      </c>
      <c r="D33" s="338" t="s">
        <v>818</v>
      </c>
      <c r="E33" s="338" t="s">
        <v>819</v>
      </c>
      <c r="F33" s="338" t="s">
        <v>2116</v>
      </c>
      <c r="G33" s="338" t="s">
        <v>2117</v>
      </c>
      <c r="H33" s="338" t="s">
        <v>52</v>
      </c>
      <c r="I33" s="328" t="s">
        <v>113</v>
      </c>
      <c r="J33" s="328" t="s">
        <v>2118</v>
      </c>
      <c r="K33" s="328"/>
      <c r="L33" s="328" t="s">
        <v>824</v>
      </c>
      <c r="M33" s="329">
        <v>46237</v>
      </c>
      <c r="N33" s="328" t="s">
        <v>118</v>
      </c>
      <c r="O33" s="328" t="s">
        <v>350</v>
      </c>
      <c r="P33" s="328"/>
      <c r="Q33" s="330" t="s">
        <v>58</v>
      </c>
      <c r="R33" s="338" t="s">
        <v>2119</v>
      </c>
      <c r="S33" s="338"/>
      <c r="T33" s="338" t="s">
        <v>2120</v>
      </c>
      <c r="U33" s="338"/>
      <c r="V33" s="338" t="s">
        <v>1070</v>
      </c>
      <c r="W33" s="338" t="s">
        <v>64</v>
      </c>
      <c r="X33" s="338" t="s">
        <v>2121</v>
      </c>
      <c r="Y33" s="338" t="s">
        <v>2122</v>
      </c>
      <c r="Z33" s="328" t="s">
        <v>2123</v>
      </c>
      <c r="AA33" s="328"/>
      <c r="AB33" s="331" t="s">
        <v>2124</v>
      </c>
      <c r="AC33" s="331" t="s">
        <v>191</v>
      </c>
      <c r="AD33" s="331"/>
      <c r="AE33" s="331"/>
      <c r="AF33" s="331"/>
      <c r="AG33" s="336"/>
      <c r="AH33" s="336">
        <v>2</v>
      </c>
      <c r="AI33" s="332">
        <v>27700</v>
      </c>
      <c r="AJ33" s="333">
        <v>98335</v>
      </c>
      <c r="AK33" s="334" t="s">
        <v>2125</v>
      </c>
      <c r="AL33" s="339" t="s">
        <v>245</v>
      </c>
      <c r="AM33" s="331"/>
      <c r="AN33" s="331"/>
      <c r="AO33" s="336" t="s">
        <v>605</v>
      </c>
      <c r="AP33" s="331"/>
      <c r="AQ33" s="335" t="s">
        <v>260</v>
      </c>
      <c r="AR33" s="340"/>
      <c r="AS33" s="331" t="s">
        <v>2126</v>
      </c>
      <c r="AT33" s="331"/>
      <c r="AU33" s="335">
        <v>46181</v>
      </c>
      <c r="AV33" s="335">
        <v>46336</v>
      </c>
      <c r="AW33" s="331" t="s">
        <v>260</v>
      </c>
      <c r="AX33" s="331"/>
    </row>
    <row r="34" spans="1:56" s="337" customFormat="1" ht="15" hidden="1" customHeight="1">
      <c r="A34" s="328">
        <v>92</v>
      </c>
      <c r="B34" s="329">
        <v>46112.480532407397</v>
      </c>
      <c r="C34" s="329">
        <v>46112.4910648148</v>
      </c>
      <c r="D34" s="328" t="s">
        <v>989</v>
      </c>
      <c r="E34" s="328" t="s">
        <v>49</v>
      </c>
      <c r="F34" s="328" t="s">
        <v>2127</v>
      </c>
      <c r="G34" s="328" t="s">
        <v>2128</v>
      </c>
      <c r="H34" s="328" t="s">
        <v>52</v>
      </c>
      <c r="I34" s="328" t="s">
        <v>224</v>
      </c>
      <c r="J34" s="328" t="s">
        <v>2129</v>
      </c>
      <c r="K34" s="328"/>
      <c r="L34" s="329"/>
      <c r="M34" s="329">
        <v>46122</v>
      </c>
      <c r="N34" s="328" t="s">
        <v>118</v>
      </c>
      <c r="O34" s="328" t="s">
        <v>207</v>
      </c>
      <c r="P34" s="328"/>
      <c r="Q34" s="330" t="s">
        <v>58</v>
      </c>
      <c r="R34" s="328" t="s">
        <v>2130</v>
      </c>
      <c r="S34" s="328"/>
      <c r="T34" s="328" t="s">
        <v>2131</v>
      </c>
      <c r="U34" s="328"/>
      <c r="V34" s="328" t="s">
        <v>750</v>
      </c>
      <c r="W34" s="328" t="s">
        <v>64</v>
      </c>
      <c r="X34" s="328" t="s">
        <v>2132</v>
      </c>
      <c r="Y34" s="328" t="s">
        <v>2133</v>
      </c>
      <c r="Z34" s="328">
        <v>0</v>
      </c>
      <c r="AA34" s="328"/>
      <c r="AB34" s="331" t="s">
        <v>1853</v>
      </c>
      <c r="AC34" s="331"/>
      <c r="AD34" s="335"/>
      <c r="AE34" s="331" t="s">
        <v>2134</v>
      </c>
      <c r="AF34" s="335"/>
      <c r="AG34" s="335"/>
      <c r="AH34" s="331" t="s">
        <v>1092</v>
      </c>
      <c r="AI34" s="332"/>
      <c r="AJ34" s="333"/>
      <c r="AK34" s="334" t="s">
        <v>2135</v>
      </c>
      <c r="AL34" s="333" t="s">
        <v>216</v>
      </c>
      <c r="AM34" s="331" t="s">
        <v>1803</v>
      </c>
      <c r="AN34" s="331"/>
      <c r="AO34" s="331" t="s">
        <v>605</v>
      </c>
      <c r="AP34" s="331"/>
      <c r="AQ34" s="335" t="s">
        <v>260</v>
      </c>
      <c r="AR34" s="331"/>
      <c r="AS34" s="331" t="s">
        <v>1909</v>
      </c>
      <c r="AT34" s="331"/>
      <c r="AU34" s="335">
        <v>46153</v>
      </c>
      <c r="AV34" s="335">
        <v>46160</v>
      </c>
      <c r="AW34" s="336" t="s">
        <v>260</v>
      </c>
      <c r="AX34" s="335"/>
      <c r="AY34" s="341"/>
      <c r="AZ34" s="342"/>
      <c r="BA34" s="342"/>
      <c r="BB34" s="343"/>
      <c r="BC34" s="343"/>
      <c r="BD34" s="343"/>
    </row>
    <row r="35" spans="1:56" s="337" customFormat="1" ht="15" hidden="1" customHeight="1">
      <c r="A35" s="328">
        <v>107</v>
      </c>
      <c r="B35" s="329">
        <v>46132.585914351803</v>
      </c>
      <c r="C35" s="329">
        <v>46133.479745370401</v>
      </c>
      <c r="D35" s="338" t="s">
        <v>490</v>
      </c>
      <c r="E35" s="338" t="s">
        <v>491</v>
      </c>
      <c r="F35" s="338" t="s">
        <v>2136</v>
      </c>
      <c r="G35" s="338" t="s">
        <v>2137</v>
      </c>
      <c r="H35" s="338" t="s">
        <v>52</v>
      </c>
      <c r="I35" s="328" t="s">
        <v>224</v>
      </c>
      <c r="J35" s="328" t="s">
        <v>2138</v>
      </c>
      <c r="K35" s="328"/>
      <c r="L35" s="328" t="s">
        <v>56</v>
      </c>
      <c r="M35" s="329">
        <v>46142</v>
      </c>
      <c r="N35" s="328" t="s">
        <v>57</v>
      </c>
      <c r="O35" s="328">
        <v>0</v>
      </c>
      <c r="P35" s="328"/>
      <c r="Q35" s="330" t="s">
        <v>58</v>
      </c>
      <c r="R35" s="338" t="s">
        <v>2139</v>
      </c>
      <c r="S35" s="338"/>
      <c r="T35" s="338" t="s">
        <v>2140</v>
      </c>
      <c r="U35" s="338"/>
      <c r="V35" s="338" t="s">
        <v>365</v>
      </c>
      <c r="W35" s="338" t="s">
        <v>64</v>
      </c>
      <c r="X35" s="338" t="s">
        <v>1168</v>
      </c>
      <c r="Y35" s="338" t="s">
        <v>2141</v>
      </c>
      <c r="Z35" s="328">
        <v>0</v>
      </c>
      <c r="AA35" s="328"/>
      <c r="AB35" s="331" t="s">
        <v>156</v>
      </c>
      <c r="AC35" s="331" t="s">
        <v>69</v>
      </c>
      <c r="AD35" s="335">
        <v>46135</v>
      </c>
      <c r="AE35" s="331" t="s">
        <v>4</v>
      </c>
      <c r="AF35" s="331"/>
      <c r="AG35" s="336"/>
      <c r="AH35" s="336">
        <v>1</v>
      </c>
      <c r="AI35" s="332"/>
      <c r="AJ35" s="333">
        <v>0</v>
      </c>
      <c r="AK35" s="334" t="s">
        <v>2142</v>
      </c>
      <c r="AL35" s="339" t="s">
        <v>216</v>
      </c>
      <c r="AM35" s="331" t="s">
        <v>1963</v>
      </c>
      <c r="AN35" s="331"/>
      <c r="AO35" s="336" t="s">
        <v>605</v>
      </c>
      <c r="AP35" s="331"/>
      <c r="AQ35" s="335" t="s">
        <v>260</v>
      </c>
      <c r="AR35" s="340" t="s">
        <v>2143</v>
      </c>
      <c r="AS35" s="331" t="s">
        <v>1909</v>
      </c>
      <c r="AT35" s="331"/>
      <c r="AU35" s="335">
        <v>46199</v>
      </c>
      <c r="AV35" s="335">
        <v>46230</v>
      </c>
      <c r="AW35" s="331" t="s">
        <v>260</v>
      </c>
      <c r="AX35" s="331"/>
    </row>
    <row r="36" spans="1:56" s="337" customFormat="1" ht="37.5" hidden="1" customHeight="1">
      <c r="A36" s="328">
        <v>154</v>
      </c>
      <c r="B36" s="329">
        <v>46153.742361111108</v>
      </c>
      <c r="C36" s="329">
        <v>46153.744444444441</v>
      </c>
      <c r="D36" s="328" t="s">
        <v>2066</v>
      </c>
      <c r="E36" s="328" t="s">
        <v>2067</v>
      </c>
      <c r="F36" s="328" t="s">
        <v>2144</v>
      </c>
      <c r="G36" s="328" t="s">
        <v>2069</v>
      </c>
      <c r="H36" s="328" t="s">
        <v>52</v>
      </c>
      <c r="I36" s="328"/>
      <c r="J36" s="328" t="s">
        <v>2069</v>
      </c>
      <c r="K36" s="328"/>
      <c r="L36" s="329" t="s">
        <v>56</v>
      </c>
      <c r="M36" s="329"/>
      <c r="N36" s="328" t="s">
        <v>118</v>
      </c>
      <c r="O36" s="328"/>
      <c r="P36" s="328"/>
      <c r="Q36" s="330" t="s">
        <v>58</v>
      </c>
      <c r="R36" s="328" t="s">
        <v>2069</v>
      </c>
      <c r="S36" s="328"/>
      <c r="T36" s="328" t="s">
        <v>2069</v>
      </c>
      <c r="U36" s="328"/>
      <c r="V36" s="328" t="s">
        <v>2069</v>
      </c>
      <c r="W36" s="328" t="s">
        <v>260</v>
      </c>
      <c r="X36" s="328" t="s">
        <v>2069</v>
      </c>
      <c r="Y36" s="328" t="s">
        <v>2069</v>
      </c>
      <c r="Z36" s="328"/>
      <c r="AA36" s="328"/>
      <c r="AB36" s="331" t="s">
        <v>156</v>
      </c>
      <c r="AC36" s="331"/>
      <c r="AD36" s="331"/>
      <c r="AE36" s="331"/>
      <c r="AF36" s="331"/>
      <c r="AG36" s="331"/>
      <c r="AH36" s="331"/>
      <c r="AI36" s="332"/>
      <c r="AJ36" s="333"/>
      <c r="AK36" s="334"/>
      <c r="AL36" s="333"/>
      <c r="AM36" s="331" t="s">
        <v>217</v>
      </c>
      <c r="AN36" s="331"/>
      <c r="AO36" s="331"/>
      <c r="AP36" s="331"/>
      <c r="AQ36" s="335"/>
      <c r="AR36" s="331"/>
      <c r="AS36" s="331"/>
      <c r="AT36" s="331"/>
      <c r="AU36" s="335"/>
      <c r="AV36" s="335"/>
      <c r="AW36" s="336"/>
      <c r="AX36" s="335"/>
    </row>
    <row r="37" spans="1:56" ht="51.75" hidden="1" customHeight="1">
      <c r="A37" s="328">
        <v>27</v>
      </c>
      <c r="B37" s="329">
        <v>46048.633923611102</v>
      </c>
      <c r="C37" s="329">
        <v>46048.648668981499</v>
      </c>
      <c r="D37" s="328" t="s">
        <v>735</v>
      </c>
      <c r="E37" s="328" t="s">
        <v>736</v>
      </c>
      <c r="F37" s="328" t="s">
        <v>2145</v>
      </c>
      <c r="G37" s="328" t="s">
        <v>1316</v>
      </c>
      <c r="H37" s="328" t="s">
        <v>52</v>
      </c>
      <c r="I37" s="328" t="s">
        <v>739</v>
      </c>
      <c r="J37" s="328" t="s">
        <v>1789</v>
      </c>
      <c r="K37" s="328"/>
      <c r="L37" s="329" t="s">
        <v>56</v>
      </c>
      <c r="M37" s="329">
        <v>46113</v>
      </c>
      <c r="N37" s="328" t="s">
        <v>57</v>
      </c>
      <c r="O37" s="328">
        <v>76553</v>
      </c>
      <c r="P37" s="328"/>
      <c r="Q37" s="330" t="s">
        <v>58</v>
      </c>
      <c r="R37" s="328" t="s">
        <v>1309</v>
      </c>
      <c r="S37" s="328"/>
      <c r="T37" s="328" t="s">
        <v>1310</v>
      </c>
      <c r="U37" s="328" t="s">
        <v>62</v>
      </c>
      <c r="V37" s="328" t="s">
        <v>750</v>
      </c>
      <c r="W37" s="328" t="s">
        <v>64</v>
      </c>
      <c r="X37" s="328" t="s">
        <v>86</v>
      </c>
      <c r="Y37" s="328" t="s">
        <v>1317</v>
      </c>
      <c r="Z37" s="328" t="s">
        <v>1318</v>
      </c>
      <c r="AA37" s="328"/>
      <c r="AB37" s="267" t="s">
        <v>860</v>
      </c>
      <c r="AC37" s="331"/>
      <c r="AD37" s="335"/>
      <c r="AE37" s="331" t="s">
        <v>3</v>
      </c>
      <c r="AF37" s="335"/>
      <c r="AG37" s="335"/>
      <c r="AH37" s="331" t="s">
        <v>1074</v>
      </c>
      <c r="AI37" s="332">
        <v>4500</v>
      </c>
      <c r="AJ37" s="333">
        <v>15975</v>
      </c>
      <c r="AK37" s="334" t="s">
        <v>1127</v>
      </c>
      <c r="AL37" s="333" t="s">
        <v>628</v>
      </c>
      <c r="AM37" s="331"/>
      <c r="AN37" s="331"/>
      <c r="AO37" s="331" t="s">
        <v>605</v>
      </c>
      <c r="AP37" s="331"/>
      <c r="AQ37" s="335"/>
      <c r="AR37" s="331"/>
      <c r="AS37" s="331" t="s">
        <v>260</v>
      </c>
      <c r="AT37" s="331"/>
      <c r="AU37" s="335"/>
      <c r="AV37" s="335"/>
      <c r="AW37" s="336"/>
      <c r="AX37" s="335" t="s">
        <v>2146</v>
      </c>
    </row>
    <row r="38" spans="1:56" ht="15" hidden="1" customHeight="1">
      <c r="A38" s="328">
        <v>108</v>
      </c>
      <c r="B38" s="329">
        <v>46133.503645833298</v>
      </c>
      <c r="C38" s="329">
        <v>46133.541018518503</v>
      </c>
      <c r="D38" s="328" t="s">
        <v>220</v>
      </c>
      <c r="E38" s="328" t="s">
        <v>221</v>
      </c>
      <c r="F38" s="328" t="s">
        <v>2147</v>
      </c>
      <c r="G38" s="328" t="s">
        <v>2148</v>
      </c>
      <c r="H38" s="328" t="s">
        <v>52</v>
      </c>
      <c r="I38" s="328" t="s">
        <v>224</v>
      </c>
      <c r="J38" s="328" t="s">
        <v>2149</v>
      </c>
      <c r="K38" s="328"/>
      <c r="L38" s="329" t="s">
        <v>226</v>
      </c>
      <c r="M38" s="329">
        <v>46188</v>
      </c>
      <c r="N38" s="328" t="s">
        <v>57</v>
      </c>
      <c r="O38" s="328">
        <v>0</v>
      </c>
      <c r="P38" s="328"/>
      <c r="Q38" s="356" t="s">
        <v>58</v>
      </c>
      <c r="R38" s="328" t="s">
        <v>2150</v>
      </c>
      <c r="S38" s="328"/>
      <c r="T38" s="328" t="s">
        <v>2151</v>
      </c>
      <c r="U38" s="328" t="s">
        <v>62</v>
      </c>
      <c r="V38" s="328" t="s">
        <v>63</v>
      </c>
      <c r="W38" s="328" t="s">
        <v>64</v>
      </c>
      <c r="X38" s="328" t="s">
        <v>65</v>
      </c>
      <c r="Y38" s="328" t="s">
        <v>2152</v>
      </c>
      <c r="Z38" s="328" t="s">
        <v>2153</v>
      </c>
      <c r="AA38" s="328"/>
      <c r="AB38" s="267" t="s">
        <v>860</v>
      </c>
      <c r="AC38" s="331" t="s">
        <v>69</v>
      </c>
      <c r="AD38" s="335">
        <v>46135</v>
      </c>
      <c r="AE38" s="331" t="s">
        <v>3</v>
      </c>
      <c r="AF38" s="335">
        <v>46135</v>
      </c>
      <c r="AG38" s="335">
        <v>46136</v>
      </c>
      <c r="AH38" s="331">
        <v>0.5</v>
      </c>
      <c r="AI38" s="332"/>
      <c r="AJ38" s="333">
        <v>0</v>
      </c>
      <c r="AK38" s="334"/>
      <c r="AL38" s="333" t="s">
        <v>216</v>
      </c>
      <c r="AM38" s="331" t="s">
        <v>2154</v>
      </c>
      <c r="AN38" s="331"/>
      <c r="AO38" s="331" t="s">
        <v>605</v>
      </c>
      <c r="AP38" s="331"/>
      <c r="AQ38" s="335" t="s">
        <v>260</v>
      </c>
      <c r="AR38" s="331"/>
      <c r="AS38" s="331" t="s">
        <v>1909</v>
      </c>
      <c r="AT38" s="331"/>
      <c r="AU38" s="335">
        <v>46167</v>
      </c>
      <c r="AV38" s="335">
        <v>46178</v>
      </c>
      <c r="AW38" s="336" t="s">
        <v>260</v>
      </c>
      <c r="AX38" s="335"/>
    </row>
    <row r="39" spans="1:56" ht="15" hidden="1" customHeight="1">
      <c r="A39" s="357">
        <v>47</v>
      </c>
      <c r="B39" s="329">
        <v>46059.417569444398</v>
      </c>
      <c r="C39" s="329">
        <v>46065.659872685203</v>
      </c>
      <c r="D39" s="328" t="s">
        <v>818</v>
      </c>
      <c r="E39" s="328" t="s">
        <v>819</v>
      </c>
      <c r="F39" s="328" t="s">
        <v>861</v>
      </c>
      <c r="G39" s="328" t="s">
        <v>862</v>
      </c>
      <c r="H39" s="328" t="s">
        <v>112</v>
      </c>
      <c r="I39" s="328" t="s">
        <v>113</v>
      </c>
      <c r="J39" s="328" t="s">
        <v>2155</v>
      </c>
      <c r="K39" s="328"/>
      <c r="L39" s="329" t="s">
        <v>56</v>
      </c>
      <c r="M39" s="329">
        <v>46447</v>
      </c>
      <c r="N39" s="328" t="s">
        <v>57</v>
      </c>
      <c r="O39" s="328"/>
      <c r="P39" s="328"/>
      <c r="Q39" s="356" t="s">
        <v>58</v>
      </c>
      <c r="R39" s="328" t="s">
        <v>864</v>
      </c>
      <c r="S39" s="328"/>
      <c r="T39" s="328" t="s">
        <v>865</v>
      </c>
      <c r="U39" s="328" t="s">
        <v>62</v>
      </c>
      <c r="V39" s="328" t="s">
        <v>872</v>
      </c>
      <c r="W39" s="328" t="s">
        <v>64</v>
      </c>
      <c r="X39" s="328" t="s">
        <v>103</v>
      </c>
      <c r="Y39" s="328" t="s">
        <v>874</v>
      </c>
      <c r="Z39" s="328" t="s">
        <v>875</v>
      </c>
      <c r="AA39" s="328"/>
      <c r="AB39" s="331" t="s">
        <v>68</v>
      </c>
      <c r="AC39" s="331"/>
      <c r="AD39" s="335"/>
      <c r="AE39" s="331" t="s">
        <v>4</v>
      </c>
      <c r="AF39" s="335"/>
      <c r="AG39" s="335"/>
      <c r="AH39" s="331">
        <v>1</v>
      </c>
      <c r="AI39" s="332">
        <v>0</v>
      </c>
      <c r="AJ39" s="333">
        <v>0</v>
      </c>
      <c r="AK39" s="334" t="s">
        <v>876</v>
      </c>
      <c r="AL39" s="333" t="s">
        <v>671</v>
      </c>
      <c r="AM39" s="331"/>
      <c r="AN39" s="331"/>
      <c r="AO39" s="331" t="s">
        <v>605</v>
      </c>
      <c r="AP39" s="331"/>
      <c r="AQ39" s="335" t="s">
        <v>260</v>
      </c>
      <c r="AR39" s="331"/>
      <c r="AS39" s="331" t="s">
        <v>1909</v>
      </c>
      <c r="AT39" s="331"/>
      <c r="AU39" s="335">
        <v>46127</v>
      </c>
      <c r="AV39" s="335">
        <v>46157</v>
      </c>
      <c r="AW39" s="336" t="s">
        <v>260</v>
      </c>
      <c r="AX39" s="335"/>
    </row>
    <row r="40" spans="1:56" ht="15" hidden="1" customHeight="1">
      <c r="A40" s="328">
        <v>99</v>
      </c>
      <c r="B40" s="329">
        <v>46127.32</v>
      </c>
      <c r="C40" s="329">
        <v>46127.3351273148</v>
      </c>
      <c r="D40" s="328" t="s">
        <v>220</v>
      </c>
      <c r="E40" s="328" t="s">
        <v>221</v>
      </c>
      <c r="F40" s="328" t="s">
        <v>2156</v>
      </c>
      <c r="G40" s="328" t="s">
        <v>2157</v>
      </c>
      <c r="H40" s="328" t="s">
        <v>52</v>
      </c>
      <c r="I40" s="328" t="s">
        <v>224</v>
      </c>
      <c r="J40" s="328" t="s">
        <v>2158</v>
      </c>
      <c r="K40" s="328"/>
      <c r="L40" s="329" t="s">
        <v>226</v>
      </c>
      <c r="M40" s="329">
        <v>46132</v>
      </c>
      <c r="N40" s="328" t="s">
        <v>57</v>
      </c>
      <c r="O40" s="328">
        <v>0</v>
      </c>
      <c r="P40" s="328"/>
      <c r="Q40" s="356" t="s">
        <v>522</v>
      </c>
      <c r="R40" s="328" t="s">
        <v>2159</v>
      </c>
      <c r="S40" s="328"/>
      <c r="T40" s="328" t="s">
        <v>2160</v>
      </c>
      <c r="U40" s="328" t="s">
        <v>62</v>
      </c>
      <c r="V40" s="328" t="s">
        <v>365</v>
      </c>
      <c r="W40" s="328" t="s">
        <v>64</v>
      </c>
      <c r="X40" s="328" t="s">
        <v>230</v>
      </c>
      <c r="Y40" s="328" t="s">
        <v>2161</v>
      </c>
      <c r="Z40" s="328" t="s">
        <v>2162</v>
      </c>
      <c r="AA40" s="328"/>
      <c r="AB40" s="331" t="s">
        <v>322</v>
      </c>
      <c r="AC40" s="331" t="s">
        <v>191</v>
      </c>
      <c r="AD40" s="335"/>
      <c r="AE40" s="331" t="s">
        <v>4</v>
      </c>
      <c r="AF40" s="335"/>
      <c r="AG40" s="335"/>
      <c r="AH40" s="331">
        <v>0.75</v>
      </c>
      <c r="AI40" s="332">
        <v>0</v>
      </c>
      <c r="AJ40" s="333">
        <v>0</v>
      </c>
      <c r="AK40" s="334"/>
      <c r="AL40" s="333" t="s">
        <v>216</v>
      </c>
      <c r="AM40" s="331" t="s">
        <v>1817</v>
      </c>
      <c r="AN40" s="331"/>
      <c r="AO40" s="331" t="s">
        <v>605</v>
      </c>
      <c r="AP40" s="331"/>
      <c r="AQ40" s="335" t="s">
        <v>260</v>
      </c>
      <c r="AR40" s="331" t="s">
        <v>2163</v>
      </c>
      <c r="AS40" s="331" t="s">
        <v>1909</v>
      </c>
      <c r="AT40" s="331"/>
      <c r="AU40" s="335">
        <v>46141</v>
      </c>
      <c r="AV40" s="335">
        <v>46157</v>
      </c>
      <c r="AW40" s="336" t="s">
        <v>260</v>
      </c>
      <c r="AX40" s="335"/>
    </row>
    <row r="41" spans="1:56" ht="15" hidden="1" customHeight="1">
      <c r="A41" s="328">
        <v>105</v>
      </c>
      <c r="B41" s="329">
        <v>46128.739814814799</v>
      </c>
      <c r="C41" s="329">
        <v>46132.560960648101</v>
      </c>
      <c r="D41" s="328" t="s">
        <v>220</v>
      </c>
      <c r="E41" s="328" t="s">
        <v>221</v>
      </c>
      <c r="F41" s="328" t="s">
        <v>2164</v>
      </c>
      <c r="G41" s="328" t="s">
        <v>2165</v>
      </c>
      <c r="H41" s="328" t="s">
        <v>112</v>
      </c>
      <c r="I41" s="328" t="s">
        <v>113</v>
      </c>
      <c r="J41" s="328" t="s">
        <v>2166</v>
      </c>
      <c r="K41" s="328"/>
      <c r="L41" s="329" t="s">
        <v>226</v>
      </c>
      <c r="M41" s="329">
        <v>46142</v>
      </c>
      <c r="N41" s="328" t="s">
        <v>57</v>
      </c>
      <c r="O41" s="328">
        <v>0</v>
      </c>
      <c r="P41" s="328"/>
      <c r="Q41" s="356" t="s">
        <v>58</v>
      </c>
      <c r="R41" s="328" t="s">
        <v>2167</v>
      </c>
      <c r="S41" s="328"/>
      <c r="T41" s="328" t="s">
        <v>2168</v>
      </c>
      <c r="U41" s="328" t="s">
        <v>62</v>
      </c>
      <c r="V41" s="328" t="s">
        <v>526</v>
      </c>
      <c r="W41" s="328" t="s">
        <v>260</v>
      </c>
      <c r="X41" s="328" t="s">
        <v>65</v>
      </c>
      <c r="Y41" s="328" t="s">
        <v>2169</v>
      </c>
      <c r="Z41" s="328" t="s">
        <v>2091</v>
      </c>
      <c r="AA41" s="328"/>
      <c r="AB41" s="267" t="s">
        <v>860</v>
      </c>
      <c r="AC41" s="331" t="s">
        <v>69</v>
      </c>
      <c r="AD41" s="335">
        <v>46135</v>
      </c>
      <c r="AE41" s="331" t="s">
        <v>3</v>
      </c>
      <c r="AF41" s="335">
        <v>46132</v>
      </c>
      <c r="AG41" s="335">
        <v>46135</v>
      </c>
      <c r="AH41" s="331">
        <v>2.2000000000000002</v>
      </c>
      <c r="AI41" s="332"/>
      <c r="AJ41" s="333">
        <v>0</v>
      </c>
      <c r="AK41" s="334" t="s">
        <v>2170</v>
      </c>
      <c r="AL41" s="333" t="s">
        <v>216</v>
      </c>
      <c r="AM41" s="331" t="s">
        <v>1963</v>
      </c>
      <c r="AN41" s="331"/>
      <c r="AO41" s="331" t="s">
        <v>605</v>
      </c>
      <c r="AP41" s="331"/>
      <c r="AQ41" s="335" t="s">
        <v>260</v>
      </c>
      <c r="AR41" s="331"/>
      <c r="AS41" s="331" t="s">
        <v>1909</v>
      </c>
      <c r="AT41" s="331"/>
      <c r="AU41" s="335">
        <v>46146</v>
      </c>
      <c r="AV41" s="335">
        <v>46223</v>
      </c>
      <c r="AW41" s="336" t="s">
        <v>260</v>
      </c>
      <c r="AX41" s="335"/>
    </row>
    <row r="42" spans="1:56" ht="15" hidden="1" customHeight="1">
      <c r="A42" s="328">
        <v>78</v>
      </c>
      <c r="B42" s="329">
        <v>46098.392349537004</v>
      </c>
      <c r="C42" s="329">
        <v>46101.478703703702</v>
      </c>
      <c r="D42" s="328" t="s">
        <v>1597</v>
      </c>
      <c r="E42" s="328" t="s">
        <v>221</v>
      </c>
      <c r="F42" s="328" t="s">
        <v>2171</v>
      </c>
      <c r="G42" s="328" t="s">
        <v>1244</v>
      </c>
      <c r="H42" s="328" t="s">
        <v>112</v>
      </c>
      <c r="I42" s="328" t="s">
        <v>224</v>
      </c>
      <c r="J42" s="328" t="s">
        <v>2172</v>
      </c>
      <c r="K42" s="328"/>
      <c r="L42" s="329" t="s">
        <v>226</v>
      </c>
      <c r="M42" s="329">
        <v>46234</v>
      </c>
      <c r="N42" s="328" t="s">
        <v>57</v>
      </c>
      <c r="O42" s="328">
        <v>0</v>
      </c>
      <c r="P42" s="328"/>
      <c r="Q42" s="356" t="s">
        <v>58</v>
      </c>
      <c r="R42" s="328" t="s">
        <v>1236</v>
      </c>
      <c r="S42" s="328"/>
      <c r="T42" s="328" t="s">
        <v>2173</v>
      </c>
      <c r="U42" s="328" t="s">
        <v>162</v>
      </c>
      <c r="V42" s="328" t="s">
        <v>678</v>
      </c>
      <c r="W42" s="328" t="s">
        <v>260</v>
      </c>
      <c r="X42" s="328" t="s">
        <v>230</v>
      </c>
      <c r="Y42" s="328" t="s">
        <v>2174</v>
      </c>
      <c r="Z42" s="328" t="s">
        <v>2175</v>
      </c>
      <c r="AA42" s="328"/>
      <c r="AB42" s="331" t="s">
        <v>2176</v>
      </c>
      <c r="AC42" s="331" t="s">
        <v>191</v>
      </c>
      <c r="AD42" s="335">
        <v>46160</v>
      </c>
      <c r="AE42" s="331" t="s">
        <v>4</v>
      </c>
      <c r="AF42" s="335">
        <v>46160</v>
      </c>
      <c r="AG42" s="335">
        <v>46164</v>
      </c>
      <c r="AH42" s="331">
        <v>0.35</v>
      </c>
      <c r="AI42" s="332">
        <v>0</v>
      </c>
      <c r="AJ42" s="333">
        <v>0</v>
      </c>
      <c r="AK42" s="334" t="s">
        <v>2177</v>
      </c>
      <c r="AL42" s="333" t="s">
        <v>216</v>
      </c>
      <c r="AM42" s="331" t="s">
        <v>1817</v>
      </c>
      <c r="AN42" s="331" t="s">
        <v>57</v>
      </c>
      <c r="AO42" s="331" t="s">
        <v>605</v>
      </c>
      <c r="AP42" s="331"/>
      <c r="AQ42" s="335" t="s">
        <v>260</v>
      </c>
      <c r="AR42" s="331"/>
      <c r="AS42" s="331" t="s">
        <v>1909</v>
      </c>
      <c r="AT42" s="331"/>
      <c r="AU42" s="335">
        <v>46160</v>
      </c>
      <c r="AV42" s="335">
        <v>46167</v>
      </c>
      <c r="AW42" s="336" t="s">
        <v>260</v>
      </c>
      <c r="AX42" s="335"/>
    </row>
    <row r="43" spans="1:56" ht="15" hidden="1" customHeight="1">
      <c r="A43" s="328">
        <v>127</v>
      </c>
      <c r="B43" s="329">
        <v>46141.881620370397</v>
      </c>
      <c r="C43" s="329">
        <v>46141.898564814801</v>
      </c>
      <c r="D43" s="328" t="s">
        <v>48</v>
      </c>
      <c r="E43" s="328" t="s">
        <v>49</v>
      </c>
      <c r="F43" s="328" t="s">
        <v>2178</v>
      </c>
      <c r="G43" s="328" t="s">
        <v>2179</v>
      </c>
      <c r="H43" s="328" t="s">
        <v>430</v>
      </c>
      <c r="I43" s="328" t="s">
        <v>645</v>
      </c>
      <c r="J43" s="328" t="s">
        <v>2180</v>
      </c>
      <c r="K43" s="328"/>
      <c r="L43" s="329" t="s">
        <v>56</v>
      </c>
      <c r="M43" s="329">
        <v>46172</v>
      </c>
      <c r="N43" s="328" t="s">
        <v>57</v>
      </c>
      <c r="O43" s="328">
        <v>0</v>
      </c>
      <c r="P43" s="328"/>
      <c r="Q43" s="356" t="s">
        <v>58</v>
      </c>
      <c r="R43" s="328" t="s">
        <v>2181</v>
      </c>
      <c r="S43" s="328"/>
      <c r="T43" s="328" t="s">
        <v>2182</v>
      </c>
      <c r="U43" s="328" t="s">
        <v>162</v>
      </c>
      <c r="V43" s="328" t="s">
        <v>63</v>
      </c>
      <c r="W43" s="328" t="s">
        <v>64</v>
      </c>
      <c r="X43" s="328" t="s">
        <v>230</v>
      </c>
      <c r="Y43" s="328" t="s">
        <v>2183</v>
      </c>
      <c r="Z43" s="328">
        <v>0</v>
      </c>
      <c r="AA43" s="328"/>
      <c r="AB43" s="331" t="s">
        <v>165</v>
      </c>
      <c r="AC43" s="331" t="s">
        <v>69</v>
      </c>
      <c r="AD43" s="335">
        <v>46142</v>
      </c>
      <c r="AE43" s="331" t="s">
        <v>3</v>
      </c>
      <c r="AF43" s="335">
        <v>46149</v>
      </c>
      <c r="AG43" s="335">
        <v>46149</v>
      </c>
      <c r="AH43" s="331">
        <v>1.5</v>
      </c>
      <c r="AI43" s="332"/>
      <c r="AJ43" s="333">
        <v>0</v>
      </c>
      <c r="AK43" s="334" t="s">
        <v>2184</v>
      </c>
      <c r="AL43" s="333" t="s">
        <v>671</v>
      </c>
      <c r="AM43" s="331" t="s">
        <v>518</v>
      </c>
      <c r="AN43" s="331" t="s">
        <v>64</v>
      </c>
      <c r="AO43" s="331" t="s">
        <v>605</v>
      </c>
      <c r="AP43" s="331" t="s">
        <v>2185</v>
      </c>
      <c r="AQ43" s="335" t="s">
        <v>260</v>
      </c>
      <c r="AR43" s="331"/>
      <c r="AS43" s="331" t="s">
        <v>1909</v>
      </c>
      <c r="AT43" s="331"/>
      <c r="AU43" s="335">
        <v>46161</v>
      </c>
      <c r="AV43" s="335">
        <v>46203</v>
      </c>
      <c r="AW43" s="336" t="s">
        <v>260</v>
      </c>
      <c r="AX43" s="335"/>
    </row>
    <row r="44" spans="1:56" ht="15" hidden="1" customHeight="1">
      <c r="A44" s="328">
        <v>84</v>
      </c>
      <c r="B44" s="329">
        <v>46106.080833333297</v>
      </c>
      <c r="C44" s="329">
        <v>46106.090543981503</v>
      </c>
      <c r="D44" s="328" t="s">
        <v>757</v>
      </c>
      <c r="E44" s="328" t="s">
        <v>758</v>
      </c>
      <c r="F44" s="328" t="s">
        <v>2186</v>
      </c>
      <c r="G44" s="328" t="s">
        <v>2187</v>
      </c>
      <c r="H44" s="328" t="s">
        <v>52</v>
      </c>
      <c r="I44" s="328" t="s">
        <v>204</v>
      </c>
      <c r="J44" s="328" t="s">
        <v>2188</v>
      </c>
      <c r="K44" s="328"/>
      <c r="L44" s="329" t="s">
        <v>1796</v>
      </c>
      <c r="M44" s="329">
        <v>46127</v>
      </c>
      <c r="N44" s="328" t="s">
        <v>57</v>
      </c>
      <c r="O44" s="328">
        <v>0</v>
      </c>
      <c r="P44" s="328"/>
      <c r="Q44" s="356" t="s">
        <v>58</v>
      </c>
      <c r="R44" s="328" t="s">
        <v>2189</v>
      </c>
      <c r="S44" s="328"/>
      <c r="T44" s="328" t="s">
        <v>435</v>
      </c>
      <c r="U44" s="328" t="s">
        <v>162</v>
      </c>
      <c r="V44" s="328" t="s">
        <v>750</v>
      </c>
      <c r="W44" s="328" t="s">
        <v>64</v>
      </c>
      <c r="X44" s="328" t="s">
        <v>65</v>
      </c>
      <c r="Y44" s="328" t="s">
        <v>2190</v>
      </c>
      <c r="Z44" s="328" t="s">
        <v>2191</v>
      </c>
      <c r="AA44" s="328"/>
      <c r="AB44" s="331" t="s">
        <v>1853</v>
      </c>
      <c r="AC44" s="331" t="s">
        <v>191</v>
      </c>
      <c r="AD44" s="335"/>
      <c r="AE44" s="331" t="s">
        <v>2134</v>
      </c>
      <c r="AF44" s="335"/>
      <c r="AG44" s="335"/>
      <c r="AH44" s="331">
        <v>1</v>
      </c>
      <c r="AI44" s="332"/>
      <c r="AJ44" s="333">
        <v>2500</v>
      </c>
      <c r="AK44" s="334" t="s">
        <v>2192</v>
      </c>
      <c r="AL44" s="333" t="s">
        <v>1855</v>
      </c>
      <c r="AM44" s="331" t="s">
        <v>1803</v>
      </c>
      <c r="AN44" s="331"/>
      <c r="AO44" s="331" t="s">
        <v>605</v>
      </c>
      <c r="AP44" s="331"/>
      <c r="AQ44" s="335" t="s">
        <v>1804</v>
      </c>
      <c r="AR44" s="331" t="s">
        <v>1805</v>
      </c>
      <c r="AS44" s="331" t="s">
        <v>2193</v>
      </c>
      <c r="AT44" s="331"/>
      <c r="AU44" s="335">
        <v>46162</v>
      </c>
      <c r="AV44" s="335">
        <v>46185</v>
      </c>
      <c r="AW44" s="336" t="s">
        <v>1804</v>
      </c>
      <c r="AX44" s="335"/>
    </row>
    <row r="45" spans="1:56" ht="15" hidden="1" customHeight="1">
      <c r="A45" s="328">
        <v>102</v>
      </c>
      <c r="B45" s="329">
        <v>46127.484085648102</v>
      </c>
      <c r="C45" s="329">
        <v>46127.664236111101</v>
      </c>
      <c r="D45" s="328" t="s">
        <v>220</v>
      </c>
      <c r="E45" s="328" t="s">
        <v>221</v>
      </c>
      <c r="F45" s="328" t="s">
        <v>2194</v>
      </c>
      <c r="G45" s="328" t="s">
        <v>2195</v>
      </c>
      <c r="H45" s="328" t="s">
        <v>112</v>
      </c>
      <c r="I45" s="328" t="s">
        <v>113</v>
      </c>
      <c r="J45" s="328" t="s">
        <v>2196</v>
      </c>
      <c r="K45" s="328"/>
      <c r="L45" s="329" t="s">
        <v>226</v>
      </c>
      <c r="M45" s="329">
        <v>46204</v>
      </c>
      <c r="N45" s="328" t="s">
        <v>57</v>
      </c>
      <c r="O45" s="328">
        <v>0</v>
      </c>
      <c r="P45" s="328"/>
      <c r="Q45" s="356" t="s">
        <v>58</v>
      </c>
      <c r="R45" s="328" t="s">
        <v>2197</v>
      </c>
      <c r="S45" s="328"/>
      <c r="T45" s="328" t="s">
        <v>2198</v>
      </c>
      <c r="U45" s="328" t="s">
        <v>162</v>
      </c>
      <c r="V45" s="328" t="s">
        <v>63</v>
      </c>
      <c r="W45" s="328" t="s">
        <v>64</v>
      </c>
      <c r="X45" s="328" t="s">
        <v>230</v>
      </c>
      <c r="Y45" s="328" t="s">
        <v>2199</v>
      </c>
      <c r="Z45" s="328" t="s">
        <v>2200</v>
      </c>
      <c r="AA45" s="328"/>
      <c r="AB45" s="267" t="s">
        <v>860</v>
      </c>
      <c r="AC45" s="331" t="s">
        <v>191</v>
      </c>
      <c r="AD45" s="335"/>
      <c r="AE45" s="331" t="s">
        <v>3</v>
      </c>
      <c r="AF45" s="335"/>
      <c r="AG45" s="335">
        <v>46135</v>
      </c>
      <c r="AH45" s="331">
        <v>1</v>
      </c>
      <c r="AI45" s="332"/>
      <c r="AJ45" s="333">
        <v>0</v>
      </c>
      <c r="AK45" s="334" t="s">
        <v>2201</v>
      </c>
      <c r="AL45" s="333" t="s">
        <v>216</v>
      </c>
      <c r="AM45" s="331" t="s">
        <v>1963</v>
      </c>
      <c r="AN45" s="331"/>
      <c r="AO45" s="331" t="s">
        <v>605</v>
      </c>
      <c r="AP45" s="331"/>
      <c r="AQ45" s="335" t="s">
        <v>260</v>
      </c>
      <c r="AR45" s="331"/>
      <c r="AS45" s="331" t="s">
        <v>1909</v>
      </c>
      <c r="AT45" s="331"/>
      <c r="AU45" s="335">
        <v>46174</v>
      </c>
      <c r="AV45" s="335">
        <v>46202</v>
      </c>
      <c r="AW45" s="336" t="s">
        <v>260</v>
      </c>
      <c r="AX45" s="335"/>
    </row>
    <row r="46" spans="1:56" ht="15" hidden="1" customHeight="1">
      <c r="A46" s="328">
        <v>109</v>
      </c>
      <c r="B46" s="329">
        <v>46133.621030092596</v>
      </c>
      <c r="C46" s="329">
        <v>46133.642569444397</v>
      </c>
      <c r="D46" s="328" t="s">
        <v>200</v>
      </c>
      <c r="E46" s="328" t="s">
        <v>201</v>
      </c>
      <c r="F46" s="328" t="s">
        <v>2202</v>
      </c>
      <c r="G46" s="328" t="s">
        <v>2203</v>
      </c>
      <c r="H46" s="328" t="s">
        <v>52</v>
      </c>
      <c r="I46" s="328" t="s">
        <v>204</v>
      </c>
      <c r="J46" s="328" t="s">
        <v>2204</v>
      </c>
      <c r="K46" s="328"/>
      <c r="L46" s="329" t="s">
        <v>206</v>
      </c>
      <c r="M46" s="329">
        <v>46157</v>
      </c>
      <c r="N46" s="328" t="s">
        <v>57</v>
      </c>
      <c r="O46" s="328">
        <v>0</v>
      </c>
      <c r="P46" s="328"/>
      <c r="Q46" s="356" t="s">
        <v>58</v>
      </c>
      <c r="R46" s="328" t="s">
        <v>2205</v>
      </c>
      <c r="S46" s="328"/>
      <c r="T46" s="328" t="s">
        <v>2206</v>
      </c>
      <c r="U46" s="328" t="s">
        <v>162</v>
      </c>
      <c r="V46" s="328" t="s">
        <v>211</v>
      </c>
      <c r="W46" s="328" t="s">
        <v>64</v>
      </c>
      <c r="X46" s="328" t="s">
        <v>65</v>
      </c>
      <c r="Y46" s="328" t="s">
        <v>2207</v>
      </c>
      <c r="Z46" s="328">
        <v>0</v>
      </c>
      <c r="AA46" s="328"/>
      <c r="AB46" s="331" t="s">
        <v>1853</v>
      </c>
      <c r="AC46" s="331" t="s">
        <v>69</v>
      </c>
      <c r="AD46" s="335">
        <v>46135</v>
      </c>
      <c r="AE46" s="331" t="s">
        <v>3</v>
      </c>
      <c r="AF46" s="335"/>
      <c r="AG46" s="335"/>
      <c r="AH46" s="331">
        <v>1</v>
      </c>
      <c r="AI46" s="332">
        <v>0</v>
      </c>
      <c r="AJ46" s="333">
        <v>0</v>
      </c>
      <c r="AK46" s="334" t="s">
        <v>2208</v>
      </c>
      <c r="AL46" s="333" t="s">
        <v>216</v>
      </c>
      <c r="AM46" s="331" t="s">
        <v>1803</v>
      </c>
      <c r="AN46" s="331" t="s">
        <v>118</v>
      </c>
      <c r="AO46" s="331" t="s">
        <v>605</v>
      </c>
      <c r="AP46" s="331" t="s">
        <v>2209</v>
      </c>
      <c r="AQ46" s="335" t="s">
        <v>1804</v>
      </c>
      <c r="AR46" s="331" t="s">
        <v>2210</v>
      </c>
      <c r="AS46" s="331" t="s">
        <v>1909</v>
      </c>
      <c r="AT46" s="331"/>
      <c r="AU46" s="335">
        <v>46174</v>
      </c>
      <c r="AV46" s="335">
        <v>46185</v>
      </c>
      <c r="AW46" s="336" t="s">
        <v>260</v>
      </c>
      <c r="AX46" s="335"/>
    </row>
    <row r="47" spans="1:56" ht="15" hidden="1" customHeight="1">
      <c r="A47" s="328">
        <v>110</v>
      </c>
      <c r="B47" s="329">
        <v>46133.981412036999</v>
      </c>
      <c r="C47" s="329">
        <v>46133.989837963003</v>
      </c>
      <c r="D47" s="328" t="s">
        <v>200</v>
      </c>
      <c r="E47" s="328" t="s">
        <v>201</v>
      </c>
      <c r="F47" s="328" t="s">
        <v>2211</v>
      </c>
      <c r="G47" s="328" t="s">
        <v>2212</v>
      </c>
      <c r="H47" s="328" t="s">
        <v>52</v>
      </c>
      <c r="I47" s="328" t="s">
        <v>204</v>
      </c>
      <c r="J47" s="328" t="s">
        <v>1566</v>
      </c>
      <c r="K47" s="328"/>
      <c r="L47" s="329" t="s">
        <v>206</v>
      </c>
      <c r="M47" s="329">
        <v>46157</v>
      </c>
      <c r="N47" s="328" t="s">
        <v>57</v>
      </c>
      <c r="O47" s="328">
        <v>0</v>
      </c>
      <c r="P47" s="328"/>
      <c r="Q47" s="356" t="s">
        <v>58</v>
      </c>
      <c r="R47" s="328" t="s">
        <v>2212</v>
      </c>
      <c r="S47" s="328"/>
      <c r="T47" s="328" t="s">
        <v>2213</v>
      </c>
      <c r="U47" s="328" t="s">
        <v>162</v>
      </c>
      <c r="V47" s="328" t="s">
        <v>211</v>
      </c>
      <c r="W47" s="328" t="s">
        <v>64</v>
      </c>
      <c r="X47" s="328" t="s">
        <v>65</v>
      </c>
      <c r="Y47" s="328" t="s">
        <v>2214</v>
      </c>
      <c r="Z47" s="328">
        <v>0</v>
      </c>
      <c r="AA47" s="328"/>
      <c r="AB47" s="331" t="s">
        <v>1853</v>
      </c>
      <c r="AC47" s="331" t="s">
        <v>69</v>
      </c>
      <c r="AD47" s="335">
        <v>46135</v>
      </c>
      <c r="AE47" s="331" t="s">
        <v>3</v>
      </c>
      <c r="AF47" s="335"/>
      <c r="AG47" s="335"/>
      <c r="AH47" s="331">
        <v>1</v>
      </c>
      <c r="AI47" s="332">
        <v>0</v>
      </c>
      <c r="AJ47" s="333">
        <v>0</v>
      </c>
      <c r="AK47" s="334" t="s">
        <v>2215</v>
      </c>
      <c r="AL47" s="333" t="s">
        <v>216</v>
      </c>
      <c r="AM47" s="331" t="s">
        <v>1803</v>
      </c>
      <c r="AN47" s="331" t="s">
        <v>118</v>
      </c>
      <c r="AO47" s="331" t="s">
        <v>605</v>
      </c>
      <c r="AP47" s="331" t="s">
        <v>2209</v>
      </c>
      <c r="AQ47" s="335" t="s">
        <v>1804</v>
      </c>
      <c r="AR47" s="331" t="s">
        <v>2210</v>
      </c>
      <c r="AS47" s="331" t="s">
        <v>1909</v>
      </c>
      <c r="AT47" s="331"/>
      <c r="AU47" s="335">
        <v>46188</v>
      </c>
      <c r="AV47" s="335">
        <v>46206</v>
      </c>
      <c r="AW47" s="336" t="s">
        <v>260</v>
      </c>
      <c r="AX47" s="335"/>
    </row>
    <row r="48" spans="1:56" ht="15" hidden="1" customHeight="1">
      <c r="A48" s="328">
        <v>112</v>
      </c>
      <c r="B48" s="329">
        <v>46135.002974536997</v>
      </c>
      <c r="C48" s="329">
        <v>46135.0083101852</v>
      </c>
      <c r="D48" s="328" t="s">
        <v>200</v>
      </c>
      <c r="E48" s="328" t="s">
        <v>201</v>
      </c>
      <c r="F48" s="328" t="s">
        <v>2216</v>
      </c>
      <c r="G48" s="328" t="s">
        <v>2217</v>
      </c>
      <c r="H48" s="328" t="s">
        <v>76</v>
      </c>
      <c r="I48" s="328" t="s">
        <v>204</v>
      </c>
      <c r="J48" s="328" t="s">
        <v>348</v>
      </c>
      <c r="K48" s="328"/>
      <c r="L48" s="329" t="s">
        <v>206</v>
      </c>
      <c r="M48" s="329">
        <v>46157</v>
      </c>
      <c r="N48" s="328" t="s">
        <v>57</v>
      </c>
      <c r="O48" s="328">
        <v>0</v>
      </c>
      <c r="P48" s="328"/>
      <c r="Q48" s="356" t="s">
        <v>58</v>
      </c>
      <c r="R48" s="328" t="s">
        <v>2217</v>
      </c>
      <c r="S48" s="328"/>
      <c r="T48" s="328" t="s">
        <v>2217</v>
      </c>
      <c r="U48" s="328" t="s">
        <v>162</v>
      </c>
      <c r="V48" s="328" t="s">
        <v>63</v>
      </c>
      <c r="W48" s="328" t="s">
        <v>64</v>
      </c>
      <c r="X48" s="328" t="s">
        <v>65</v>
      </c>
      <c r="Y48" s="328" t="s">
        <v>2218</v>
      </c>
      <c r="Z48" s="328" t="s">
        <v>2219</v>
      </c>
      <c r="AA48" s="328"/>
      <c r="AB48" s="331" t="s">
        <v>1853</v>
      </c>
      <c r="AC48" s="331" t="s">
        <v>69</v>
      </c>
      <c r="AD48" s="335">
        <v>46142</v>
      </c>
      <c r="AE48" s="331" t="s">
        <v>3</v>
      </c>
      <c r="AF48" s="335"/>
      <c r="AG48" s="335"/>
      <c r="AH48" s="331" t="s">
        <v>2220</v>
      </c>
      <c r="AI48" s="332" t="s">
        <v>2221</v>
      </c>
      <c r="AJ48" s="333">
        <v>0</v>
      </c>
      <c r="AK48" s="334" t="s">
        <v>2222</v>
      </c>
      <c r="AL48" s="333" t="s">
        <v>216</v>
      </c>
      <c r="AM48" s="331" t="s">
        <v>1803</v>
      </c>
      <c r="AN48" s="331" t="s">
        <v>118</v>
      </c>
      <c r="AO48" s="331" t="s">
        <v>605</v>
      </c>
      <c r="AP48" s="331"/>
      <c r="AQ48" s="335" t="s">
        <v>1804</v>
      </c>
      <c r="AR48" s="331" t="s">
        <v>2210</v>
      </c>
      <c r="AS48" s="331" t="s">
        <v>1909</v>
      </c>
      <c r="AT48" s="331"/>
      <c r="AU48" s="335">
        <v>46174</v>
      </c>
      <c r="AV48" s="335">
        <v>46185</v>
      </c>
      <c r="AW48" s="336" t="s">
        <v>260</v>
      </c>
      <c r="AX48" s="335"/>
    </row>
    <row r="49" spans="1:50" ht="44.25" hidden="1" customHeight="1">
      <c r="A49" s="328">
        <v>167</v>
      </c>
      <c r="B49" s="329">
        <v>46161.420833333301</v>
      </c>
      <c r="C49" s="329">
        <v>46161.441134259301</v>
      </c>
      <c r="D49" s="328" t="s">
        <v>1896</v>
      </c>
      <c r="E49" s="328" t="s">
        <v>1897</v>
      </c>
      <c r="F49" s="328" t="s">
        <v>2223</v>
      </c>
      <c r="G49" s="328" t="s">
        <v>2224</v>
      </c>
      <c r="H49" s="328" t="s">
        <v>52</v>
      </c>
      <c r="I49" s="328" t="s">
        <v>204</v>
      </c>
      <c r="J49" s="328" t="s">
        <v>348</v>
      </c>
      <c r="K49" s="328" t="s">
        <v>2225</v>
      </c>
      <c r="L49" s="329" t="s">
        <v>1902</v>
      </c>
      <c r="M49" s="329">
        <v>46164</v>
      </c>
      <c r="N49" s="328" t="s">
        <v>57</v>
      </c>
      <c r="O49" s="328">
        <v>0</v>
      </c>
      <c r="P49" s="328">
        <v>0</v>
      </c>
      <c r="Q49" s="356" t="s">
        <v>58</v>
      </c>
      <c r="R49" s="328" t="s">
        <v>2226</v>
      </c>
      <c r="S49" s="328">
        <v>0</v>
      </c>
      <c r="T49" s="328" t="s">
        <v>2227</v>
      </c>
      <c r="U49" s="328" t="s">
        <v>162</v>
      </c>
      <c r="V49" s="328" t="s">
        <v>63</v>
      </c>
      <c r="W49" s="328" t="s">
        <v>57</v>
      </c>
      <c r="X49" s="328" t="s">
        <v>65</v>
      </c>
      <c r="Y49" s="328" t="s">
        <v>2228</v>
      </c>
      <c r="Z49" s="328" t="s">
        <v>2229</v>
      </c>
      <c r="AA49" s="328"/>
      <c r="AB49" s="267" t="s">
        <v>860</v>
      </c>
      <c r="AC49" s="331" t="s">
        <v>69</v>
      </c>
      <c r="AD49" s="335">
        <v>46163</v>
      </c>
      <c r="AE49" s="331" t="s">
        <v>4</v>
      </c>
      <c r="AF49" s="335">
        <v>46162</v>
      </c>
      <c r="AG49" s="335">
        <v>46164</v>
      </c>
      <c r="AH49" s="331">
        <v>0.5</v>
      </c>
      <c r="AI49" s="332"/>
      <c r="AJ49" s="333"/>
      <c r="AK49" s="334"/>
      <c r="AL49" s="333" t="s">
        <v>671</v>
      </c>
      <c r="AM49" s="331" t="s">
        <v>518</v>
      </c>
      <c r="AN49" s="331" t="s">
        <v>118</v>
      </c>
      <c r="AO49" s="331" t="s">
        <v>605</v>
      </c>
      <c r="AP49" s="331"/>
      <c r="AQ49" s="335" t="s">
        <v>260</v>
      </c>
      <c r="AR49" s="331"/>
      <c r="AS49" s="331" t="s">
        <v>1909</v>
      </c>
      <c r="AT49" s="331"/>
      <c r="AU49" s="335">
        <v>46174</v>
      </c>
      <c r="AV49" s="335">
        <v>46185</v>
      </c>
      <c r="AW49" s="336" t="s">
        <v>260</v>
      </c>
      <c r="AX49" s="335"/>
    </row>
    <row r="50" spans="1:50" ht="30.75" hidden="1" customHeight="1">
      <c r="A50" s="357">
        <v>93</v>
      </c>
      <c r="B50" s="329">
        <v>46118.532442129603</v>
      </c>
      <c r="C50" s="329">
        <v>46118.569224537001</v>
      </c>
      <c r="D50" s="328" t="s">
        <v>606</v>
      </c>
      <c r="E50" s="328" t="s">
        <v>607</v>
      </c>
      <c r="F50" s="328" t="s">
        <v>2230</v>
      </c>
      <c r="G50" s="328" t="s">
        <v>2231</v>
      </c>
      <c r="H50" s="328" t="s">
        <v>52</v>
      </c>
      <c r="I50" s="328" t="s">
        <v>335</v>
      </c>
      <c r="J50" s="328" t="s">
        <v>2232</v>
      </c>
      <c r="K50" s="328"/>
      <c r="L50" s="329" t="s">
        <v>296</v>
      </c>
      <c r="M50" s="329">
        <v>46188</v>
      </c>
      <c r="N50" s="328" t="s">
        <v>57</v>
      </c>
      <c r="O50" s="328">
        <v>0</v>
      </c>
      <c r="P50" s="328"/>
      <c r="Q50" s="356" t="s">
        <v>58</v>
      </c>
      <c r="R50" s="328" t="s">
        <v>2233</v>
      </c>
      <c r="S50" s="328"/>
      <c r="T50" s="328" t="s">
        <v>2234</v>
      </c>
      <c r="U50" s="328" t="s">
        <v>162</v>
      </c>
      <c r="V50" s="328" t="s">
        <v>678</v>
      </c>
      <c r="W50" s="328" t="s">
        <v>64</v>
      </c>
      <c r="X50" s="328" t="s">
        <v>65</v>
      </c>
      <c r="Y50" s="328" t="s">
        <v>2235</v>
      </c>
      <c r="Z50" s="328">
        <v>0</v>
      </c>
      <c r="AA50" s="328"/>
      <c r="AB50" s="267" t="s">
        <v>322</v>
      </c>
      <c r="AC50" s="331" t="s">
        <v>243</v>
      </c>
      <c r="AD50" s="335"/>
      <c r="AE50" s="331" t="s">
        <v>1725</v>
      </c>
      <c r="AF50" s="335"/>
      <c r="AG50" s="335"/>
      <c r="AH50" s="331">
        <v>1.5</v>
      </c>
      <c r="AI50" s="332">
        <v>0</v>
      </c>
      <c r="AJ50" s="333">
        <v>0</v>
      </c>
      <c r="AK50" s="334" t="s">
        <v>2236</v>
      </c>
      <c r="AL50" s="333" t="s">
        <v>216</v>
      </c>
      <c r="AM50" s="331"/>
      <c r="AN50" s="331"/>
      <c r="AO50" s="331" t="s">
        <v>605</v>
      </c>
      <c r="AP50" s="331"/>
      <c r="AQ50" s="335" t="s">
        <v>260</v>
      </c>
      <c r="AR50" s="331"/>
      <c r="AS50" s="331" t="s">
        <v>1909</v>
      </c>
      <c r="AT50" s="331"/>
      <c r="AU50" s="335">
        <v>46266</v>
      </c>
      <c r="AV50" s="335">
        <v>46325</v>
      </c>
      <c r="AW50" s="336" t="s">
        <v>260</v>
      </c>
      <c r="AX50" s="335"/>
    </row>
    <row r="51" spans="1:50" ht="42" hidden="1" customHeight="1">
      <c r="A51" s="328">
        <v>137</v>
      </c>
      <c r="B51" s="329">
        <v>46148.786018518498</v>
      </c>
      <c r="C51" s="329">
        <v>46148.8413657407</v>
      </c>
      <c r="D51" s="328" t="s">
        <v>2237</v>
      </c>
      <c r="E51" s="328" t="s">
        <v>2238</v>
      </c>
      <c r="F51" s="328" t="s">
        <v>2239</v>
      </c>
      <c r="G51" s="328" t="s">
        <v>2240</v>
      </c>
      <c r="H51" s="328" t="s">
        <v>430</v>
      </c>
      <c r="I51" s="328" t="s">
        <v>335</v>
      </c>
      <c r="J51" s="328" t="s">
        <v>2241</v>
      </c>
      <c r="K51" s="328" t="s">
        <v>2242</v>
      </c>
      <c r="L51" s="329" t="s">
        <v>296</v>
      </c>
      <c r="M51" s="329">
        <v>46174</v>
      </c>
      <c r="N51" s="328" t="s">
        <v>57</v>
      </c>
      <c r="O51" s="328">
        <v>0</v>
      </c>
      <c r="P51" s="328"/>
      <c r="Q51" s="356" t="s">
        <v>58</v>
      </c>
      <c r="R51" s="328" t="s">
        <v>2243</v>
      </c>
      <c r="S51" s="328"/>
      <c r="T51" s="328" t="s">
        <v>2244</v>
      </c>
      <c r="U51" s="328" t="s">
        <v>162</v>
      </c>
      <c r="V51" s="328" t="s">
        <v>63</v>
      </c>
      <c r="W51" s="328" t="s">
        <v>64</v>
      </c>
      <c r="X51" s="328" t="s">
        <v>65</v>
      </c>
      <c r="Y51" s="328" t="s">
        <v>2245</v>
      </c>
      <c r="Z51" s="328" t="s">
        <v>2246</v>
      </c>
      <c r="AA51" s="328"/>
      <c r="AB51" s="267" t="s">
        <v>1801</v>
      </c>
      <c r="AC51" s="331" t="s">
        <v>69</v>
      </c>
      <c r="AD51" s="335">
        <v>46156</v>
      </c>
      <c r="AE51" s="331" t="s">
        <v>3</v>
      </c>
      <c r="AF51" s="335">
        <v>46160</v>
      </c>
      <c r="AG51" s="335">
        <v>46160</v>
      </c>
      <c r="AH51" s="331">
        <v>0.5</v>
      </c>
      <c r="AI51" s="332">
        <v>0</v>
      </c>
      <c r="AJ51" s="333">
        <v>0</v>
      </c>
      <c r="AK51" s="334" t="s">
        <v>2247</v>
      </c>
      <c r="AL51" s="333" t="s">
        <v>216</v>
      </c>
      <c r="AM51" s="331" t="s">
        <v>1817</v>
      </c>
      <c r="AN51" s="331" t="s">
        <v>57</v>
      </c>
      <c r="AO51" s="331" t="s">
        <v>605</v>
      </c>
      <c r="AP51" s="331" t="s">
        <v>2248</v>
      </c>
      <c r="AQ51" s="335" t="s">
        <v>260</v>
      </c>
      <c r="AR51" s="331"/>
      <c r="AS51" s="331" t="s">
        <v>1909</v>
      </c>
      <c r="AT51" s="331"/>
      <c r="AU51" s="335">
        <v>46174</v>
      </c>
      <c r="AV51" s="335">
        <v>46199</v>
      </c>
      <c r="AW51" s="336" t="s">
        <v>118</v>
      </c>
      <c r="AX51" s="335"/>
    </row>
    <row r="52" spans="1:50" ht="47.25" hidden="1" customHeight="1">
      <c r="A52" s="328">
        <v>72</v>
      </c>
      <c r="B52" s="329">
        <v>46097.4821296296</v>
      </c>
      <c r="C52" s="329">
        <v>46097.537592592598</v>
      </c>
      <c r="D52" s="328" t="s">
        <v>2249</v>
      </c>
      <c r="E52" s="328" t="s">
        <v>2250</v>
      </c>
      <c r="F52" s="328" t="s">
        <v>2251</v>
      </c>
      <c r="G52" s="328" t="s">
        <v>2252</v>
      </c>
      <c r="H52" s="328" t="s">
        <v>112</v>
      </c>
      <c r="I52" s="328" t="s">
        <v>113</v>
      </c>
      <c r="J52" s="328" t="s">
        <v>2253</v>
      </c>
      <c r="K52" s="328"/>
      <c r="L52" s="329" t="s">
        <v>226</v>
      </c>
      <c r="M52" s="329">
        <v>46142</v>
      </c>
      <c r="N52" s="328" t="s">
        <v>57</v>
      </c>
      <c r="O52" s="328">
        <v>0</v>
      </c>
      <c r="P52" s="328"/>
      <c r="Q52" s="356" t="s">
        <v>58</v>
      </c>
      <c r="R52" s="328" t="s">
        <v>2254</v>
      </c>
      <c r="S52" s="328"/>
      <c r="T52" s="328" t="s">
        <v>2255</v>
      </c>
      <c r="U52" s="328" t="s">
        <v>62</v>
      </c>
      <c r="V52" s="328" t="s">
        <v>1106</v>
      </c>
      <c r="W52" s="328" t="s">
        <v>260</v>
      </c>
      <c r="X52" s="328" t="s">
        <v>86</v>
      </c>
      <c r="Y52" s="328" t="s">
        <v>2256</v>
      </c>
      <c r="Z52" s="328" t="s">
        <v>2257</v>
      </c>
      <c r="AA52" s="328"/>
      <c r="AB52" s="267" t="s">
        <v>2258</v>
      </c>
      <c r="AC52" s="331" t="s">
        <v>2259</v>
      </c>
      <c r="AD52" s="335"/>
      <c r="AE52" s="331" t="s">
        <v>3</v>
      </c>
      <c r="AF52" s="335">
        <v>46128</v>
      </c>
      <c r="AG52" s="335"/>
      <c r="AH52" s="331">
        <v>0.5</v>
      </c>
      <c r="AI52" s="332">
        <v>0</v>
      </c>
      <c r="AJ52" s="333">
        <v>0</v>
      </c>
      <c r="AK52" s="334" t="s">
        <v>2260</v>
      </c>
      <c r="AL52" s="333" t="s">
        <v>216</v>
      </c>
      <c r="AM52" s="331" t="s">
        <v>1963</v>
      </c>
      <c r="AN52" s="331"/>
      <c r="AO52" s="331" t="s">
        <v>605</v>
      </c>
      <c r="AP52" s="331"/>
      <c r="AQ52" s="335" t="s">
        <v>260</v>
      </c>
      <c r="AR52" s="331"/>
      <c r="AS52" s="331" t="s">
        <v>1909</v>
      </c>
      <c r="AT52" s="331"/>
      <c r="AU52" s="335">
        <v>46174</v>
      </c>
      <c r="AV52" s="335">
        <v>46185</v>
      </c>
      <c r="AW52" s="336" t="s">
        <v>260</v>
      </c>
      <c r="AX52" s="335"/>
    </row>
    <row r="53" spans="1:50" ht="44.25" customHeight="1">
      <c r="A53" s="328">
        <v>128</v>
      </c>
      <c r="B53" s="329">
        <v>46142.473877314798</v>
      </c>
      <c r="C53" s="329">
        <v>46142.488136574102</v>
      </c>
      <c r="D53" s="328" t="s">
        <v>262</v>
      </c>
      <c r="E53" s="328" t="s">
        <v>263</v>
      </c>
      <c r="F53" s="328" t="s">
        <v>2261</v>
      </c>
      <c r="G53" s="328" t="s">
        <v>2262</v>
      </c>
      <c r="H53" s="328" t="s">
        <v>52</v>
      </c>
      <c r="I53" s="328" t="s">
        <v>125</v>
      </c>
      <c r="J53" s="328" t="s">
        <v>2263</v>
      </c>
      <c r="K53" s="328"/>
      <c r="L53" s="329" t="s">
        <v>296</v>
      </c>
      <c r="M53" s="329">
        <v>46167</v>
      </c>
      <c r="N53" s="328" t="s">
        <v>57</v>
      </c>
      <c r="O53" s="328">
        <v>0</v>
      </c>
      <c r="P53" s="328"/>
      <c r="Q53" s="356" t="s">
        <v>58</v>
      </c>
      <c r="R53" s="328" t="s">
        <v>2264</v>
      </c>
      <c r="S53" s="328"/>
      <c r="T53" s="328" t="s">
        <v>2265</v>
      </c>
      <c r="U53" s="328" t="s">
        <v>62</v>
      </c>
      <c r="V53" s="328" t="s">
        <v>63</v>
      </c>
      <c r="W53" s="328" t="s">
        <v>64</v>
      </c>
      <c r="X53" s="328" t="s">
        <v>65</v>
      </c>
      <c r="Y53" s="328" t="s">
        <v>2266</v>
      </c>
      <c r="Z53" s="328" t="s">
        <v>2267</v>
      </c>
      <c r="AA53" s="328"/>
      <c r="AB53" s="267" t="s">
        <v>131</v>
      </c>
      <c r="AC53" s="331" t="s">
        <v>69</v>
      </c>
      <c r="AD53" s="335">
        <v>46142</v>
      </c>
      <c r="AE53" s="331" t="s">
        <v>3</v>
      </c>
      <c r="AF53" s="335">
        <v>46142</v>
      </c>
      <c r="AG53" s="335">
        <v>46155</v>
      </c>
      <c r="AH53" s="331">
        <v>1</v>
      </c>
      <c r="AI53" s="332"/>
      <c r="AJ53" s="333">
        <v>0</v>
      </c>
      <c r="AK53" s="334"/>
      <c r="AL53" s="333" t="s">
        <v>671</v>
      </c>
      <c r="AM53" s="331" t="s">
        <v>1889</v>
      </c>
      <c r="AN53" s="331" t="s">
        <v>57</v>
      </c>
      <c r="AO53" s="331" t="s">
        <v>605</v>
      </c>
      <c r="AP53" s="331"/>
      <c r="AQ53" s="335" t="s">
        <v>260</v>
      </c>
      <c r="AR53" s="331"/>
      <c r="AS53" s="331" t="s">
        <v>1909</v>
      </c>
      <c r="AT53" s="331"/>
      <c r="AU53" s="335">
        <v>46189</v>
      </c>
      <c r="AV53" s="335">
        <v>46213</v>
      </c>
      <c r="AW53" s="336" t="s">
        <v>260</v>
      </c>
      <c r="AX53" s="335"/>
    </row>
    <row r="54" spans="1:50" ht="63" hidden="1" customHeight="1">
      <c r="A54" s="328">
        <v>77</v>
      </c>
      <c r="B54" s="329">
        <v>46099.589618055601</v>
      </c>
      <c r="C54" s="329">
        <v>46099.6251388889</v>
      </c>
      <c r="D54" s="328" t="s">
        <v>2268</v>
      </c>
      <c r="E54" s="328" t="s">
        <v>2269</v>
      </c>
      <c r="F54" s="328" t="s">
        <v>2270</v>
      </c>
      <c r="G54" s="328" t="s">
        <v>2271</v>
      </c>
      <c r="H54" s="328" t="s">
        <v>112</v>
      </c>
      <c r="I54" s="328" t="s">
        <v>1809</v>
      </c>
      <c r="J54" s="328" t="s">
        <v>2272</v>
      </c>
      <c r="K54" s="328"/>
      <c r="L54" s="329" t="s">
        <v>226</v>
      </c>
      <c r="M54" s="329">
        <v>46122</v>
      </c>
      <c r="N54" s="328" t="s">
        <v>57</v>
      </c>
      <c r="O54" s="328">
        <v>0</v>
      </c>
      <c r="P54" s="328"/>
      <c r="Q54" s="356" t="s">
        <v>58</v>
      </c>
      <c r="R54" s="328" t="s">
        <v>2273</v>
      </c>
      <c r="S54" s="328"/>
      <c r="T54" s="328" t="s">
        <v>2274</v>
      </c>
      <c r="U54" s="328" t="s">
        <v>162</v>
      </c>
      <c r="V54" s="328" t="s">
        <v>2275</v>
      </c>
      <c r="W54" s="328" t="s">
        <v>64</v>
      </c>
      <c r="X54" s="328" t="s">
        <v>65</v>
      </c>
      <c r="Y54" s="328" t="s">
        <v>2276</v>
      </c>
      <c r="Z54" s="328" t="s">
        <v>2277</v>
      </c>
      <c r="AA54" s="328"/>
      <c r="AB54" s="267" t="s">
        <v>68</v>
      </c>
      <c r="AC54" s="331"/>
      <c r="AD54" s="335"/>
      <c r="AE54" s="331" t="s">
        <v>3</v>
      </c>
      <c r="AF54" s="335"/>
      <c r="AG54" s="335"/>
      <c r="AH54" s="331" t="s">
        <v>1092</v>
      </c>
      <c r="AI54" s="332"/>
      <c r="AJ54" s="333"/>
      <c r="AK54" s="334" t="s">
        <v>2278</v>
      </c>
      <c r="AL54" s="333" t="s">
        <v>216</v>
      </c>
      <c r="AM54" s="331" t="s">
        <v>1817</v>
      </c>
      <c r="AN54" s="331"/>
      <c r="AO54" s="331" t="s">
        <v>605</v>
      </c>
      <c r="AP54" s="331"/>
      <c r="AQ54" s="335" t="s">
        <v>260</v>
      </c>
      <c r="AR54" s="331"/>
      <c r="AS54" s="331" t="s">
        <v>1909</v>
      </c>
      <c r="AT54" s="331"/>
      <c r="AU54" s="335">
        <v>46148</v>
      </c>
      <c r="AV54" s="335">
        <v>46162</v>
      </c>
      <c r="AW54" s="336" t="s">
        <v>260</v>
      </c>
      <c r="AX54" s="335"/>
    </row>
    <row r="55" spans="1:50" ht="58.5" hidden="1" customHeight="1">
      <c r="A55" s="328">
        <v>159</v>
      </c>
      <c r="B55" s="329">
        <v>46154.579340277778</v>
      </c>
      <c r="C55" s="329">
        <v>46154.656724537002</v>
      </c>
      <c r="D55" s="328" t="s">
        <v>1896</v>
      </c>
      <c r="E55" s="328" t="s">
        <v>1897</v>
      </c>
      <c r="F55" s="328" t="s">
        <v>2279</v>
      </c>
      <c r="G55" s="328" t="s">
        <v>2280</v>
      </c>
      <c r="H55" s="328" t="s">
        <v>430</v>
      </c>
      <c r="I55" s="328" t="s">
        <v>204</v>
      </c>
      <c r="J55" s="328" t="s">
        <v>1795</v>
      </c>
      <c r="K55" s="328" t="s">
        <v>2281</v>
      </c>
      <c r="L55" s="329" t="s">
        <v>1902</v>
      </c>
      <c r="M55" s="329">
        <v>46173</v>
      </c>
      <c r="N55" s="328" t="s">
        <v>57</v>
      </c>
      <c r="O55" s="328">
        <v>0</v>
      </c>
      <c r="P55" s="328">
        <v>0</v>
      </c>
      <c r="Q55" s="356" t="s">
        <v>58</v>
      </c>
      <c r="R55" s="328" t="s">
        <v>2282</v>
      </c>
      <c r="S55" s="328" t="s">
        <v>2283</v>
      </c>
      <c r="T55" s="328" t="s">
        <v>2284</v>
      </c>
      <c r="U55" s="328" t="s">
        <v>162</v>
      </c>
      <c r="V55" s="328" t="s">
        <v>63</v>
      </c>
      <c r="W55" s="328" t="s">
        <v>64</v>
      </c>
      <c r="X55" s="328" t="s">
        <v>65</v>
      </c>
      <c r="Y55" s="328" t="s">
        <v>2285</v>
      </c>
      <c r="Z55" s="328" t="s">
        <v>2286</v>
      </c>
      <c r="AA55" s="328"/>
      <c r="AB55" s="267" t="s">
        <v>1801</v>
      </c>
      <c r="AC55" s="331" t="s">
        <v>69</v>
      </c>
      <c r="AD55" s="335">
        <v>46163</v>
      </c>
      <c r="AE55" s="331" t="s">
        <v>2</v>
      </c>
      <c r="AF55" s="335">
        <v>46160</v>
      </c>
      <c r="AG55" s="335">
        <v>46163</v>
      </c>
      <c r="AH55" s="331">
        <v>2</v>
      </c>
      <c r="AI55" s="332">
        <v>0</v>
      </c>
      <c r="AJ55" s="333">
        <v>0</v>
      </c>
      <c r="AK55" s="334" t="s">
        <v>2287</v>
      </c>
      <c r="AL55" s="333" t="s">
        <v>216</v>
      </c>
      <c r="AM55" s="331" t="s">
        <v>1803</v>
      </c>
      <c r="AN55" s="331" t="s">
        <v>260</v>
      </c>
      <c r="AO55" s="331" t="s">
        <v>605</v>
      </c>
      <c r="AP55" s="331" t="s">
        <v>2288</v>
      </c>
      <c r="AQ55" s="335" t="s">
        <v>260</v>
      </c>
      <c r="AR55" s="331"/>
      <c r="AS55" s="331" t="s">
        <v>1909</v>
      </c>
      <c r="AT55" s="331"/>
      <c r="AU55" s="335">
        <v>46188</v>
      </c>
      <c r="AV55" s="335">
        <v>46245</v>
      </c>
      <c r="AW55" s="336" t="s">
        <v>260</v>
      </c>
      <c r="AX55" s="335"/>
    </row>
    <row r="56" spans="1:50" ht="64.5" hidden="1" customHeight="1">
      <c r="A56" s="328">
        <v>160</v>
      </c>
      <c r="B56" s="329">
        <v>46154.805555555598</v>
      </c>
      <c r="C56" s="329">
        <v>46154.807372685202</v>
      </c>
      <c r="D56" s="328" t="s">
        <v>606</v>
      </c>
      <c r="E56" s="328" t="s">
        <v>607</v>
      </c>
      <c r="F56" s="328" t="s">
        <v>2289</v>
      </c>
      <c r="G56" s="328" t="s">
        <v>2290</v>
      </c>
      <c r="H56" s="328" t="s">
        <v>52</v>
      </c>
      <c r="I56" s="328" t="s">
        <v>335</v>
      </c>
      <c r="J56" s="328" t="s">
        <v>2291</v>
      </c>
      <c r="K56" s="328" t="s">
        <v>2292</v>
      </c>
      <c r="L56" s="329" t="s">
        <v>296</v>
      </c>
      <c r="M56" s="329">
        <v>46178</v>
      </c>
      <c r="N56" s="328" t="s">
        <v>57</v>
      </c>
      <c r="O56" s="328">
        <v>0</v>
      </c>
      <c r="P56" s="328">
        <v>0</v>
      </c>
      <c r="Q56" s="330" t="s">
        <v>58</v>
      </c>
      <c r="R56" s="328" t="s">
        <v>2293</v>
      </c>
      <c r="S56" s="328"/>
      <c r="T56" s="328" t="s">
        <v>2294</v>
      </c>
      <c r="U56" s="328" t="s">
        <v>162</v>
      </c>
      <c r="V56" s="328" t="s">
        <v>63</v>
      </c>
      <c r="W56" s="328" t="s">
        <v>64</v>
      </c>
      <c r="X56" s="328" t="s">
        <v>65</v>
      </c>
      <c r="Y56" s="328" t="s">
        <v>2295</v>
      </c>
      <c r="Z56" s="328" t="s">
        <v>2296</v>
      </c>
      <c r="AA56" s="328"/>
      <c r="AB56" s="267" t="s">
        <v>1801</v>
      </c>
      <c r="AC56" s="331" t="s">
        <v>69</v>
      </c>
      <c r="AD56" s="335">
        <v>46163</v>
      </c>
      <c r="AE56" s="331" t="s">
        <v>3</v>
      </c>
      <c r="AF56" s="335">
        <v>46160</v>
      </c>
      <c r="AG56" s="335">
        <v>46160</v>
      </c>
      <c r="AH56" s="331">
        <v>1</v>
      </c>
      <c r="AI56" s="332">
        <v>1625</v>
      </c>
      <c r="AJ56" s="333">
        <v>5768.75</v>
      </c>
      <c r="AK56" s="334" t="s">
        <v>2297</v>
      </c>
      <c r="AL56" s="333" t="s">
        <v>1855</v>
      </c>
      <c r="AM56" s="331" t="s">
        <v>1817</v>
      </c>
      <c r="AN56" s="331" t="s">
        <v>260</v>
      </c>
      <c r="AO56" s="331" t="s">
        <v>605</v>
      </c>
      <c r="AP56" s="331"/>
      <c r="AQ56" s="335" t="s">
        <v>260</v>
      </c>
      <c r="AR56" s="331" t="s">
        <v>1944</v>
      </c>
      <c r="AS56" s="331" t="s">
        <v>260</v>
      </c>
      <c r="AT56" s="331" t="s">
        <v>1944</v>
      </c>
      <c r="AU56" s="335">
        <v>46188</v>
      </c>
      <c r="AV56" s="335">
        <v>46212</v>
      </c>
      <c r="AW56" s="336" t="s">
        <v>260</v>
      </c>
      <c r="AX56" s="335"/>
    </row>
    <row r="57" spans="1:50" ht="45" hidden="1" customHeight="1">
      <c r="A57" s="328">
        <v>119</v>
      </c>
      <c r="B57" s="329">
        <v>46140.4612962963</v>
      </c>
      <c r="C57" s="329">
        <v>46140.463483796302</v>
      </c>
      <c r="D57" s="328" t="s">
        <v>48</v>
      </c>
      <c r="E57" s="328" t="s">
        <v>49</v>
      </c>
      <c r="F57" s="328" t="s">
        <v>2298</v>
      </c>
      <c r="G57" s="328" t="s">
        <v>2299</v>
      </c>
      <c r="H57" s="328" t="s">
        <v>52</v>
      </c>
      <c r="I57" s="328" t="s">
        <v>224</v>
      </c>
      <c r="J57" s="328" t="s">
        <v>2300</v>
      </c>
      <c r="K57" s="328"/>
      <c r="L57" s="329" t="s">
        <v>226</v>
      </c>
      <c r="M57" s="329">
        <v>46199</v>
      </c>
      <c r="N57" s="328" t="s">
        <v>57</v>
      </c>
      <c r="O57" s="328">
        <v>0</v>
      </c>
      <c r="P57" s="328"/>
      <c r="Q57" s="330" t="s">
        <v>58</v>
      </c>
      <c r="R57" s="328" t="s">
        <v>2301</v>
      </c>
      <c r="S57" s="328"/>
      <c r="T57" s="328" t="s">
        <v>2302</v>
      </c>
      <c r="U57" s="328" t="s">
        <v>62</v>
      </c>
      <c r="V57" s="328" t="s">
        <v>365</v>
      </c>
      <c r="W57" s="328" t="s">
        <v>64</v>
      </c>
      <c r="X57" s="328" t="s">
        <v>65</v>
      </c>
      <c r="Y57" s="328" t="s">
        <v>2303</v>
      </c>
      <c r="Z57" s="328" t="s">
        <v>2304</v>
      </c>
      <c r="AA57" s="328"/>
      <c r="AB57" s="267" t="s">
        <v>214</v>
      </c>
      <c r="AC57" s="331" t="s">
        <v>69</v>
      </c>
      <c r="AD57" s="335">
        <v>46142</v>
      </c>
      <c r="AE57" s="331" t="s">
        <v>2</v>
      </c>
      <c r="AF57" s="335"/>
      <c r="AG57" s="335"/>
      <c r="AH57" s="331" t="s">
        <v>1092</v>
      </c>
      <c r="AI57" s="332">
        <v>0</v>
      </c>
      <c r="AJ57" s="333">
        <v>0</v>
      </c>
      <c r="AK57" s="334" t="s">
        <v>2305</v>
      </c>
      <c r="AL57" s="333" t="s">
        <v>245</v>
      </c>
      <c r="AM57" s="331" t="s">
        <v>1803</v>
      </c>
      <c r="AN57" s="331" t="s">
        <v>118</v>
      </c>
      <c r="AO57" s="331" t="s">
        <v>605</v>
      </c>
      <c r="AP57" s="331"/>
      <c r="AQ57" s="335" t="s">
        <v>260</v>
      </c>
      <c r="AR57" s="331" t="s">
        <v>2306</v>
      </c>
      <c r="AS57" s="331"/>
      <c r="AT57" s="331"/>
      <c r="AU57" s="335">
        <v>46181</v>
      </c>
      <c r="AV57" s="335">
        <v>46195</v>
      </c>
      <c r="AW57" s="336" t="s">
        <v>260</v>
      </c>
      <c r="AX57" s="335"/>
    </row>
    <row r="58" spans="1:50" ht="15" customHeight="1">
      <c r="A58" s="328">
        <v>170</v>
      </c>
      <c r="B58" s="329">
        <v>46162.470543981501</v>
      </c>
      <c r="C58" s="329">
        <v>46162.486342592601</v>
      </c>
      <c r="D58" s="328" t="s">
        <v>262</v>
      </c>
      <c r="E58" s="328" t="s">
        <v>263</v>
      </c>
      <c r="F58" s="328" t="s">
        <v>2307</v>
      </c>
      <c r="G58" s="328" t="s">
        <v>2308</v>
      </c>
      <c r="H58" s="328" t="s">
        <v>52</v>
      </c>
      <c r="I58" s="328" t="s">
        <v>77</v>
      </c>
      <c r="J58" s="328" t="s">
        <v>2309</v>
      </c>
      <c r="K58" s="328" t="s">
        <v>2310</v>
      </c>
      <c r="L58" s="329" t="s">
        <v>237</v>
      </c>
      <c r="M58" s="329">
        <v>46192</v>
      </c>
      <c r="N58" s="328" t="s">
        <v>57</v>
      </c>
      <c r="O58" s="328">
        <v>0</v>
      </c>
      <c r="P58" s="328">
        <v>0</v>
      </c>
      <c r="Q58" s="356" t="s">
        <v>58</v>
      </c>
      <c r="R58" s="328" t="s">
        <v>2311</v>
      </c>
      <c r="S58" s="328" t="s">
        <v>2312</v>
      </c>
      <c r="T58" s="328" t="s">
        <v>2313</v>
      </c>
      <c r="U58" s="328" t="s">
        <v>162</v>
      </c>
      <c r="V58" s="328" t="s">
        <v>63</v>
      </c>
      <c r="W58" s="328" t="s">
        <v>57</v>
      </c>
      <c r="X58" s="328" t="s">
        <v>86</v>
      </c>
      <c r="Y58" s="328" t="s">
        <v>2314</v>
      </c>
      <c r="Z58" s="328" t="s">
        <v>2315</v>
      </c>
      <c r="AA58" s="328"/>
      <c r="AB58" s="267" t="s">
        <v>131</v>
      </c>
      <c r="AC58" s="331" t="s">
        <v>69</v>
      </c>
      <c r="AD58" s="335">
        <v>46163</v>
      </c>
      <c r="AE58" s="331" t="s">
        <v>2</v>
      </c>
      <c r="AF58" s="335">
        <v>46163</v>
      </c>
      <c r="AG58" s="335">
        <v>46163</v>
      </c>
      <c r="AH58" s="331">
        <v>1</v>
      </c>
      <c r="AI58" s="332">
        <v>0</v>
      </c>
      <c r="AJ58" s="333">
        <v>0</v>
      </c>
      <c r="AK58" s="334" t="s">
        <v>2316</v>
      </c>
      <c r="AL58" s="333" t="s">
        <v>671</v>
      </c>
      <c r="AM58" s="331" t="s">
        <v>1975</v>
      </c>
      <c r="AN58" s="331" t="s">
        <v>64</v>
      </c>
      <c r="AO58" s="331" t="s">
        <v>605</v>
      </c>
      <c r="AP58" s="331"/>
      <c r="AQ58" s="335" t="s">
        <v>260</v>
      </c>
      <c r="AR58" s="331"/>
      <c r="AS58" s="331" t="s">
        <v>1909</v>
      </c>
      <c r="AT58" s="331"/>
      <c r="AU58" s="335">
        <v>46190</v>
      </c>
      <c r="AV58" s="335">
        <v>46225</v>
      </c>
      <c r="AW58" s="336" t="s">
        <v>260</v>
      </c>
      <c r="AX58" s="335"/>
    </row>
  </sheetData>
  <sheetProtection algorithmName="SHA-512" hashValue="Q6pIPizwF9dRXyJygjDIGhVKWXNGAt3MkWFEYm97c0D4Y9ztnvWOCnLzaTx/Kb1nBy/5BnGHZouxRtPFQUg42Q==" saltValue="5CGnD9vXS0vRzM/VFBN6rw==" spinCount="100000" sheet="1" autoFilter="0"/>
  <protectedRanges>
    <protectedRange algorithmName="SHA-512" hashValue="22rEZDOLaaAzExp0xxQCGNby3L6gXjGHIg9yH60f4Eq8XFziCgY0/JIYc2E2Nq4g+VRVZfuCR88Vp60KM5L1Fw==" saltValue="qJpW/Ecdk5+EDugQ3hU7fw==" spinCount="100000" sqref="A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H57" xr:uid="{C1EE4B9F-75EB-4EE6-A650-B2D225B9AA80}">
    <filterColumn colId="27">
      <filters>
        <filter val="Elmer Zapata"/>
      </filters>
    </filterColumn>
  </autoFilter>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dimension ref="A1:FG35"/>
  <sheetViews>
    <sheetView zoomScale="85" zoomScaleNormal="85" workbookViewId="0">
      <pane xSplit="1" ySplit="1" topLeftCell="AM23" activePane="bottomRight" state="frozen"/>
      <selection pane="bottomRight" activeCell="AT28" sqref="AT28"/>
      <selection pane="bottomLeft" activeCell="A2" sqref="A2"/>
      <selection pane="topRight" activeCell="B1" sqref="B1"/>
    </sheetView>
  </sheetViews>
  <sheetFormatPr defaultColWidth="9.28515625" defaultRowHeight="15" customHeight="1"/>
  <cols>
    <col min="1" max="1" width="9.28515625" style="59"/>
    <col min="2" max="3" width="17.42578125" style="8" customWidth="1"/>
    <col min="4" max="4" width="11.28515625" style="8" customWidth="1"/>
    <col min="5" max="5" width="12.42578125" style="8" customWidth="1"/>
    <col min="6" max="6" width="24.28515625" style="8" customWidth="1"/>
    <col min="7" max="7" width="31.28515625" style="8" customWidth="1"/>
    <col min="8" max="8" width="9.28515625" style="8" bestFit="1" customWidth="1"/>
    <col min="9" max="9" width="17.85546875" style="8" customWidth="1"/>
    <col min="10" max="11" width="18.140625" style="8" customWidth="1"/>
    <col min="12" max="13" width="19.42578125" style="8" customWidth="1"/>
    <col min="14" max="14" width="9.140625" style="8" bestFit="1" customWidth="1"/>
    <col min="15" max="15" width="21.42578125" style="8" customWidth="1"/>
    <col min="16" max="16" width="11.42578125" style="8" customWidth="1"/>
    <col min="17" max="17" width="26" style="8" customWidth="1"/>
    <col min="18" max="18" width="43.42578125" style="8" customWidth="1"/>
    <col min="19" max="19" width="31.28515625" style="8" customWidth="1"/>
    <col min="20" max="20" width="37.42578125" style="8" customWidth="1"/>
    <col min="21" max="21" width="29.7109375" style="8" customWidth="1"/>
    <col min="22" max="22" width="26" style="8" customWidth="1"/>
    <col min="23" max="23" width="54.7109375" style="8" customWidth="1"/>
    <col min="24" max="24" width="69.28515625" style="8" customWidth="1"/>
    <col min="25" max="25" width="65.42578125" style="8" customWidth="1"/>
    <col min="26" max="26" width="16.7109375" style="8" customWidth="1"/>
    <col min="27" max="28" width="9.140625" style="8" bestFit="1" customWidth="1"/>
    <col min="29" max="29" width="17.28515625" style="8" customWidth="1"/>
    <col min="30" max="30" width="18.28515625" style="8" customWidth="1"/>
    <col min="31" max="31" width="43.28515625" style="8" customWidth="1"/>
    <col min="32" max="32" width="9.140625" style="8" bestFit="1" customWidth="1"/>
    <col min="33" max="33" width="17.140625" style="8" customWidth="1"/>
    <col min="34" max="34" width="12.28515625" style="8" bestFit="1" customWidth="1"/>
    <col min="35" max="35" width="10.42578125" style="8" bestFit="1" customWidth="1"/>
    <col min="36" max="36" width="13" style="8" customWidth="1"/>
    <col min="37" max="37" width="19.42578125" style="8" customWidth="1"/>
    <col min="38" max="38" width="20.28515625" style="8" bestFit="1" customWidth="1"/>
    <col min="39" max="39" width="20.28515625" style="8" customWidth="1"/>
    <col min="40" max="40" width="38.7109375" style="8" customWidth="1"/>
    <col min="41" max="41" width="26.140625" style="8" customWidth="1"/>
    <col min="42" max="42" width="16.42578125" style="8" customWidth="1"/>
    <col min="43" max="43" width="40.28515625" style="8" customWidth="1"/>
    <col min="44" max="44" width="13.140625" style="8" customWidth="1"/>
    <col min="45" max="45" width="31.28515625" style="8" customWidth="1"/>
    <col min="46" max="46" width="29.7109375" style="8" customWidth="1"/>
    <col min="47" max="48" width="9.28515625" style="8"/>
    <col min="49" max="49" width="12.7109375" style="8" customWidth="1"/>
    <col min="50" max="16384" width="9.28515625" style="8"/>
  </cols>
  <sheetData>
    <row r="1" spans="1:163" ht="35.25" customHeight="1">
      <c r="A1" s="309" t="s">
        <v>5</v>
      </c>
      <c r="B1" s="310" t="s">
        <v>6</v>
      </c>
      <c r="C1" s="310" t="s">
        <v>7</v>
      </c>
      <c r="D1" s="310" t="s">
        <v>8</v>
      </c>
      <c r="E1" s="310" t="s">
        <v>9</v>
      </c>
      <c r="F1" s="310" t="s">
        <v>10</v>
      </c>
      <c r="G1" s="310" t="s">
        <v>11</v>
      </c>
      <c r="H1" s="310" t="s">
        <v>12</v>
      </c>
      <c r="I1" s="310" t="s">
        <v>13</v>
      </c>
      <c r="J1" s="277" t="s">
        <v>14</v>
      </c>
      <c r="K1" s="159" t="s">
        <v>171</v>
      </c>
      <c r="L1" s="277" t="s">
        <v>16</v>
      </c>
      <c r="M1" s="277" t="s">
        <v>17</v>
      </c>
      <c r="N1" s="310" t="s">
        <v>18</v>
      </c>
      <c r="O1" s="277" t="s">
        <v>19</v>
      </c>
      <c r="P1" s="310" t="s">
        <v>20</v>
      </c>
      <c r="Q1" s="277" t="s">
        <v>21</v>
      </c>
      <c r="R1" s="310" t="s">
        <v>22</v>
      </c>
      <c r="S1" s="310" t="s">
        <v>23</v>
      </c>
      <c r="T1" s="277" t="s">
        <v>24</v>
      </c>
      <c r="U1" s="277" t="s">
        <v>25</v>
      </c>
      <c r="V1" s="310" t="s">
        <v>26</v>
      </c>
      <c r="W1" s="310" t="s">
        <v>591</v>
      </c>
      <c r="X1" s="310" t="s">
        <v>29</v>
      </c>
      <c r="Y1" s="310" t="s">
        <v>728</v>
      </c>
      <c r="Z1" s="296" t="s">
        <v>31</v>
      </c>
      <c r="AA1" s="175" t="s">
        <v>33</v>
      </c>
      <c r="AB1" s="175" t="s">
        <v>34</v>
      </c>
      <c r="AC1" s="225" t="s">
        <v>35</v>
      </c>
      <c r="AD1" s="166" t="s">
        <v>36</v>
      </c>
      <c r="AE1" s="176" t="s">
        <v>1976</v>
      </c>
      <c r="AF1" s="176" t="s">
        <v>1977</v>
      </c>
      <c r="AG1" s="166" t="s">
        <v>39</v>
      </c>
      <c r="AH1" s="170" t="s">
        <v>40</v>
      </c>
      <c r="AI1" s="171" t="s">
        <v>41</v>
      </c>
      <c r="AJ1" s="166" t="s">
        <v>42</v>
      </c>
      <c r="AK1" s="166" t="s">
        <v>43</v>
      </c>
      <c r="AL1" s="166" t="s">
        <v>1785</v>
      </c>
      <c r="AM1" s="166" t="s">
        <v>178</v>
      </c>
      <c r="AN1" s="166" t="s">
        <v>45</v>
      </c>
      <c r="AO1" s="166" t="s">
        <v>46</v>
      </c>
      <c r="AP1" s="200" t="s">
        <v>593</v>
      </c>
      <c r="AQ1" s="200" t="s">
        <v>46</v>
      </c>
      <c r="AR1" s="278" t="s">
        <v>1786</v>
      </c>
      <c r="AS1" s="278" t="s">
        <v>1787</v>
      </c>
      <c r="AT1" s="302" t="s">
        <v>1894</v>
      </c>
      <c r="AU1" s="302" t="s">
        <v>1895</v>
      </c>
      <c r="AV1" s="303" t="s">
        <v>1941</v>
      </c>
      <c r="AW1" s="305" t="s">
        <v>46</v>
      </c>
      <c r="AX1" s="204"/>
      <c r="AY1" s="204"/>
      <c r="AZ1" s="204"/>
      <c r="BA1" s="204"/>
      <c r="BB1" s="204"/>
      <c r="BC1" s="204"/>
      <c r="BD1" s="204"/>
      <c r="BE1" s="204"/>
      <c r="BF1" s="204"/>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4"/>
      <c r="CH1" s="204"/>
      <c r="CI1" s="204"/>
      <c r="CJ1" s="204"/>
      <c r="CK1" s="204"/>
      <c r="CL1" s="204"/>
      <c r="CM1" s="204"/>
      <c r="CN1" s="204"/>
      <c r="CO1" s="204"/>
      <c r="CP1" s="204"/>
      <c r="CQ1" s="204"/>
      <c r="CR1" s="204"/>
      <c r="CS1" s="204"/>
      <c r="CT1" s="204"/>
      <c r="CU1" s="204"/>
      <c r="CV1" s="204"/>
      <c r="CW1" s="204"/>
      <c r="CX1" s="204"/>
      <c r="CY1" s="204"/>
      <c r="CZ1" s="204"/>
      <c r="DA1" s="204"/>
      <c r="DB1" s="204"/>
      <c r="DC1" s="204"/>
      <c r="DD1" s="204"/>
      <c r="DE1" s="204"/>
      <c r="DF1" s="204"/>
      <c r="DG1" s="204"/>
      <c r="DH1" s="204"/>
      <c r="DI1" s="204"/>
      <c r="DJ1" s="204"/>
      <c r="DK1" s="204"/>
      <c r="DL1" s="204"/>
      <c r="DM1" s="204"/>
      <c r="DN1" s="204"/>
      <c r="DO1" s="204"/>
      <c r="DP1" s="204"/>
      <c r="DQ1" s="204"/>
      <c r="DR1" s="204"/>
      <c r="DS1" s="204"/>
      <c r="DT1" s="204"/>
      <c r="DU1" s="204"/>
      <c r="DV1" s="204"/>
      <c r="DW1" s="204"/>
      <c r="DX1" s="204"/>
      <c r="DY1" s="204"/>
      <c r="DZ1" s="204"/>
      <c r="EA1" s="204"/>
      <c r="EB1" s="204"/>
      <c r="EC1" s="204"/>
      <c r="ED1" s="204"/>
      <c r="EE1" s="204"/>
      <c r="EF1" s="204"/>
      <c r="EG1" s="204"/>
      <c r="EH1" s="204"/>
      <c r="EI1" s="204"/>
      <c r="EJ1" s="204"/>
      <c r="EK1" s="204"/>
      <c r="EL1" s="204"/>
      <c r="EM1" s="204"/>
      <c r="EN1" s="204"/>
      <c r="EO1" s="204"/>
      <c r="EP1" s="204"/>
      <c r="EQ1" s="204"/>
      <c r="ER1" s="204"/>
      <c r="ES1" s="204"/>
      <c r="ET1" s="204"/>
      <c r="EU1" s="204"/>
      <c r="EV1" s="204"/>
      <c r="EW1" s="204"/>
      <c r="EX1" s="204"/>
      <c r="EY1" s="204"/>
      <c r="EZ1" s="204"/>
      <c r="FA1" s="204"/>
      <c r="FB1" s="204"/>
      <c r="FC1" s="204"/>
      <c r="FD1" s="204"/>
    </row>
    <row r="2" spans="1:163" ht="65.45" customHeight="1">
      <c r="A2" s="244">
        <v>16</v>
      </c>
      <c r="B2" s="311">
        <v>46036.439583333333</v>
      </c>
      <c r="C2" s="311">
        <v>46036.443055555559</v>
      </c>
      <c r="D2" s="279" t="s">
        <v>818</v>
      </c>
      <c r="E2" s="279" t="s">
        <v>819</v>
      </c>
      <c r="F2" s="279" t="s">
        <v>1111</v>
      </c>
      <c r="G2" s="279" t="s">
        <v>2317</v>
      </c>
      <c r="H2" s="312" t="s">
        <v>112</v>
      </c>
      <c r="I2" s="313" t="s">
        <v>335</v>
      </c>
      <c r="J2" s="313" t="s">
        <v>1112</v>
      </c>
      <c r="K2" s="313"/>
      <c r="L2" s="312" t="s">
        <v>824</v>
      </c>
      <c r="M2" s="253">
        <v>46045</v>
      </c>
      <c r="N2" s="312" t="s">
        <v>57</v>
      </c>
      <c r="O2" s="312" t="s">
        <v>80</v>
      </c>
      <c r="P2" s="312"/>
      <c r="Q2" s="312" t="s">
        <v>58</v>
      </c>
      <c r="R2" s="313" t="s">
        <v>2318</v>
      </c>
      <c r="S2" s="313"/>
      <c r="T2" s="313" t="s">
        <v>1115</v>
      </c>
      <c r="U2" s="313"/>
      <c r="V2" s="313" t="s">
        <v>1123</v>
      </c>
      <c r="W2" s="313" t="s">
        <v>2319</v>
      </c>
      <c r="X2" s="313" t="s">
        <v>1125</v>
      </c>
      <c r="Y2" s="313" t="s">
        <v>1126</v>
      </c>
      <c r="Z2" s="313"/>
      <c r="AA2" s="314"/>
      <c r="AB2" s="314"/>
      <c r="AC2" s="314"/>
      <c r="AD2" s="314"/>
      <c r="AE2" s="314"/>
      <c r="AF2" s="314"/>
      <c r="AG2" s="314"/>
      <c r="AH2" s="314"/>
      <c r="AI2" s="314"/>
      <c r="AJ2" s="314"/>
      <c r="AK2" s="314"/>
      <c r="AL2" s="314"/>
      <c r="AM2" s="314"/>
      <c r="AN2" s="314"/>
      <c r="AO2" s="314"/>
      <c r="AP2" s="314"/>
      <c r="AQ2" s="314"/>
      <c r="AR2" s="314"/>
      <c r="AS2" s="314"/>
      <c r="AT2" s="314"/>
      <c r="AU2" s="314"/>
      <c r="AV2" s="314"/>
      <c r="AW2" s="314"/>
    </row>
    <row r="3" spans="1:163" ht="65.45" customHeight="1">
      <c r="A3" s="244">
        <v>38</v>
      </c>
      <c r="B3" s="253">
        <v>46056.961805555547</v>
      </c>
      <c r="C3" s="253">
        <v>46056.992361111108</v>
      </c>
      <c r="D3" s="244" t="s">
        <v>799</v>
      </c>
      <c r="E3" s="244" t="s">
        <v>800</v>
      </c>
      <c r="F3" s="244" t="s">
        <v>801</v>
      </c>
      <c r="G3" s="244" t="s">
        <v>802</v>
      </c>
      <c r="H3" s="312" t="s">
        <v>430</v>
      </c>
      <c r="I3" s="312" t="s">
        <v>645</v>
      </c>
      <c r="J3" s="312" t="s">
        <v>803</v>
      </c>
      <c r="K3" s="312"/>
      <c r="L3" s="312" t="s">
        <v>805</v>
      </c>
      <c r="M3" s="253">
        <v>46070</v>
      </c>
      <c r="N3" s="312" t="s">
        <v>57</v>
      </c>
      <c r="O3" s="312" t="s">
        <v>80</v>
      </c>
      <c r="P3" s="312"/>
      <c r="Q3" s="312" t="s">
        <v>58</v>
      </c>
      <c r="R3" s="312" t="s">
        <v>807</v>
      </c>
      <c r="S3" s="312"/>
      <c r="T3" s="312" t="s">
        <v>808</v>
      </c>
      <c r="U3" s="312"/>
      <c r="V3" s="244" t="s">
        <v>750</v>
      </c>
      <c r="W3" s="312" t="s">
        <v>815</v>
      </c>
      <c r="X3" s="312" t="s">
        <v>816</v>
      </c>
      <c r="Y3" s="312" t="s">
        <v>80</v>
      </c>
      <c r="Z3" s="312"/>
      <c r="AA3" s="314"/>
      <c r="AB3" s="314"/>
      <c r="AC3" s="314"/>
      <c r="AD3" s="314"/>
      <c r="AE3" s="314"/>
      <c r="AF3" s="314"/>
      <c r="AG3" s="314"/>
      <c r="AH3" s="315"/>
      <c r="AI3" s="314"/>
      <c r="AJ3" s="314"/>
      <c r="AK3" s="314"/>
      <c r="AL3" s="314"/>
      <c r="AM3" s="314"/>
      <c r="AN3" s="314"/>
      <c r="AO3" s="314"/>
      <c r="AP3" s="314"/>
      <c r="AQ3" s="314"/>
      <c r="AR3" s="314"/>
      <c r="AS3" s="314"/>
      <c r="AT3" s="314"/>
      <c r="AU3" s="314"/>
      <c r="AV3" s="314"/>
      <c r="AW3" s="314"/>
    </row>
    <row r="4" spans="1:163" ht="65.45" customHeight="1">
      <c r="A4" s="244">
        <v>50</v>
      </c>
      <c r="B4" s="311">
        <v>46070.484027777769</v>
      </c>
      <c r="C4" s="311">
        <v>46070.517361111109</v>
      </c>
      <c r="D4" s="279" t="s">
        <v>1497</v>
      </c>
      <c r="E4" s="279" t="s">
        <v>1498</v>
      </c>
      <c r="F4" s="279" t="s">
        <v>1499</v>
      </c>
      <c r="G4" s="279" t="s">
        <v>2320</v>
      </c>
      <c r="H4" s="312" t="s">
        <v>112</v>
      </c>
      <c r="I4" s="313" t="s">
        <v>204</v>
      </c>
      <c r="J4" s="313" t="s">
        <v>1500</v>
      </c>
      <c r="K4" s="313"/>
      <c r="L4" s="312" t="s">
        <v>226</v>
      </c>
      <c r="M4" s="253">
        <v>46146</v>
      </c>
      <c r="N4" s="312" t="s">
        <v>57</v>
      </c>
      <c r="O4" s="312" t="s">
        <v>80</v>
      </c>
      <c r="P4" s="312"/>
      <c r="Q4" s="312" t="s">
        <v>58</v>
      </c>
      <c r="R4" s="313" t="s">
        <v>1503</v>
      </c>
      <c r="S4" s="313"/>
      <c r="T4" s="313" t="s">
        <v>1504</v>
      </c>
      <c r="U4" s="313"/>
      <c r="V4" s="313" t="s">
        <v>1512</v>
      </c>
      <c r="W4" s="313" t="s">
        <v>1513</v>
      </c>
      <c r="X4" s="313" t="s">
        <v>2321</v>
      </c>
      <c r="Y4" s="313" t="s">
        <v>1515</v>
      </c>
      <c r="Z4" s="313"/>
      <c r="AA4" s="314"/>
      <c r="AB4" s="314"/>
      <c r="AC4" s="314"/>
      <c r="AD4" s="314"/>
      <c r="AE4" s="314"/>
      <c r="AF4" s="314"/>
      <c r="AG4" s="314"/>
      <c r="AH4" s="314"/>
      <c r="AI4" s="314"/>
      <c r="AJ4" s="314"/>
      <c r="AK4" s="314"/>
      <c r="AL4" s="314"/>
      <c r="AM4" s="314"/>
      <c r="AN4" s="314"/>
      <c r="AO4" s="314"/>
      <c r="AP4" s="314"/>
      <c r="AQ4" s="314"/>
      <c r="AR4" s="314"/>
      <c r="AS4" s="314"/>
      <c r="AT4" s="314"/>
      <c r="AU4" s="314"/>
      <c r="AV4" s="314"/>
      <c r="AW4" s="314"/>
    </row>
    <row r="5" spans="1:163" ht="65.45" customHeight="1">
      <c r="A5" s="244">
        <v>53</v>
      </c>
      <c r="B5" s="253">
        <v>46070.696527777778</v>
      </c>
      <c r="C5" s="253">
        <v>46070.718055555553</v>
      </c>
      <c r="D5" s="244" t="s">
        <v>799</v>
      </c>
      <c r="E5" s="244" t="s">
        <v>800</v>
      </c>
      <c r="F5" s="244" t="s">
        <v>915</v>
      </c>
      <c r="G5" s="244" t="s">
        <v>916</v>
      </c>
      <c r="H5" s="312" t="s">
        <v>430</v>
      </c>
      <c r="I5" s="312" t="s">
        <v>645</v>
      </c>
      <c r="J5" s="312" t="s">
        <v>917</v>
      </c>
      <c r="K5" s="312"/>
      <c r="L5" s="312" t="s">
        <v>805</v>
      </c>
      <c r="M5" s="253">
        <v>46112</v>
      </c>
      <c r="N5" s="312" t="s">
        <v>57</v>
      </c>
      <c r="O5" s="312" t="s">
        <v>80</v>
      </c>
      <c r="P5" s="312"/>
      <c r="Q5" s="312" t="s">
        <v>58</v>
      </c>
      <c r="R5" s="312" t="s">
        <v>918</v>
      </c>
      <c r="S5" s="312"/>
      <c r="T5" s="312" t="s">
        <v>919</v>
      </c>
      <c r="U5" s="312"/>
      <c r="V5" s="312" t="s">
        <v>926</v>
      </c>
      <c r="W5" s="312" t="s">
        <v>927</v>
      </c>
      <c r="X5" s="312" t="s">
        <v>928</v>
      </c>
      <c r="Y5" s="312" t="s">
        <v>929</v>
      </c>
      <c r="Z5" s="312"/>
      <c r="AA5" s="314"/>
      <c r="AB5" s="314"/>
      <c r="AC5" s="314"/>
      <c r="AD5" s="314"/>
      <c r="AE5" s="314"/>
      <c r="AF5" s="314"/>
      <c r="AG5" s="314"/>
      <c r="AH5" s="314"/>
      <c r="AI5" s="314"/>
      <c r="AJ5" s="314"/>
      <c r="AK5" s="314"/>
      <c r="AL5" s="314"/>
      <c r="AM5" s="314"/>
      <c r="AN5" s="314"/>
      <c r="AO5" s="314"/>
      <c r="AP5" s="314"/>
      <c r="AQ5" s="314"/>
      <c r="AR5" s="314"/>
      <c r="AS5" s="314"/>
      <c r="AT5" s="314"/>
      <c r="AU5" s="314"/>
      <c r="AV5" s="314"/>
      <c r="AW5" s="314"/>
    </row>
    <row r="6" spans="1:163" ht="65.45" customHeight="1">
      <c r="A6" s="244">
        <v>57</v>
      </c>
      <c r="B6" s="253">
        <v>46071.778449074103</v>
      </c>
      <c r="C6" s="253">
        <v>46072.386608796303</v>
      </c>
      <c r="D6" s="244" t="s">
        <v>951</v>
      </c>
      <c r="E6" s="244" t="s">
        <v>952</v>
      </c>
      <c r="F6" s="244" t="s">
        <v>953</v>
      </c>
      <c r="G6" s="244" t="s">
        <v>954</v>
      </c>
      <c r="H6" s="244" t="s">
        <v>52</v>
      </c>
      <c r="I6" s="244" t="s">
        <v>224</v>
      </c>
      <c r="J6" s="244" t="s">
        <v>955</v>
      </c>
      <c r="K6" s="244"/>
      <c r="L6" s="253" t="s">
        <v>226</v>
      </c>
      <c r="M6" s="253">
        <v>46081</v>
      </c>
      <c r="N6" s="244" t="s">
        <v>57</v>
      </c>
      <c r="O6" s="244"/>
      <c r="P6" s="244"/>
      <c r="Q6" s="244"/>
      <c r="R6" s="244" t="s">
        <v>957</v>
      </c>
      <c r="S6" s="244"/>
      <c r="T6" s="244" t="s">
        <v>958</v>
      </c>
      <c r="U6" s="244" t="s">
        <v>962</v>
      </c>
      <c r="V6" s="244" t="s">
        <v>187</v>
      </c>
      <c r="W6" s="244" t="s">
        <v>965</v>
      </c>
      <c r="X6" s="244" t="s">
        <v>966</v>
      </c>
      <c r="Y6" s="255" t="s">
        <v>967</v>
      </c>
      <c r="Z6" s="255"/>
      <c r="AA6" s="267" t="s">
        <v>970</v>
      </c>
      <c r="AB6" s="267"/>
      <c r="AC6" s="267"/>
      <c r="AD6" s="267" t="s">
        <v>2</v>
      </c>
      <c r="AE6" s="267"/>
      <c r="AF6" s="260"/>
      <c r="AG6" s="260" t="s">
        <v>2322</v>
      </c>
      <c r="AH6" s="316"/>
      <c r="AI6" s="308">
        <v>60000</v>
      </c>
      <c r="AJ6" s="307" t="s">
        <v>2323</v>
      </c>
      <c r="AK6" s="308" t="s">
        <v>245</v>
      </c>
      <c r="AL6" s="260"/>
      <c r="AM6" s="260"/>
      <c r="AN6" s="260" t="s">
        <v>605</v>
      </c>
      <c r="AO6" s="260"/>
      <c r="AP6" s="260" t="s">
        <v>64</v>
      </c>
      <c r="AQ6" s="260" t="s">
        <v>2324</v>
      </c>
      <c r="AR6" s="272"/>
      <c r="AS6" s="272"/>
      <c r="AT6" s="272"/>
      <c r="AU6" s="272"/>
      <c r="AV6" s="272"/>
      <c r="AW6" s="272"/>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row>
    <row r="7" spans="1:163" ht="65.45" customHeight="1">
      <c r="A7" s="317">
        <v>61</v>
      </c>
      <c r="B7" s="311">
        <v>46083.706215277802</v>
      </c>
      <c r="C7" s="311">
        <v>46083.709166666697</v>
      </c>
      <c r="D7" s="279" t="s">
        <v>91</v>
      </c>
      <c r="E7" s="279" t="s">
        <v>92</v>
      </c>
      <c r="F7" s="279" t="s">
        <v>2325</v>
      </c>
      <c r="G7" s="279" t="s">
        <v>2326</v>
      </c>
      <c r="H7" s="279" t="s">
        <v>95</v>
      </c>
      <c r="I7" s="313" t="s">
        <v>181</v>
      </c>
      <c r="J7" s="313" t="s">
        <v>97</v>
      </c>
      <c r="K7" s="313"/>
      <c r="L7" s="313" t="s">
        <v>79</v>
      </c>
      <c r="M7" s="253">
        <v>46295</v>
      </c>
      <c r="N7" s="313" t="s">
        <v>57</v>
      </c>
      <c r="O7" s="313">
        <v>0</v>
      </c>
      <c r="P7" s="313"/>
      <c r="Q7" s="318" t="s">
        <v>183</v>
      </c>
      <c r="R7" s="313" t="s">
        <v>2327</v>
      </c>
      <c r="S7" s="313"/>
      <c r="T7" s="313" t="s">
        <v>186</v>
      </c>
      <c r="U7" s="313" t="s">
        <v>2328</v>
      </c>
      <c r="V7" s="313" t="s">
        <v>187</v>
      </c>
      <c r="W7" s="313" t="s">
        <v>2329</v>
      </c>
      <c r="X7" s="313" t="s">
        <v>2330</v>
      </c>
      <c r="Y7" s="313" t="s">
        <v>2331</v>
      </c>
      <c r="Z7" s="313"/>
      <c r="AA7" s="314"/>
      <c r="AB7" s="314"/>
      <c r="AC7" s="314"/>
      <c r="AD7" s="314"/>
      <c r="AE7" s="314"/>
      <c r="AF7" s="314"/>
      <c r="AG7" s="314"/>
      <c r="AH7" s="267"/>
      <c r="AI7" s="267"/>
      <c r="AJ7" s="267"/>
      <c r="AK7" s="267"/>
      <c r="AL7" s="314"/>
      <c r="AM7" s="314"/>
      <c r="AN7" s="314"/>
      <c r="AO7" s="319"/>
      <c r="AP7" s="314"/>
      <c r="AQ7" s="314"/>
      <c r="AR7" s="314"/>
      <c r="AS7" s="314"/>
      <c r="AT7" s="314"/>
      <c r="AU7" s="314"/>
      <c r="AV7" s="314"/>
      <c r="AW7" s="314"/>
      <c r="FE7" s="59"/>
      <c r="FF7" s="59"/>
      <c r="FG7" s="59"/>
    </row>
    <row r="8" spans="1:163" ht="65.45" customHeight="1">
      <c r="A8" s="317">
        <v>64</v>
      </c>
      <c r="B8" s="311">
        <v>46083.714710648099</v>
      </c>
      <c r="C8" s="311">
        <v>46083.720902777801</v>
      </c>
      <c r="D8" s="279" t="s">
        <v>91</v>
      </c>
      <c r="E8" s="279" t="s">
        <v>92</v>
      </c>
      <c r="F8" s="279" t="s">
        <v>2332</v>
      </c>
      <c r="G8" s="279" t="s">
        <v>2333</v>
      </c>
      <c r="H8" s="279" t="s">
        <v>95</v>
      </c>
      <c r="I8" s="313" t="s">
        <v>181</v>
      </c>
      <c r="J8" s="313" t="s">
        <v>2334</v>
      </c>
      <c r="K8" s="313"/>
      <c r="L8" s="313" t="s">
        <v>79</v>
      </c>
      <c r="M8" s="253">
        <v>46295</v>
      </c>
      <c r="N8" s="313" t="s">
        <v>57</v>
      </c>
      <c r="O8" s="313">
        <v>0</v>
      </c>
      <c r="P8" s="313"/>
      <c r="Q8" s="318" t="s">
        <v>183</v>
      </c>
      <c r="R8" s="313" t="s">
        <v>2335</v>
      </c>
      <c r="S8" s="313"/>
      <c r="T8" s="313" t="s">
        <v>2336</v>
      </c>
      <c r="U8" s="313" t="s">
        <v>2337</v>
      </c>
      <c r="V8" s="313" t="s">
        <v>187</v>
      </c>
      <c r="W8" s="313" t="s">
        <v>2338</v>
      </c>
      <c r="X8" s="313" t="s">
        <v>2339</v>
      </c>
      <c r="Y8" s="313" t="s">
        <v>2340</v>
      </c>
      <c r="Z8" s="313"/>
      <c r="AA8" s="314"/>
      <c r="AB8" s="314"/>
      <c r="AC8" s="314"/>
      <c r="AD8" s="314"/>
      <c r="AE8" s="314"/>
      <c r="AF8" s="314"/>
      <c r="AG8" s="314"/>
      <c r="AH8" s="267"/>
      <c r="AI8" s="267"/>
      <c r="AJ8" s="267"/>
      <c r="AK8" s="267"/>
      <c r="AL8" s="314"/>
      <c r="AM8" s="314"/>
      <c r="AN8" s="314"/>
      <c r="AO8" s="314"/>
      <c r="AP8" s="314"/>
      <c r="AQ8" s="314"/>
      <c r="AR8" s="314"/>
      <c r="AS8" s="314"/>
      <c r="AT8" s="314"/>
      <c r="AU8" s="314"/>
      <c r="AV8" s="314"/>
      <c r="AW8" s="314"/>
      <c r="FE8" s="59"/>
      <c r="FF8" s="59"/>
      <c r="FG8" s="59"/>
    </row>
    <row r="9" spans="1:163" ht="65.45" customHeight="1">
      <c r="A9" s="244">
        <v>67</v>
      </c>
      <c r="B9" s="311">
        <v>46086.675891203697</v>
      </c>
      <c r="C9" s="311">
        <v>46086.694652777798</v>
      </c>
      <c r="D9" s="279" t="s">
        <v>799</v>
      </c>
      <c r="E9" s="279" t="s">
        <v>800</v>
      </c>
      <c r="F9" s="279" t="s">
        <v>2341</v>
      </c>
      <c r="G9" s="279" t="s">
        <v>2342</v>
      </c>
      <c r="H9" s="312" t="s">
        <v>430</v>
      </c>
      <c r="I9" s="313" t="s">
        <v>645</v>
      </c>
      <c r="J9" s="313" t="s">
        <v>2343</v>
      </c>
      <c r="K9" s="313"/>
      <c r="L9" s="312" t="s">
        <v>805</v>
      </c>
      <c r="M9" s="253">
        <v>46143</v>
      </c>
      <c r="N9" s="312" t="s">
        <v>57</v>
      </c>
      <c r="O9" s="312">
        <v>0</v>
      </c>
      <c r="P9" s="312"/>
      <c r="Q9" s="312" t="s">
        <v>58</v>
      </c>
      <c r="R9" s="313" t="s">
        <v>2344</v>
      </c>
      <c r="S9" s="313"/>
      <c r="T9" s="313" t="s">
        <v>2345</v>
      </c>
      <c r="U9" s="313"/>
      <c r="V9" s="313" t="s">
        <v>187</v>
      </c>
      <c r="W9" s="313" t="s">
        <v>2346</v>
      </c>
      <c r="X9" s="313" t="s">
        <v>2347</v>
      </c>
      <c r="Y9" s="313" t="s">
        <v>2348</v>
      </c>
      <c r="Z9" s="313"/>
      <c r="AA9" s="314"/>
      <c r="AB9" s="314"/>
      <c r="AC9" s="314"/>
      <c r="AD9" s="314"/>
      <c r="AE9" s="314"/>
      <c r="AF9" s="314"/>
      <c r="AG9" s="314"/>
      <c r="AH9" s="314"/>
      <c r="AI9" s="314"/>
      <c r="AJ9" s="314"/>
      <c r="AK9" s="314"/>
      <c r="AL9" s="314"/>
      <c r="AM9" s="314"/>
      <c r="AN9" s="314"/>
      <c r="AO9" s="314"/>
      <c r="AP9" s="314"/>
      <c r="AQ9" s="314"/>
      <c r="AR9" s="314"/>
      <c r="AS9" s="314"/>
      <c r="AT9" s="314"/>
      <c r="AU9" s="314"/>
      <c r="AV9" s="314"/>
      <c r="AW9" s="314"/>
    </row>
    <row r="10" spans="1:163" ht="65.45" customHeight="1">
      <c r="A10" s="244">
        <v>70</v>
      </c>
      <c r="B10" s="253">
        <v>46092.6265277778</v>
      </c>
      <c r="C10" s="320">
        <v>46093.507175925901</v>
      </c>
      <c r="D10" s="244" t="s">
        <v>818</v>
      </c>
      <c r="E10" s="244" t="s">
        <v>819</v>
      </c>
      <c r="F10" s="244" t="s">
        <v>2349</v>
      </c>
      <c r="G10" s="244" t="s">
        <v>2350</v>
      </c>
      <c r="H10" s="312" t="s">
        <v>112</v>
      </c>
      <c r="I10" s="312" t="s">
        <v>204</v>
      </c>
      <c r="J10" s="312" t="s">
        <v>2351</v>
      </c>
      <c r="K10" s="312"/>
      <c r="L10" s="312" t="s">
        <v>824</v>
      </c>
      <c r="M10" s="253">
        <v>46174</v>
      </c>
      <c r="N10" s="312" t="s">
        <v>118</v>
      </c>
      <c r="O10" s="312" t="s">
        <v>350</v>
      </c>
      <c r="P10" s="312"/>
      <c r="Q10" s="312" t="s">
        <v>58</v>
      </c>
      <c r="R10" s="244" t="s">
        <v>2352</v>
      </c>
      <c r="S10" s="244"/>
      <c r="T10" s="312" t="s">
        <v>2353</v>
      </c>
      <c r="U10" s="244"/>
      <c r="V10" s="244" t="s">
        <v>637</v>
      </c>
      <c r="W10" s="244" t="s">
        <v>2354</v>
      </c>
      <c r="X10" s="244" t="s">
        <v>2355</v>
      </c>
      <c r="Y10" s="312" t="s">
        <v>2356</v>
      </c>
      <c r="Z10" s="312"/>
      <c r="AA10" s="314"/>
      <c r="AB10" s="314"/>
      <c r="AC10" s="314"/>
      <c r="AD10" s="314"/>
      <c r="AE10" s="314"/>
      <c r="AF10" s="314"/>
      <c r="AG10" s="314"/>
      <c r="AH10" s="314"/>
      <c r="AI10" s="314"/>
      <c r="AJ10" s="314"/>
      <c r="AK10" s="267"/>
      <c r="AL10" s="314"/>
      <c r="AM10" s="314"/>
      <c r="AN10" s="314"/>
      <c r="AO10" s="267"/>
      <c r="AP10" s="314"/>
      <c r="AQ10" s="314"/>
      <c r="AR10" s="314"/>
      <c r="AS10" s="314"/>
      <c r="AT10" s="314"/>
      <c r="AU10" s="314"/>
      <c r="AV10" s="314"/>
      <c r="AW10" s="314"/>
    </row>
    <row r="11" spans="1:163" ht="65.45" customHeight="1">
      <c r="A11" s="244">
        <v>74</v>
      </c>
      <c r="B11" s="253">
        <v>46097.479016203702</v>
      </c>
      <c r="C11" s="253">
        <v>46097.807569444398</v>
      </c>
      <c r="D11" s="244" t="s">
        <v>72</v>
      </c>
      <c r="E11" s="244" t="s">
        <v>73</v>
      </c>
      <c r="F11" s="244" t="s">
        <v>2357</v>
      </c>
      <c r="G11" s="244" t="s">
        <v>2358</v>
      </c>
      <c r="H11" s="244" t="s">
        <v>112</v>
      </c>
      <c r="I11" s="244" t="s">
        <v>77</v>
      </c>
      <c r="J11" s="244" t="s">
        <v>2359</v>
      </c>
      <c r="K11" s="244"/>
      <c r="L11" s="244" t="s">
        <v>1024</v>
      </c>
      <c r="M11" s="253">
        <v>46113</v>
      </c>
      <c r="N11" s="244" t="s">
        <v>57</v>
      </c>
      <c r="O11" s="244">
        <v>0</v>
      </c>
      <c r="P11" s="244"/>
      <c r="Q11" s="312" t="s">
        <v>58</v>
      </c>
      <c r="R11" s="244" t="s">
        <v>2360</v>
      </c>
      <c r="S11" s="244"/>
      <c r="T11" s="244" t="s">
        <v>2361</v>
      </c>
      <c r="U11" s="244"/>
      <c r="V11" s="244" t="s">
        <v>637</v>
      </c>
      <c r="W11" s="244" t="s">
        <v>2362</v>
      </c>
      <c r="X11" s="244" t="s">
        <v>2363</v>
      </c>
      <c r="Y11" s="244" t="s">
        <v>2364</v>
      </c>
      <c r="Z11" s="244"/>
      <c r="AA11" s="267"/>
      <c r="AB11" s="267"/>
      <c r="AC11" s="267"/>
      <c r="AD11" s="267"/>
      <c r="AE11" s="267"/>
      <c r="AF11" s="267"/>
      <c r="AG11" s="267"/>
      <c r="AH11" s="267"/>
      <c r="AI11" s="267"/>
      <c r="AJ11" s="267"/>
      <c r="AK11" s="267"/>
      <c r="AL11" s="267"/>
      <c r="AM11" s="267"/>
      <c r="AN11" s="267"/>
      <c r="AO11" s="267"/>
      <c r="AP11" s="267"/>
      <c r="AQ11" s="267"/>
      <c r="AR11" s="267"/>
      <c r="AS11" s="267"/>
      <c r="AT11" s="267"/>
      <c r="AU11" s="267"/>
      <c r="AV11" s="267"/>
      <c r="AW11" s="267"/>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row>
    <row r="12" spans="1:163" s="10" customFormat="1" ht="111" customHeight="1">
      <c r="A12" s="244">
        <v>84</v>
      </c>
      <c r="B12" s="253">
        <v>46106.080833333297</v>
      </c>
      <c r="C12" s="253">
        <v>46106.090543981503</v>
      </c>
      <c r="D12" s="244" t="s">
        <v>757</v>
      </c>
      <c r="E12" s="244" t="s">
        <v>758</v>
      </c>
      <c r="F12" s="244" t="s">
        <v>2186</v>
      </c>
      <c r="G12" s="244" t="s">
        <v>2187</v>
      </c>
      <c r="H12" s="244" t="s">
        <v>52</v>
      </c>
      <c r="I12" s="244" t="s">
        <v>204</v>
      </c>
      <c r="J12" s="244" t="s">
        <v>2188</v>
      </c>
      <c r="K12" s="244"/>
      <c r="L12" s="244" t="s">
        <v>206</v>
      </c>
      <c r="M12" s="253">
        <v>46127</v>
      </c>
      <c r="N12" s="244" t="s">
        <v>57</v>
      </c>
      <c r="O12" s="244">
        <v>0</v>
      </c>
      <c r="P12" s="244"/>
      <c r="Q12" s="312" t="s">
        <v>58</v>
      </c>
      <c r="R12" s="244" t="s">
        <v>2189</v>
      </c>
      <c r="S12" s="244"/>
      <c r="T12" s="244" t="s">
        <v>435</v>
      </c>
      <c r="U12" s="244"/>
      <c r="V12" s="244" t="s">
        <v>750</v>
      </c>
      <c r="W12" s="244" t="s">
        <v>2365</v>
      </c>
      <c r="X12" s="244" t="s">
        <v>2190</v>
      </c>
      <c r="Y12" s="244" t="s">
        <v>2191</v>
      </c>
      <c r="Z12" s="244"/>
      <c r="AA12" s="267"/>
      <c r="AB12" s="267"/>
      <c r="AC12" s="267"/>
      <c r="AD12" s="267"/>
      <c r="AE12" s="267"/>
      <c r="AF12" s="267"/>
      <c r="AG12" s="267"/>
      <c r="AH12" s="267"/>
      <c r="AI12" s="267"/>
      <c r="AJ12" s="267"/>
      <c r="AK12" s="267"/>
      <c r="AL12" s="267"/>
      <c r="AM12" s="267"/>
      <c r="AN12" s="267"/>
      <c r="AO12" s="267"/>
      <c r="AP12" s="267"/>
      <c r="AQ12" s="267"/>
      <c r="AR12" s="267"/>
      <c r="AS12" s="267"/>
      <c r="AT12" s="267"/>
      <c r="AU12" s="267"/>
      <c r="AV12" s="267"/>
      <c r="AW12" s="267"/>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row>
    <row r="13" spans="1:163" ht="188.45">
      <c r="A13" s="244">
        <v>106</v>
      </c>
      <c r="B13" s="312"/>
      <c r="C13" s="312"/>
      <c r="D13" s="312"/>
      <c r="E13" s="312"/>
      <c r="F13" s="312" t="s">
        <v>2366</v>
      </c>
      <c r="G13" s="312" t="s">
        <v>2367</v>
      </c>
      <c r="H13" s="312" t="s">
        <v>112</v>
      </c>
      <c r="I13" s="312" t="s">
        <v>224</v>
      </c>
      <c r="J13" s="312" t="s">
        <v>2368</v>
      </c>
      <c r="K13" s="312" t="s">
        <v>741</v>
      </c>
      <c r="L13" s="312" t="s">
        <v>56</v>
      </c>
      <c r="M13" s="312">
        <v>46173</v>
      </c>
      <c r="N13" s="312" t="s">
        <v>1490</v>
      </c>
      <c r="O13" s="312"/>
      <c r="P13" s="312" t="s">
        <v>536</v>
      </c>
      <c r="Q13" s="312" t="s">
        <v>58</v>
      </c>
      <c r="R13" s="312" t="s">
        <v>2369</v>
      </c>
      <c r="S13" s="312"/>
      <c r="T13" s="312" t="s">
        <v>2370</v>
      </c>
      <c r="U13" s="312"/>
      <c r="V13" s="312" t="s">
        <v>365</v>
      </c>
      <c r="W13" s="312" t="s">
        <v>2371</v>
      </c>
      <c r="X13" s="312" t="s">
        <v>2372</v>
      </c>
      <c r="Y13" s="312" t="s">
        <v>2373</v>
      </c>
      <c r="Z13" s="312"/>
      <c r="AA13" s="314" t="s">
        <v>156</v>
      </c>
      <c r="AB13" s="314" t="s">
        <v>69</v>
      </c>
      <c r="AC13" s="314">
        <v>46135</v>
      </c>
      <c r="AD13" s="314"/>
      <c r="AE13" s="314"/>
      <c r="AF13" s="314"/>
      <c r="AG13" s="314"/>
      <c r="AH13" s="314"/>
      <c r="AI13" s="314"/>
      <c r="AJ13" s="314"/>
      <c r="AK13" s="314"/>
      <c r="AL13" s="314"/>
      <c r="AM13" s="314" t="s">
        <v>218</v>
      </c>
      <c r="AN13" s="314"/>
      <c r="AO13" s="314"/>
      <c r="AP13" s="314"/>
      <c r="AQ13" s="314"/>
      <c r="AR13" s="314"/>
      <c r="AS13" s="314"/>
      <c r="AT13" s="314"/>
      <c r="AU13" s="314"/>
      <c r="AV13" s="314"/>
      <c r="AW13" s="314"/>
    </row>
    <row r="14" spans="1:163" ht="409.5">
      <c r="A14" s="244">
        <v>59</v>
      </c>
      <c r="B14" s="253">
        <v>46083</v>
      </c>
      <c r="C14" s="253">
        <v>46083</v>
      </c>
      <c r="D14" s="244" t="s">
        <v>91</v>
      </c>
      <c r="E14" s="244" t="s">
        <v>92</v>
      </c>
      <c r="F14" s="244" t="s">
        <v>2374</v>
      </c>
      <c r="G14" s="244" t="s">
        <v>2375</v>
      </c>
      <c r="H14" s="244" t="s">
        <v>95</v>
      </c>
      <c r="I14" s="244" t="s">
        <v>181</v>
      </c>
      <c r="J14" s="244" t="s">
        <v>2376</v>
      </c>
      <c r="K14" s="244"/>
      <c r="L14" s="253" t="s">
        <v>182</v>
      </c>
      <c r="M14" s="253">
        <v>46203</v>
      </c>
      <c r="N14" s="244" t="s">
        <v>57</v>
      </c>
      <c r="O14" s="244"/>
      <c r="P14" s="244"/>
      <c r="Q14" s="318" t="s">
        <v>183</v>
      </c>
      <c r="R14" s="244" t="s">
        <v>2377</v>
      </c>
      <c r="S14" s="244"/>
      <c r="T14" s="244" t="s">
        <v>1032</v>
      </c>
      <c r="U14" s="244" t="s">
        <v>2378</v>
      </c>
      <c r="V14" s="244" t="s">
        <v>187</v>
      </c>
      <c r="W14" s="244" t="s">
        <v>2379</v>
      </c>
      <c r="X14" s="244" t="s">
        <v>2380</v>
      </c>
      <c r="Y14" s="255" t="s">
        <v>2381</v>
      </c>
      <c r="Z14" s="255"/>
      <c r="AA14" s="267" t="s">
        <v>2382</v>
      </c>
      <c r="AB14" s="267" t="s">
        <v>191</v>
      </c>
      <c r="AC14" s="267"/>
      <c r="AD14" s="260" t="s">
        <v>2</v>
      </c>
      <c r="AE14" s="306"/>
      <c r="AF14" s="306" t="s">
        <v>707</v>
      </c>
      <c r="AG14" s="260"/>
      <c r="AH14" s="307"/>
      <c r="AI14" s="308"/>
      <c r="AJ14" s="260" t="s">
        <v>2383</v>
      </c>
      <c r="AK14" s="260"/>
      <c r="AL14" s="260"/>
      <c r="AM14" s="260"/>
      <c r="AN14" s="260" t="s">
        <v>192</v>
      </c>
      <c r="AO14" s="260"/>
      <c r="AP14" s="314"/>
      <c r="AQ14" s="314"/>
      <c r="AR14" s="314"/>
      <c r="AS14" s="314"/>
      <c r="AT14" s="314"/>
      <c r="AU14" s="314"/>
      <c r="AV14" s="314"/>
      <c r="AW14" s="314"/>
    </row>
    <row r="15" spans="1:163" s="10" customFormat="1" ht="409.5">
      <c r="A15" s="244">
        <v>43</v>
      </c>
      <c r="B15" s="253">
        <v>46059.399710648097</v>
      </c>
      <c r="C15" s="253">
        <v>46059.404594907399</v>
      </c>
      <c r="D15" s="254" t="s">
        <v>818</v>
      </c>
      <c r="E15" s="254" t="s">
        <v>819</v>
      </c>
      <c r="F15" s="254" t="s">
        <v>1453</v>
      </c>
      <c r="G15" s="254" t="s">
        <v>1464</v>
      </c>
      <c r="H15" s="254" t="s">
        <v>112</v>
      </c>
      <c r="I15" s="244" t="s">
        <v>113</v>
      </c>
      <c r="J15" s="244" t="s">
        <v>1454</v>
      </c>
      <c r="K15" s="244"/>
      <c r="L15" s="244" t="s">
        <v>56</v>
      </c>
      <c r="M15" s="253">
        <v>46188</v>
      </c>
      <c r="N15" s="244" t="s">
        <v>57</v>
      </c>
      <c r="O15" s="244"/>
      <c r="P15" s="244"/>
      <c r="Q15" s="244"/>
      <c r="R15" s="254" t="s">
        <v>1456</v>
      </c>
      <c r="S15" s="254"/>
      <c r="T15" s="254" t="s">
        <v>1457</v>
      </c>
      <c r="U15" s="254" t="s">
        <v>1462</v>
      </c>
      <c r="V15" s="254" t="s">
        <v>1070</v>
      </c>
      <c r="W15" s="254" t="s">
        <v>1465</v>
      </c>
      <c r="X15" s="254" t="s">
        <v>1466</v>
      </c>
      <c r="Y15" s="255" t="s">
        <v>1467</v>
      </c>
      <c r="Z15" s="255"/>
      <c r="AA15" s="267" t="s">
        <v>860</v>
      </c>
      <c r="AB15" s="267"/>
      <c r="AC15" s="271"/>
      <c r="AD15" s="267" t="s">
        <v>2</v>
      </c>
      <c r="AE15" s="271"/>
      <c r="AF15" s="275"/>
      <c r="AG15" s="272">
        <v>2</v>
      </c>
      <c r="AH15" s="268">
        <f>60*75*1.18</f>
        <v>5310</v>
      </c>
      <c r="AI15" s="269">
        <v>18850.5</v>
      </c>
      <c r="AJ15" s="270" t="s">
        <v>2384</v>
      </c>
      <c r="AK15" s="273" t="s">
        <v>245</v>
      </c>
      <c r="AL15" s="267"/>
      <c r="AM15" s="267"/>
      <c r="AN15" s="272" t="s">
        <v>605</v>
      </c>
      <c r="AO15" s="267"/>
      <c r="AP15" s="261" t="s">
        <v>64</v>
      </c>
      <c r="AQ15" s="260" t="s">
        <v>2385</v>
      </c>
      <c r="AR15" s="272"/>
      <c r="AS15" s="272"/>
      <c r="AT15" s="272"/>
      <c r="AU15" s="272"/>
      <c r="AV15" s="272"/>
      <c r="AW15" s="272"/>
    </row>
    <row r="16" spans="1:163" s="10" customFormat="1" ht="409.5">
      <c r="A16" s="244">
        <v>89</v>
      </c>
      <c r="B16" s="253">
        <v>46108.472812499997</v>
      </c>
      <c r="C16" s="253">
        <v>46108.482928240701</v>
      </c>
      <c r="D16" s="254" t="s">
        <v>1344</v>
      </c>
      <c r="E16" s="254" t="s">
        <v>607</v>
      </c>
      <c r="F16" s="254" t="s">
        <v>2386</v>
      </c>
      <c r="G16" s="254" t="s">
        <v>2387</v>
      </c>
      <c r="H16" s="254" t="s">
        <v>52</v>
      </c>
      <c r="I16" s="244" t="s">
        <v>53</v>
      </c>
      <c r="J16" s="244" t="s">
        <v>2388</v>
      </c>
      <c r="K16" s="244"/>
      <c r="L16" s="244" t="s">
        <v>56</v>
      </c>
      <c r="M16" s="253">
        <v>46188</v>
      </c>
      <c r="N16" s="244" t="s">
        <v>57</v>
      </c>
      <c r="O16" s="244">
        <v>0</v>
      </c>
      <c r="P16" s="244"/>
      <c r="Q16" s="312" t="s">
        <v>58</v>
      </c>
      <c r="R16" s="254" t="s">
        <v>2389</v>
      </c>
      <c r="S16" s="254"/>
      <c r="T16" s="254" t="s">
        <v>2390</v>
      </c>
      <c r="U16" s="254"/>
      <c r="V16" s="254" t="s">
        <v>187</v>
      </c>
      <c r="W16" s="254" t="s">
        <v>2391</v>
      </c>
      <c r="X16" s="254" t="s">
        <v>2392</v>
      </c>
      <c r="Y16" s="255" t="s">
        <v>2393</v>
      </c>
      <c r="Z16" s="255"/>
      <c r="AA16" s="267" t="s">
        <v>860</v>
      </c>
      <c r="AB16" s="267" t="s">
        <v>191</v>
      </c>
      <c r="AC16" s="271"/>
      <c r="AD16" s="267"/>
      <c r="AE16" s="271"/>
      <c r="AF16" s="275"/>
      <c r="AG16" s="272"/>
      <c r="AH16" s="268"/>
      <c r="AI16" s="269">
        <v>0</v>
      </c>
      <c r="AJ16" s="270" t="s">
        <v>2394</v>
      </c>
      <c r="AK16" s="273"/>
      <c r="AL16" s="267"/>
      <c r="AM16" s="267"/>
      <c r="AN16" s="272" t="s">
        <v>605</v>
      </c>
      <c r="AO16" s="267"/>
      <c r="AP16" s="261" t="s">
        <v>64</v>
      </c>
      <c r="AQ16" s="260" t="s">
        <v>2395</v>
      </c>
      <c r="AR16" s="272"/>
      <c r="AS16" s="272"/>
      <c r="AT16" s="272"/>
      <c r="AU16" s="272"/>
      <c r="AV16" s="272"/>
      <c r="AW16" s="272"/>
    </row>
    <row r="17" spans="1:49" ht="217.5">
      <c r="A17" s="312">
        <v>86</v>
      </c>
      <c r="B17" s="321">
        <v>46106.524722222202</v>
      </c>
      <c r="C17" s="321">
        <v>46106.537141203698</v>
      </c>
      <c r="D17" s="312" t="s">
        <v>1344</v>
      </c>
      <c r="E17" s="312" t="s">
        <v>607</v>
      </c>
      <c r="F17" s="312" t="s">
        <v>2396</v>
      </c>
      <c r="G17" s="312" t="s">
        <v>2397</v>
      </c>
      <c r="H17" s="312" t="s">
        <v>52</v>
      </c>
      <c r="I17" s="312" t="s">
        <v>53</v>
      </c>
      <c r="J17" s="312" t="s">
        <v>2398</v>
      </c>
      <c r="K17" s="312"/>
      <c r="L17" s="312" t="s">
        <v>56</v>
      </c>
      <c r="M17" s="253">
        <v>46218</v>
      </c>
      <c r="N17" s="312" t="s">
        <v>57</v>
      </c>
      <c r="O17" s="312">
        <v>0</v>
      </c>
      <c r="P17" s="312"/>
      <c r="Q17" s="312" t="s">
        <v>58</v>
      </c>
      <c r="R17" s="312" t="s">
        <v>2399</v>
      </c>
      <c r="S17" s="312"/>
      <c r="T17" s="312" t="s">
        <v>2400</v>
      </c>
      <c r="U17" s="312"/>
      <c r="V17" s="312" t="s">
        <v>678</v>
      </c>
      <c r="W17" s="312" t="s">
        <v>57</v>
      </c>
      <c r="X17" s="312" t="s">
        <v>2401</v>
      </c>
      <c r="Y17" s="322" t="s">
        <v>2402</v>
      </c>
      <c r="Z17" s="322"/>
      <c r="AA17" s="314" t="s">
        <v>2403</v>
      </c>
      <c r="AB17" s="314" t="s">
        <v>2404</v>
      </c>
      <c r="AC17" s="314"/>
      <c r="AD17" s="314"/>
      <c r="AE17" s="314"/>
      <c r="AF17" s="314"/>
      <c r="AG17" s="314"/>
      <c r="AH17" s="314"/>
      <c r="AI17" s="314"/>
      <c r="AJ17" s="314"/>
      <c r="AK17" s="314"/>
      <c r="AL17" s="314"/>
      <c r="AM17" s="314"/>
      <c r="AN17" s="314" t="s">
        <v>70</v>
      </c>
      <c r="AO17" s="267" t="s">
        <v>2405</v>
      </c>
      <c r="AP17" s="323"/>
      <c r="AQ17" s="314" t="s">
        <v>2406</v>
      </c>
      <c r="AR17" s="314"/>
      <c r="AS17" s="314"/>
      <c r="AT17" s="314"/>
      <c r="AU17" s="314"/>
      <c r="AV17" s="314"/>
      <c r="AW17" s="314"/>
    </row>
    <row r="18" spans="1:49" ht="66.75" customHeight="1">
      <c r="A18" s="312">
        <v>125</v>
      </c>
      <c r="B18" s="321">
        <v>46141.514305555596</v>
      </c>
      <c r="C18" s="321">
        <v>46141.571064814802</v>
      </c>
      <c r="D18" s="312" t="s">
        <v>2407</v>
      </c>
      <c r="E18" s="312" t="s">
        <v>2408</v>
      </c>
      <c r="F18" s="312" t="s">
        <v>2409</v>
      </c>
      <c r="G18" s="312" t="s">
        <v>2410</v>
      </c>
      <c r="H18" s="312" t="s">
        <v>52</v>
      </c>
      <c r="I18" s="312" t="s">
        <v>335</v>
      </c>
      <c r="J18" s="312" t="s">
        <v>2411</v>
      </c>
      <c r="K18" s="312"/>
      <c r="L18" s="312">
        <v>0</v>
      </c>
      <c r="M18" s="253">
        <v>46158</v>
      </c>
      <c r="N18" s="312" t="s">
        <v>57</v>
      </c>
      <c r="O18" s="312">
        <v>0</v>
      </c>
      <c r="P18" s="312"/>
      <c r="Q18" s="312" t="s">
        <v>58</v>
      </c>
      <c r="R18" s="312" t="s">
        <v>2412</v>
      </c>
      <c r="S18" s="312"/>
      <c r="T18" s="312" t="s">
        <v>2413</v>
      </c>
      <c r="U18" s="312"/>
      <c r="V18" s="312" t="s">
        <v>63</v>
      </c>
      <c r="W18" s="312" t="s">
        <v>2414</v>
      </c>
      <c r="X18" s="312" t="s">
        <v>2415</v>
      </c>
      <c r="Y18" s="322">
        <v>0</v>
      </c>
      <c r="Z18" s="322"/>
      <c r="AA18" s="314"/>
      <c r="AB18" s="314"/>
      <c r="AC18" s="314"/>
      <c r="AD18" s="314"/>
      <c r="AE18" s="314"/>
      <c r="AF18" s="314"/>
      <c r="AG18" s="314"/>
      <c r="AH18" s="314"/>
      <c r="AI18" s="314"/>
      <c r="AJ18" s="314"/>
      <c r="AK18" s="314"/>
      <c r="AL18" s="314"/>
      <c r="AM18" s="314"/>
      <c r="AN18" s="314"/>
      <c r="AO18" s="267" t="s">
        <v>2416</v>
      </c>
      <c r="AP18" s="323"/>
      <c r="AQ18" s="314"/>
      <c r="AR18" s="314"/>
      <c r="AS18" s="314"/>
      <c r="AT18" s="314"/>
      <c r="AU18" s="314"/>
      <c r="AV18" s="314"/>
      <c r="AW18" s="314"/>
    </row>
    <row r="19" spans="1:49" ht="83.25" customHeight="1">
      <c r="A19" s="312">
        <v>79</v>
      </c>
      <c r="B19" s="321">
        <v>46101.478958333297</v>
      </c>
      <c r="C19" s="321">
        <v>46101.485960648097</v>
      </c>
      <c r="D19" s="312" t="s">
        <v>1597</v>
      </c>
      <c r="E19" s="312" t="s">
        <v>221</v>
      </c>
      <c r="F19" s="312" t="s">
        <v>2417</v>
      </c>
      <c r="G19" s="312" t="s">
        <v>2418</v>
      </c>
      <c r="H19" s="312" t="s">
        <v>112</v>
      </c>
      <c r="I19" s="312" t="s">
        <v>224</v>
      </c>
      <c r="J19" s="312" t="s">
        <v>1233</v>
      </c>
      <c r="K19" s="312"/>
      <c r="L19" s="312" t="s">
        <v>226</v>
      </c>
      <c r="M19" s="253">
        <v>46234</v>
      </c>
      <c r="N19" s="312" t="s">
        <v>57</v>
      </c>
      <c r="O19" s="312">
        <v>0</v>
      </c>
      <c r="P19" s="312"/>
      <c r="Q19" s="312" t="s">
        <v>58</v>
      </c>
      <c r="R19" s="312" t="s">
        <v>2419</v>
      </c>
      <c r="S19" s="312"/>
      <c r="T19" s="312" t="s">
        <v>2420</v>
      </c>
      <c r="U19" s="312"/>
      <c r="V19" s="312" t="s">
        <v>678</v>
      </c>
      <c r="W19" s="312" t="s">
        <v>2421</v>
      </c>
      <c r="X19" s="312" t="s">
        <v>2422</v>
      </c>
      <c r="Y19" s="322" t="s">
        <v>2423</v>
      </c>
      <c r="Z19" s="322"/>
      <c r="AA19" s="314" t="s">
        <v>2424</v>
      </c>
      <c r="AB19" s="314" t="s">
        <v>2404</v>
      </c>
      <c r="AC19" s="314"/>
      <c r="AD19" s="314" t="s">
        <v>4</v>
      </c>
      <c r="AE19" s="314"/>
      <c r="AF19" s="314"/>
      <c r="AG19" s="314">
        <v>0.75</v>
      </c>
      <c r="AH19" s="314"/>
      <c r="AI19" s="314">
        <v>22000</v>
      </c>
      <c r="AJ19" s="314" t="s">
        <v>2425</v>
      </c>
      <c r="AK19" s="314" t="s">
        <v>259</v>
      </c>
      <c r="AL19" s="314" t="s">
        <v>1963</v>
      </c>
      <c r="AM19" s="314"/>
      <c r="AN19" s="314" t="s">
        <v>605</v>
      </c>
      <c r="AO19" s="267"/>
      <c r="AP19" s="323" t="s">
        <v>64</v>
      </c>
      <c r="AQ19" s="314" t="s">
        <v>2426</v>
      </c>
      <c r="AR19" s="314"/>
      <c r="AS19" s="314"/>
      <c r="AT19" s="314"/>
      <c r="AU19" s="314"/>
      <c r="AV19" s="314"/>
      <c r="AW19" s="314"/>
    </row>
    <row r="20" spans="1:49" ht="67.5" customHeight="1">
      <c r="A20" s="312">
        <v>88</v>
      </c>
      <c r="B20" s="321">
        <v>46101.486909722204</v>
      </c>
      <c r="C20" s="321">
        <v>46106.567800925899</v>
      </c>
      <c r="D20" s="312" t="s">
        <v>1597</v>
      </c>
      <c r="E20" s="312" t="s">
        <v>221</v>
      </c>
      <c r="F20" s="312" t="s">
        <v>2427</v>
      </c>
      <c r="G20" s="312" t="s">
        <v>2428</v>
      </c>
      <c r="H20" s="312" t="s">
        <v>112</v>
      </c>
      <c r="I20" s="312" t="s">
        <v>113</v>
      </c>
      <c r="J20" s="312" t="s">
        <v>901</v>
      </c>
      <c r="K20" s="312"/>
      <c r="L20" s="312" t="s">
        <v>226</v>
      </c>
      <c r="M20" s="253">
        <v>46129</v>
      </c>
      <c r="N20" s="312" t="s">
        <v>57</v>
      </c>
      <c r="O20" s="312">
        <v>0</v>
      </c>
      <c r="P20" s="312"/>
      <c r="Q20" s="312" t="s">
        <v>58</v>
      </c>
      <c r="R20" s="312" t="s">
        <v>2429</v>
      </c>
      <c r="S20" s="312"/>
      <c r="T20" s="312" t="s">
        <v>2430</v>
      </c>
      <c r="U20" s="312"/>
      <c r="V20" s="312" t="s">
        <v>2431</v>
      </c>
      <c r="W20" s="312" t="s">
        <v>2432</v>
      </c>
      <c r="X20" s="312" t="s">
        <v>2433</v>
      </c>
      <c r="Y20" s="322" t="s">
        <v>2434</v>
      </c>
      <c r="Z20" s="322"/>
      <c r="AA20" s="314" t="s">
        <v>2424</v>
      </c>
      <c r="AB20" s="314" t="s">
        <v>191</v>
      </c>
      <c r="AC20" s="314"/>
      <c r="AD20" s="314" t="s">
        <v>2</v>
      </c>
      <c r="AE20" s="314"/>
      <c r="AF20" s="314"/>
      <c r="AG20" s="314">
        <v>4</v>
      </c>
      <c r="AH20" s="314">
        <v>23200</v>
      </c>
      <c r="AI20" s="314">
        <v>82360</v>
      </c>
      <c r="AJ20" s="314" t="s">
        <v>2435</v>
      </c>
      <c r="AK20" s="314" t="s">
        <v>259</v>
      </c>
      <c r="AL20" s="314" t="s">
        <v>217</v>
      </c>
      <c r="AM20" s="314"/>
      <c r="AN20" s="314" t="s">
        <v>605</v>
      </c>
      <c r="AO20" s="267"/>
      <c r="AP20" s="323" t="s">
        <v>57</v>
      </c>
      <c r="AQ20" s="314" t="s">
        <v>2436</v>
      </c>
      <c r="AR20" s="314"/>
      <c r="AS20" s="314"/>
      <c r="AT20" s="314"/>
      <c r="AU20" s="314"/>
      <c r="AV20" s="314"/>
      <c r="AW20" s="314"/>
    </row>
    <row r="21" spans="1:49" ht="102" customHeight="1">
      <c r="A21" s="312">
        <v>123</v>
      </c>
      <c r="B21" s="321">
        <v>46141.475590277798</v>
      </c>
      <c r="C21" s="321">
        <v>46141.484548611101</v>
      </c>
      <c r="D21" s="312" t="s">
        <v>606</v>
      </c>
      <c r="E21" s="312" t="s">
        <v>607</v>
      </c>
      <c r="F21" s="312" t="s">
        <v>1968</v>
      </c>
      <c r="G21" s="312" t="s">
        <v>2437</v>
      </c>
      <c r="H21" s="312" t="s">
        <v>112</v>
      </c>
      <c r="I21" s="312" t="s">
        <v>125</v>
      </c>
      <c r="J21" s="312" t="s">
        <v>2438</v>
      </c>
      <c r="K21" s="312"/>
      <c r="L21" s="312" t="s">
        <v>296</v>
      </c>
      <c r="M21" s="253">
        <v>46150</v>
      </c>
      <c r="N21" s="312" t="s">
        <v>57</v>
      </c>
      <c r="O21" s="312">
        <v>0</v>
      </c>
      <c r="P21" s="312"/>
      <c r="Q21" s="312" t="s">
        <v>58</v>
      </c>
      <c r="R21" s="312" t="s">
        <v>2439</v>
      </c>
      <c r="S21" s="312"/>
      <c r="T21" s="312" t="s">
        <v>2440</v>
      </c>
      <c r="U21" s="312"/>
      <c r="V21" s="312" t="s">
        <v>63</v>
      </c>
      <c r="W21" s="312" t="s">
        <v>2441</v>
      </c>
      <c r="X21" s="312" t="s">
        <v>1973</v>
      </c>
      <c r="Y21" s="322" t="s">
        <v>2442</v>
      </c>
      <c r="Z21" s="322"/>
      <c r="AA21" s="314" t="s">
        <v>754</v>
      </c>
      <c r="AB21" s="314" t="s">
        <v>69</v>
      </c>
      <c r="AC21" s="314">
        <v>46142</v>
      </c>
      <c r="AD21" s="314"/>
      <c r="AE21" s="314"/>
      <c r="AF21" s="314"/>
      <c r="AG21" s="314"/>
      <c r="AH21" s="314"/>
      <c r="AI21" s="314"/>
      <c r="AJ21" s="314"/>
      <c r="AK21" s="314"/>
      <c r="AL21" s="314"/>
      <c r="AM21" s="314"/>
      <c r="AN21" s="314" t="s">
        <v>192</v>
      </c>
      <c r="AO21" s="267" t="s">
        <v>2443</v>
      </c>
      <c r="AP21" s="323"/>
      <c r="AQ21" s="314"/>
      <c r="AR21" s="314"/>
      <c r="AS21" s="314"/>
      <c r="AT21" s="314"/>
      <c r="AU21" s="314"/>
      <c r="AV21" s="314"/>
      <c r="AW21" s="314"/>
    </row>
    <row r="22" spans="1:49" ht="85.5" customHeight="1">
      <c r="A22" s="312">
        <v>73</v>
      </c>
      <c r="B22" s="321">
        <v>46097.713333333297</v>
      </c>
      <c r="C22" s="321">
        <v>46097.749722222201</v>
      </c>
      <c r="D22" s="312" t="s">
        <v>878</v>
      </c>
      <c r="E22" s="312" t="s">
        <v>879</v>
      </c>
      <c r="F22" s="312" t="s">
        <v>2444</v>
      </c>
      <c r="G22" s="312" t="s">
        <v>2445</v>
      </c>
      <c r="H22" s="312" t="s">
        <v>112</v>
      </c>
      <c r="I22" s="312" t="s">
        <v>113</v>
      </c>
      <c r="J22" s="312" t="s">
        <v>2446</v>
      </c>
      <c r="K22" s="312"/>
      <c r="L22" s="312" t="s">
        <v>226</v>
      </c>
      <c r="M22" s="253">
        <v>46111</v>
      </c>
      <c r="N22" s="312" t="s">
        <v>57</v>
      </c>
      <c r="O22" s="312">
        <v>0</v>
      </c>
      <c r="P22" s="312"/>
      <c r="Q22" s="312" t="s">
        <v>58</v>
      </c>
      <c r="R22" s="312" t="s">
        <v>2447</v>
      </c>
      <c r="S22" s="312"/>
      <c r="T22" s="312" t="s">
        <v>2448</v>
      </c>
      <c r="U22" s="312"/>
      <c r="V22" s="312" t="s">
        <v>2449</v>
      </c>
      <c r="W22" s="312" t="s">
        <v>2450</v>
      </c>
      <c r="X22" s="312" t="s">
        <v>2451</v>
      </c>
      <c r="Y22" s="322" t="s">
        <v>2452</v>
      </c>
      <c r="Z22" s="322"/>
      <c r="AA22" s="314" t="s">
        <v>2453</v>
      </c>
      <c r="AB22" s="314" t="s">
        <v>191</v>
      </c>
      <c r="AC22" s="314"/>
      <c r="AD22" s="314" t="s">
        <v>3</v>
      </c>
      <c r="AE22" s="314"/>
      <c r="AF22" s="314"/>
      <c r="AG22" s="314">
        <v>2</v>
      </c>
      <c r="AH22" s="314">
        <v>3400</v>
      </c>
      <c r="AI22" s="314">
        <v>12070</v>
      </c>
      <c r="AJ22" s="314" t="s">
        <v>2454</v>
      </c>
      <c r="AK22" s="314" t="s">
        <v>245</v>
      </c>
      <c r="AL22" s="314" t="s">
        <v>1817</v>
      </c>
      <c r="AM22" s="314"/>
      <c r="AN22" s="314" t="s">
        <v>605</v>
      </c>
      <c r="AO22" s="267"/>
      <c r="AP22" s="323" t="s">
        <v>64</v>
      </c>
      <c r="AQ22" s="314" t="s">
        <v>2455</v>
      </c>
      <c r="AR22" s="314"/>
      <c r="AS22" s="314"/>
      <c r="AT22" s="314"/>
      <c r="AU22" s="314"/>
      <c r="AV22" s="314"/>
      <c r="AW22" s="314"/>
    </row>
    <row r="23" spans="1:49" ht="87" customHeight="1">
      <c r="A23" s="312">
        <v>85</v>
      </c>
      <c r="B23" s="321">
        <v>46105.588715277801</v>
      </c>
      <c r="C23" s="321">
        <v>46106.476041666698</v>
      </c>
      <c r="D23" s="312" t="s">
        <v>1344</v>
      </c>
      <c r="E23" s="312" t="s">
        <v>607</v>
      </c>
      <c r="F23" s="312" t="s">
        <v>2456</v>
      </c>
      <c r="G23" s="312" t="s">
        <v>2457</v>
      </c>
      <c r="H23" s="312" t="s">
        <v>52</v>
      </c>
      <c r="I23" s="312" t="s">
        <v>224</v>
      </c>
      <c r="J23" s="312" t="s">
        <v>2458</v>
      </c>
      <c r="K23" s="312"/>
      <c r="L23" s="312" t="s">
        <v>226</v>
      </c>
      <c r="M23" s="253">
        <v>46142</v>
      </c>
      <c r="N23" s="312" t="s">
        <v>57</v>
      </c>
      <c r="O23" s="312">
        <v>0</v>
      </c>
      <c r="P23" s="312"/>
      <c r="Q23" s="312" t="s">
        <v>58</v>
      </c>
      <c r="R23" s="312" t="s">
        <v>2459</v>
      </c>
      <c r="S23" s="312"/>
      <c r="T23" s="312" t="s">
        <v>2460</v>
      </c>
      <c r="U23" s="312"/>
      <c r="V23" s="312" t="s">
        <v>187</v>
      </c>
      <c r="W23" s="312" t="s">
        <v>2461</v>
      </c>
      <c r="X23" s="312" t="s">
        <v>2462</v>
      </c>
      <c r="Y23" s="322" t="s">
        <v>2463</v>
      </c>
      <c r="Z23" s="322"/>
      <c r="AA23" s="314" t="s">
        <v>1853</v>
      </c>
      <c r="AB23" s="314" t="s">
        <v>2404</v>
      </c>
      <c r="AC23" s="314"/>
      <c r="AD23" s="314" t="s">
        <v>2134</v>
      </c>
      <c r="AE23" s="314"/>
      <c r="AF23" s="314"/>
      <c r="AG23" s="314">
        <v>1</v>
      </c>
      <c r="AH23" s="314">
        <v>3000</v>
      </c>
      <c r="AI23" s="314">
        <v>10650</v>
      </c>
      <c r="AJ23" s="314" t="s">
        <v>2464</v>
      </c>
      <c r="AK23" s="314" t="s">
        <v>259</v>
      </c>
      <c r="AL23" s="314" t="s">
        <v>1803</v>
      </c>
      <c r="AM23" s="314"/>
      <c r="AN23" s="314" t="s">
        <v>605</v>
      </c>
      <c r="AO23" s="267"/>
      <c r="AP23" s="323" t="s">
        <v>64</v>
      </c>
      <c r="AQ23" s="314" t="s">
        <v>2465</v>
      </c>
      <c r="AR23" s="314"/>
      <c r="AS23" s="314"/>
      <c r="AT23" s="314"/>
      <c r="AU23" s="314"/>
      <c r="AV23" s="314"/>
      <c r="AW23" s="314"/>
    </row>
    <row r="24" spans="1:49" ht="72" customHeight="1">
      <c r="A24" s="312">
        <v>39</v>
      </c>
      <c r="B24" s="321">
        <v>46057.3828125</v>
      </c>
      <c r="C24" s="321">
        <v>46057.402731481503</v>
      </c>
      <c r="D24" s="312" t="s">
        <v>818</v>
      </c>
      <c r="E24" s="312" t="s">
        <v>819</v>
      </c>
      <c r="F24" s="312" t="s">
        <v>820</v>
      </c>
      <c r="G24" s="312" t="s">
        <v>821</v>
      </c>
      <c r="H24" s="312" t="s">
        <v>112</v>
      </c>
      <c r="I24" s="312" t="s">
        <v>113</v>
      </c>
      <c r="J24" s="312" t="s">
        <v>822</v>
      </c>
      <c r="K24" s="312"/>
      <c r="L24" s="312" t="s">
        <v>56</v>
      </c>
      <c r="M24" s="253">
        <v>46094</v>
      </c>
      <c r="N24" s="312" t="s">
        <v>57</v>
      </c>
      <c r="O24" s="312"/>
      <c r="P24" s="312"/>
      <c r="Q24" s="312" t="s">
        <v>58</v>
      </c>
      <c r="R24" s="312" t="s">
        <v>826</v>
      </c>
      <c r="S24" s="312"/>
      <c r="T24" s="312" t="s">
        <v>827</v>
      </c>
      <c r="U24" s="312"/>
      <c r="V24" s="312" t="s">
        <v>85</v>
      </c>
      <c r="W24" s="312" t="s">
        <v>834</v>
      </c>
      <c r="X24" s="312" t="s">
        <v>835</v>
      </c>
      <c r="Y24" s="322" t="s">
        <v>836</v>
      </c>
      <c r="Z24" s="322"/>
      <c r="AA24" s="314" t="s">
        <v>2466</v>
      </c>
      <c r="AB24" s="314" t="s">
        <v>243</v>
      </c>
      <c r="AC24" s="314"/>
      <c r="AD24" s="314" t="s">
        <v>3</v>
      </c>
      <c r="AE24" s="314"/>
      <c r="AF24" s="314">
        <v>46136</v>
      </c>
      <c r="AG24" s="314">
        <v>2.5</v>
      </c>
      <c r="AH24" s="314">
        <v>25515</v>
      </c>
      <c r="AI24" s="314">
        <v>90571.15</v>
      </c>
      <c r="AJ24" s="314" t="s">
        <v>2467</v>
      </c>
      <c r="AK24" s="314" t="s">
        <v>245</v>
      </c>
      <c r="AL24" s="314" t="s">
        <v>1817</v>
      </c>
      <c r="AM24" s="314"/>
      <c r="AN24" s="314" t="s">
        <v>605</v>
      </c>
      <c r="AO24" s="267" t="s">
        <v>2468</v>
      </c>
      <c r="AP24" s="323" t="s">
        <v>64</v>
      </c>
      <c r="AQ24" s="314" t="s">
        <v>2469</v>
      </c>
      <c r="AR24" s="314"/>
      <c r="AS24" s="314"/>
      <c r="AT24" s="314"/>
      <c r="AU24" s="314"/>
      <c r="AV24" s="314"/>
      <c r="AW24" s="314"/>
    </row>
    <row r="25" spans="1:49" ht="63" customHeight="1">
      <c r="A25" s="312">
        <v>81</v>
      </c>
      <c r="B25" s="321">
        <v>46105.575358796297</v>
      </c>
      <c r="C25" s="321">
        <v>46105.606215277803</v>
      </c>
      <c r="D25" s="312" t="s">
        <v>989</v>
      </c>
      <c r="E25" s="312" t="s">
        <v>49</v>
      </c>
      <c r="F25" s="312" t="s">
        <v>2470</v>
      </c>
      <c r="G25" s="312" t="s">
        <v>2471</v>
      </c>
      <c r="H25" s="312" t="s">
        <v>52</v>
      </c>
      <c r="I25" s="312" t="s">
        <v>53</v>
      </c>
      <c r="J25" s="312" t="s">
        <v>2472</v>
      </c>
      <c r="K25" s="312"/>
      <c r="L25" s="312" t="s">
        <v>56</v>
      </c>
      <c r="M25" s="253">
        <v>46356</v>
      </c>
      <c r="N25" s="312" t="s">
        <v>118</v>
      </c>
      <c r="O25" s="312" t="s">
        <v>1861</v>
      </c>
      <c r="P25" s="312"/>
      <c r="Q25" s="312" t="s">
        <v>58</v>
      </c>
      <c r="R25" s="312" t="s">
        <v>2473</v>
      </c>
      <c r="S25" s="312"/>
      <c r="T25" s="312" t="s">
        <v>2474</v>
      </c>
      <c r="U25" s="312"/>
      <c r="V25" s="312" t="s">
        <v>1245</v>
      </c>
      <c r="W25" s="312" t="s">
        <v>2475</v>
      </c>
      <c r="X25" s="312" t="s">
        <v>2476</v>
      </c>
      <c r="Y25" s="322" t="s">
        <v>2477</v>
      </c>
      <c r="Z25" s="322"/>
      <c r="AA25" s="314" t="s">
        <v>2453</v>
      </c>
      <c r="AB25" s="314" t="s">
        <v>243</v>
      </c>
      <c r="AC25" s="314"/>
      <c r="AD25" s="314" t="s">
        <v>2</v>
      </c>
      <c r="AE25" s="314"/>
      <c r="AF25" s="314"/>
      <c r="AG25" s="314">
        <v>7</v>
      </c>
      <c r="AH25" s="314">
        <v>395723.62</v>
      </c>
      <c r="AI25" s="314">
        <v>1404818.851</v>
      </c>
      <c r="AJ25" s="314" t="s">
        <v>2478</v>
      </c>
      <c r="AK25" s="314" t="s">
        <v>245</v>
      </c>
      <c r="AL25" s="314" t="s">
        <v>217</v>
      </c>
      <c r="AM25" s="314"/>
      <c r="AN25" s="314" t="s">
        <v>605</v>
      </c>
      <c r="AO25" s="267"/>
      <c r="AP25" s="323" t="s">
        <v>64</v>
      </c>
      <c r="AQ25" s="314" t="s">
        <v>2479</v>
      </c>
      <c r="AR25" s="314"/>
      <c r="AS25" s="314"/>
      <c r="AT25" s="314"/>
      <c r="AU25" s="314"/>
      <c r="AV25" s="314"/>
      <c r="AW25" s="314"/>
    </row>
    <row r="26" spans="1:49" ht="64.5" customHeight="1">
      <c r="A26" s="312">
        <v>76</v>
      </c>
      <c r="B26" s="321">
        <v>46099.400451388901</v>
      </c>
      <c r="C26" s="321">
        <v>46099.413530092599</v>
      </c>
      <c r="D26" s="312" t="s">
        <v>818</v>
      </c>
      <c r="E26" s="312" t="s">
        <v>819</v>
      </c>
      <c r="F26" s="312" t="s">
        <v>2480</v>
      </c>
      <c r="G26" s="312" t="s">
        <v>2481</v>
      </c>
      <c r="H26" s="312" t="s">
        <v>112</v>
      </c>
      <c r="I26" s="312" t="s">
        <v>113</v>
      </c>
      <c r="J26" s="312" t="s">
        <v>2482</v>
      </c>
      <c r="K26" s="312"/>
      <c r="L26" s="312" t="s">
        <v>226</v>
      </c>
      <c r="M26" s="253">
        <v>46238</v>
      </c>
      <c r="N26" s="312" t="s">
        <v>57</v>
      </c>
      <c r="O26" s="312">
        <v>0</v>
      </c>
      <c r="P26" s="312"/>
      <c r="Q26" s="312" t="s">
        <v>58</v>
      </c>
      <c r="R26" s="312" t="s">
        <v>2483</v>
      </c>
      <c r="S26" s="312"/>
      <c r="T26" s="312" t="s">
        <v>2484</v>
      </c>
      <c r="U26" s="312" t="s">
        <v>62</v>
      </c>
      <c r="V26" s="312" t="s">
        <v>187</v>
      </c>
      <c r="W26" s="312" t="s">
        <v>64</v>
      </c>
      <c r="X26" s="312" t="s">
        <v>86</v>
      </c>
      <c r="Y26" s="322" t="s">
        <v>2485</v>
      </c>
      <c r="Z26" s="322"/>
      <c r="AA26" s="314" t="s">
        <v>2486</v>
      </c>
      <c r="AB26" s="314" t="s">
        <v>106</v>
      </c>
      <c r="AC26" s="314" t="s">
        <v>191</v>
      </c>
      <c r="AD26" s="314" t="s">
        <v>2</v>
      </c>
      <c r="AE26" s="314"/>
      <c r="AF26" s="314"/>
      <c r="AG26" s="314">
        <v>6</v>
      </c>
      <c r="AH26" s="314"/>
      <c r="AI26" s="314">
        <v>165863.04000000001</v>
      </c>
      <c r="AJ26" s="314" t="s">
        <v>2487</v>
      </c>
      <c r="AK26" s="314" t="s">
        <v>245</v>
      </c>
      <c r="AL26" s="314"/>
      <c r="AM26" s="314"/>
      <c r="AN26" s="314" t="s">
        <v>605</v>
      </c>
      <c r="AO26" s="267" t="s">
        <v>2488</v>
      </c>
      <c r="AP26" s="323" t="s">
        <v>64</v>
      </c>
      <c r="AQ26" s="314" t="s">
        <v>2489</v>
      </c>
      <c r="AR26" s="314"/>
      <c r="AS26" s="314"/>
      <c r="AT26" s="314"/>
      <c r="AU26" s="314"/>
      <c r="AV26" s="314"/>
      <c r="AW26" s="314"/>
    </row>
    <row r="27" spans="1:49" ht="55.5" customHeight="1">
      <c r="A27" s="312">
        <v>91</v>
      </c>
      <c r="B27" s="321">
        <v>46111.738842592596</v>
      </c>
      <c r="C27" s="321">
        <v>46111.8370138889</v>
      </c>
      <c r="D27" s="312" t="s">
        <v>1597</v>
      </c>
      <c r="E27" s="312" t="s">
        <v>221</v>
      </c>
      <c r="F27" s="312" t="s">
        <v>2490</v>
      </c>
      <c r="G27" s="312" t="s">
        <v>2491</v>
      </c>
      <c r="H27" s="312" t="s">
        <v>112</v>
      </c>
      <c r="I27" s="312" t="s">
        <v>113</v>
      </c>
      <c r="J27" s="312" t="s">
        <v>2492</v>
      </c>
      <c r="K27" s="312"/>
      <c r="L27" s="312" t="s">
        <v>56</v>
      </c>
      <c r="M27" s="253">
        <v>46387</v>
      </c>
      <c r="N27" s="312" t="s">
        <v>57</v>
      </c>
      <c r="O27" s="312">
        <v>0</v>
      </c>
      <c r="P27" s="312"/>
      <c r="Q27" s="312" t="s">
        <v>58</v>
      </c>
      <c r="R27" s="312" t="s">
        <v>2493</v>
      </c>
      <c r="S27" s="312"/>
      <c r="T27" s="312" t="s">
        <v>2494</v>
      </c>
      <c r="U27" s="312" t="s">
        <v>62</v>
      </c>
      <c r="V27" s="312" t="s">
        <v>2449</v>
      </c>
      <c r="W27" s="312" t="s">
        <v>260</v>
      </c>
      <c r="X27" s="312" t="s">
        <v>65</v>
      </c>
      <c r="Y27" s="322" t="s">
        <v>477</v>
      </c>
      <c r="Z27" s="322" t="s">
        <v>2495</v>
      </c>
      <c r="AA27" s="314"/>
      <c r="AB27" s="314" t="s">
        <v>156</v>
      </c>
      <c r="AC27" s="314" t="s">
        <v>191</v>
      </c>
      <c r="AD27" s="314">
        <v>46142</v>
      </c>
      <c r="AE27" s="314" t="s">
        <v>3</v>
      </c>
      <c r="AF27" s="314">
        <v>46128</v>
      </c>
      <c r="AG27" s="314">
        <v>46129</v>
      </c>
      <c r="AH27" s="314">
        <v>4</v>
      </c>
      <c r="AI27" s="314">
        <v>16851</v>
      </c>
      <c r="AJ27" s="314">
        <v>59821.049999999996</v>
      </c>
      <c r="AK27" s="314"/>
      <c r="AL27" s="314" t="s">
        <v>245</v>
      </c>
      <c r="AM27" s="314" t="s">
        <v>217</v>
      </c>
      <c r="AN27" s="314"/>
      <c r="AO27" s="267" t="s">
        <v>605</v>
      </c>
      <c r="AP27" s="323"/>
      <c r="AQ27" s="314" t="s">
        <v>260</v>
      </c>
      <c r="AR27" s="314"/>
      <c r="AS27" s="314" t="s">
        <v>260</v>
      </c>
      <c r="AT27" s="314"/>
      <c r="AU27" s="314"/>
      <c r="AV27" s="314"/>
      <c r="AW27" s="314"/>
    </row>
    <row r="28" spans="1:49" ht="125.25" customHeight="1">
      <c r="A28" s="312">
        <v>41</v>
      </c>
      <c r="B28" s="321">
        <v>46055.481724537</v>
      </c>
      <c r="C28" s="321">
        <v>46057.623043981497</v>
      </c>
      <c r="D28" s="312" t="s">
        <v>989</v>
      </c>
      <c r="E28" s="312" t="s">
        <v>49</v>
      </c>
      <c r="F28" s="312" t="s">
        <v>1420</v>
      </c>
      <c r="G28" s="312" t="s">
        <v>1430</v>
      </c>
      <c r="H28" s="312" t="s">
        <v>52</v>
      </c>
      <c r="I28" s="312" t="s">
        <v>739</v>
      </c>
      <c r="J28" s="312" t="s">
        <v>2496</v>
      </c>
      <c r="K28" s="312"/>
      <c r="L28" s="312" t="s">
        <v>296</v>
      </c>
      <c r="M28" s="253">
        <v>46108</v>
      </c>
      <c r="N28" s="312" t="s">
        <v>57</v>
      </c>
      <c r="O28" s="312"/>
      <c r="P28" s="312"/>
      <c r="Q28" s="312" t="s">
        <v>522</v>
      </c>
      <c r="R28" s="312" t="s">
        <v>1423</v>
      </c>
      <c r="S28" s="312"/>
      <c r="T28" s="312" t="s">
        <v>1424</v>
      </c>
      <c r="U28" s="312" t="s">
        <v>79</v>
      </c>
      <c r="V28" s="312" t="s">
        <v>926</v>
      </c>
      <c r="W28" s="312" t="s">
        <v>64</v>
      </c>
      <c r="X28" s="312" t="s">
        <v>230</v>
      </c>
      <c r="Y28" s="322" t="s">
        <v>1432</v>
      </c>
      <c r="Z28" s="322" t="s">
        <v>1433</v>
      </c>
      <c r="AA28" s="314"/>
      <c r="AB28" s="314" t="s">
        <v>322</v>
      </c>
      <c r="AC28" s="314"/>
      <c r="AD28" s="314"/>
      <c r="AE28" s="314" t="s">
        <v>3</v>
      </c>
      <c r="AF28" s="314"/>
      <c r="AG28" s="314"/>
      <c r="AH28" s="314" t="s">
        <v>795</v>
      </c>
      <c r="AI28" s="314"/>
      <c r="AJ28" s="314">
        <v>15500</v>
      </c>
      <c r="AK28" s="314" t="s">
        <v>2497</v>
      </c>
      <c r="AL28" s="314" t="s">
        <v>628</v>
      </c>
      <c r="AM28" s="314"/>
      <c r="AN28" s="314"/>
      <c r="AO28" s="267" t="s">
        <v>605</v>
      </c>
      <c r="AP28" s="323"/>
      <c r="AQ28" s="314" t="s">
        <v>260</v>
      </c>
      <c r="AR28" s="314" t="s">
        <v>64</v>
      </c>
      <c r="AS28" s="314" t="s">
        <v>2498</v>
      </c>
      <c r="AU28" s="314"/>
      <c r="AV28" s="314"/>
      <c r="AW28" s="314"/>
    </row>
    <row r="35" spans="2:157" s="8" customFormat="1" ht="15" customHeight="1">
      <c r="B35" s="224"/>
      <c r="C35" s="224"/>
      <c r="M35" s="224"/>
      <c r="Y35" s="187"/>
      <c r="Z35" s="187"/>
      <c r="AO35" s="59"/>
      <c r="AP35" s="187"/>
      <c r="AX35" s="224"/>
      <c r="AY35" s="224"/>
      <c r="BJ35" s="224"/>
      <c r="CC35" s="187"/>
      <c r="CD35" s="59"/>
      <c r="CE35" s="59"/>
      <c r="CU35" s="59"/>
      <c r="CV35" s="187"/>
      <c r="DC35" s="224"/>
      <c r="DD35" s="224"/>
      <c r="DO35" s="224"/>
      <c r="EH35" s="187"/>
      <c r="EI35" s="59"/>
      <c r="EJ35" s="59"/>
      <c r="EZ35" s="59"/>
      <c r="FA35" s="187"/>
    </row>
  </sheetData>
  <sheetProtection algorithmName="SHA-512" hashValue="wzRtcNvpxsCyZetVcSwxbLxdcEbJgQAPYRyC1DoGOdbgTvEds0pxnEpeAE2613kJZId1cT2Z5RsgucgdzE8ruQ==" saltValue="lr5BG9UC0c+dCxWTCtI9vQ==" spinCount="100000" sheet="1" objects="1" scenarios="1"/>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Z1" name="Rango1_2_3_1"/>
  </protectedRanges>
  <dataValidations count="1">
    <dataValidation type="list" allowBlank="1" showInputMessage="1" showErrorMessage="1" sqref="AD14" xr:uid="{9813261A-4EE1-4CDE-8AFE-EEB545C5D8DA}">
      <formula1>ComplejidadEstimación</formula1>
    </dataValidation>
  </dataValidations>
  <hyperlinks>
    <hyperlink ref="Y6"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headerFooter>
    <oddFooter>&amp;C_x000D_&amp;1#&amp;"Aptos"&amp;7&amp;K000000 Uso Público de Laureate Perú — Se compartir externamente, información no sensible.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F5CC07E76C8CC4C92342016432D39A7" ma:contentTypeVersion="16" ma:contentTypeDescription="Crear nuevo documento." ma:contentTypeScope="" ma:versionID="b3223834551ad4470b7dac1b6c3119f9">
  <xsd:schema xmlns:xsd="http://www.w3.org/2001/XMLSchema" xmlns:xs="http://www.w3.org/2001/XMLSchema" xmlns:p="http://schemas.microsoft.com/office/2006/metadata/properties" xmlns:ns2="bbbcebc0-debb-4c52-b60f-331cb1c19ba2" xmlns:ns3="72ee4bb3-2990-4bdf-aa7b-0a6147bbc927" xmlns:ns4="366cce6f-499f-4568-8daf-a3a279448f14" targetNamespace="http://schemas.microsoft.com/office/2006/metadata/properties" ma:root="true" ma:fieldsID="baf073382fad8a5f2f2ff88a23d4ae36" ns2:_="" ns3:_="" ns4:_="">
    <xsd:import namespace="bbbcebc0-debb-4c52-b60f-331cb1c19ba2"/>
    <xsd:import namespace="72ee4bb3-2990-4bdf-aa7b-0a6147bbc927"/>
    <xsd:import namespace="366cce6f-499f-4568-8daf-a3a279448f1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4:TaxCatchAll" minOccurs="0"/>
                <xsd:element ref="ns2:MediaServiceOCR"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bcebc0-debb-4c52-b60f-331cb1c19b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ee4bb3-2990-4bdf-aa7b-0a6147bbc927"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66cce6f-499f-4568-8daf-a3a279448f1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d533eb5-3794-4ce5-af51-ac253266f2a5}" ma:internalName="TaxCatchAll" ma:showField="CatchAllData" ma:web="366cce6f-499f-4568-8daf-a3a279448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66cce6f-499f-4568-8daf-a3a279448f14" xsi:nil="true"/>
    <lcf76f155ced4ddcb4097134ff3c332f xmlns="bbbcebc0-debb-4c52-b60f-331cb1c19ba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DB7B65-459C-4916-A910-4E1AF376932E}"/>
</file>

<file path=customXml/itemProps2.xml><?xml version="1.0" encoding="utf-8"?>
<ds:datastoreItem xmlns:ds="http://schemas.openxmlformats.org/officeDocument/2006/customXml" ds:itemID="{D37E9530-7C32-4FC1-BD8A-2EE692AF2BC2}"/>
</file>

<file path=customXml/itemProps3.xml><?xml version="1.0" encoding="utf-8"?>
<ds:datastoreItem xmlns:ds="http://schemas.openxmlformats.org/officeDocument/2006/customXml" ds:itemID="{A591C435-4F4C-4B78-95F5-6D79AB2295AC}"/>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2026-06-08T19:46:35Z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0x010100FF5CC07E76C8CC4C92342016432D39A7</vt:lpwstr>
  </property>
  <property fmtid="{D5CDD505-2E9C-101B-9397-08002B2CF9AE}" pid="3" name="MediaServiceImageTags">
    <vt:lpwstr/>
  </property>
</Properties>
</file>