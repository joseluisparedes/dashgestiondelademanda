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updateLinks="always"/>
  <mc:AlternateContent xmlns:mc="http://schemas.openxmlformats.org/markup-compatibility/2006">
    <mc:Choice Requires="x15">
      <x15ac:absPath xmlns:x15ac="http://schemas.microsoft.com/office/spreadsheetml/2010/11/ac" url="https://educorpperu.sharepoint.com/sites/Repositorio_EquipoCentral/dit/portafoliosyp/Documentos compartidos/PMO/Demanda/"/>
    </mc:Choice>
  </mc:AlternateContent>
  <xr:revisionPtr revIDLastSave="0" documentId="8_{17AADED5-42BF-47E4-BA7C-3150EA8CF3AB}" xr6:coauthVersionLast="47" xr6:coauthVersionMax="47" xr10:uidLastSave="{00000000-0000-0000-0000-000000000000}"/>
  <bookViews>
    <workbookView xWindow="-110" yWindow="-110" windowWidth="19420" windowHeight="10300" tabRatio="790" firstSheet="12" activeTab="12" xr2:uid="{00000000-000D-0000-FFFF-FFFF00000000}"/>
  </bookViews>
  <sheets>
    <sheet name="Data maestra" sheetId="35" state="hidden" r:id="rId1"/>
    <sheet name="BD" sheetId="1" r:id="rId2"/>
    <sheet name="Registro incompleto" sheetId="30" r:id="rId3"/>
    <sheet name="Por estimar" sheetId="19" r:id="rId4"/>
    <sheet name="Por Reestimar " sheetId="36" r:id="rId5"/>
    <sheet name="Priorización BRM" sheetId="22" state="hidden" r:id="rId6"/>
    <sheet name="Backup 1902 1025" sheetId="13" state="hidden" r:id="rId7"/>
    <sheet name="Por confirmar" sheetId="6" state="hidden" r:id="rId8"/>
    <sheet name="Forms" sheetId="4" state="hidden" r:id="rId9"/>
    <sheet name="Criterios Prioriz" sheetId="2" state="hidden" r:id="rId10"/>
    <sheet name="Hoja1" sheetId="5" state="hidden" r:id="rId11"/>
    <sheet name="Tipo de cambio" sheetId="25" state="hidden" r:id="rId12"/>
    <sheet name="Por habilitar presup." sheetId="31" r:id="rId13"/>
    <sheet name="Por aprobar estimacion" sheetId="29" r:id="rId14"/>
    <sheet name="Por planificar" sheetId="24" r:id="rId15"/>
    <sheet name="Sheet1" sheetId="26" state="hidden" r:id="rId16"/>
    <sheet name="Aprobar Planificación" sheetId="32" r:id="rId17"/>
    <sheet name="Planificadas" sheetId="33" r:id="rId18"/>
    <sheet name="Eliminados" sheetId="34" state="hidden" r:id="rId19"/>
  </sheets>
  <externalReferences>
    <externalReference r:id="rId20"/>
  </externalReferences>
  <definedNames>
    <definedName name="_xlnm._FilterDatabase" localSheetId="16" hidden="1">'Aprobar Planificación'!$A$1:$BH$1</definedName>
    <definedName name="_xlnm._FilterDatabase" localSheetId="1" hidden="1">BD!$A$1:$DU$100</definedName>
    <definedName name="_xlnm._FilterDatabase" localSheetId="18" hidden="1">Eliminados!$A$1:$EY$13</definedName>
    <definedName name="_xlnm._FilterDatabase" localSheetId="17" hidden="1">Planificadas!$A$1:$FS$63</definedName>
    <definedName name="_xlnm._FilterDatabase" localSheetId="13" hidden="1">'Por aprobar estimacion'!$A$1:$BC$18</definedName>
    <definedName name="_xlnm._FilterDatabase" localSheetId="3" hidden="1">'Por estimar'!$A$1:$AP$41</definedName>
    <definedName name="_xlnm._FilterDatabase" localSheetId="12" hidden="1">'Por habilitar presup.'!$A$1:$BD$14</definedName>
    <definedName name="_xlnm._FilterDatabase" localSheetId="14" hidden="1">'Por planificar'!$A$1:$BG$3</definedName>
    <definedName name="_xlnm._FilterDatabase" localSheetId="4" hidden="1">'Por Reestimar '!$A$1:$AP$1</definedName>
    <definedName name="_xlnm._FilterDatabase" localSheetId="5" hidden="1">'Priorización BRM'!$A$1:$AR$30</definedName>
    <definedName name="ComplejidadEstimación">Sheet1!$B$3:$B$5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79" i="33" l="1"/>
  <c r="AT78" i="33"/>
  <c r="AT77" i="33"/>
  <c r="AT76" i="33"/>
  <c r="AT75" i="33"/>
  <c r="AT74" i="33"/>
  <c r="AT73" i="33"/>
  <c r="AT72" i="33"/>
  <c r="AT71" i="33"/>
  <c r="AT70" i="33"/>
  <c r="AT69" i="33"/>
  <c r="AT68" i="33"/>
  <c r="AT67" i="33"/>
  <c r="AT66" i="33"/>
  <c r="AT65" i="33"/>
  <c r="AT64" i="33"/>
  <c r="AT63" i="33"/>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30" i="33"/>
  <c r="AT29" i="33"/>
  <c r="AT28" i="33"/>
  <c r="AT27" i="33"/>
  <c r="AT26" i="33"/>
  <c r="AT25" i="33"/>
  <c r="AT24" i="33"/>
  <c r="AT23" i="33"/>
  <c r="AT22" i="33"/>
  <c r="AT21" i="33"/>
  <c r="AT20" i="33"/>
  <c r="AT19" i="33"/>
  <c r="AT18" i="33"/>
  <c r="AT17" i="33"/>
  <c r="AT16" i="33"/>
  <c r="AT15" i="33"/>
  <c r="AT14" i="33"/>
  <c r="AT13" i="33"/>
  <c r="AT12" i="33"/>
  <c r="AT11" i="33"/>
  <c r="AT10" i="33"/>
  <c r="AT9" i="33"/>
  <c r="AT8" i="33"/>
  <c r="AT7" i="33"/>
  <c r="AT6" i="33"/>
  <c r="AT5" i="33"/>
  <c r="AT4" i="33"/>
  <c r="AT3" i="33"/>
  <c r="AT79" i="32"/>
  <c r="AT78" i="32"/>
  <c r="AT77" i="32"/>
  <c r="AT76" i="32"/>
  <c r="AT75" i="32"/>
  <c r="AT74" i="32"/>
  <c r="AT73" i="32"/>
  <c r="AT72" i="32"/>
  <c r="AT71" i="32"/>
  <c r="AT70" i="32"/>
  <c r="AT69" i="32"/>
  <c r="AT68" i="32"/>
  <c r="AT67" i="32"/>
  <c r="AT66" i="32"/>
  <c r="AT65" i="32"/>
  <c r="AT64" i="32"/>
  <c r="AT63" i="32"/>
  <c r="AT62" i="32"/>
  <c r="AT61" i="32"/>
  <c r="AT60" i="32"/>
  <c r="AT59" i="32"/>
  <c r="AT58" i="32"/>
  <c r="AT57" i="32"/>
  <c r="AT56" i="32"/>
  <c r="AT55" i="32"/>
  <c r="AT54" i="32"/>
  <c r="AT53" i="32"/>
  <c r="AT52" i="32"/>
  <c r="AT51" i="32"/>
  <c r="AT50" i="32"/>
  <c r="AT49" i="32"/>
  <c r="AT48" i="32"/>
  <c r="AT47" i="32"/>
  <c r="AT46" i="32"/>
  <c r="AT45" i="32"/>
  <c r="AT44" i="32"/>
  <c r="AT43" i="32"/>
  <c r="AT42" i="32"/>
  <c r="AT41" i="32"/>
  <c r="AT40" i="32"/>
  <c r="AT39" i="32"/>
  <c r="AT38" i="32"/>
  <c r="AT37" i="32"/>
  <c r="AT36" i="32"/>
  <c r="AT35" i="32"/>
  <c r="AT34" i="32"/>
  <c r="AT33" i="32"/>
  <c r="AT32" i="32"/>
  <c r="AT31" i="32"/>
  <c r="AT30" i="32"/>
  <c r="AT29" i="32"/>
  <c r="AT28" i="32"/>
  <c r="AT27" i="32"/>
  <c r="AT26" i="32"/>
  <c r="AT25" i="32"/>
  <c r="AT24" i="32"/>
  <c r="AT23" i="32"/>
  <c r="AT22" i="32"/>
  <c r="AT21" i="32"/>
  <c r="AT20" i="32"/>
  <c r="AT19" i="32"/>
  <c r="AT18" i="32"/>
  <c r="AT17" i="32"/>
  <c r="AT16" i="32"/>
  <c r="AT15" i="32"/>
  <c r="AT14" i="32"/>
  <c r="AT13" i="32"/>
  <c r="AT12" i="32"/>
  <c r="AT11" i="32"/>
  <c r="AT10" i="32"/>
  <c r="AT9" i="32"/>
  <c r="AT8" i="32"/>
  <c r="AT7" i="32"/>
  <c r="AT6" i="32"/>
  <c r="AT5" i="32"/>
  <c r="AT4" i="32"/>
  <c r="AT3" i="32"/>
  <c r="AT79" i="24"/>
  <c r="AT78" i="24"/>
  <c r="AT77" i="24"/>
  <c r="AT76" i="24"/>
  <c r="AT75" i="24"/>
  <c r="AT74" i="24"/>
  <c r="AT73" i="24"/>
  <c r="AT72" i="24"/>
  <c r="AT71" i="24"/>
  <c r="AT70" i="24"/>
  <c r="AT69" i="24"/>
  <c r="AT68" i="24"/>
  <c r="AT67" i="24"/>
  <c r="AT66" i="24"/>
  <c r="AT65" i="24"/>
  <c r="AT64" i="24"/>
  <c r="AT63" i="24"/>
  <c r="AT62" i="24"/>
  <c r="AT61" i="24"/>
  <c r="AT60" i="24"/>
  <c r="AT59" i="24"/>
  <c r="AT58" i="24"/>
  <c r="AT57" i="24"/>
  <c r="AT56" i="24"/>
  <c r="AT55" i="24"/>
  <c r="AT54" i="24"/>
  <c r="AT53" i="24"/>
  <c r="AT52" i="24"/>
  <c r="AT51" i="24"/>
  <c r="AT50" i="24"/>
  <c r="AT49" i="24"/>
  <c r="AT48" i="24"/>
  <c r="AT47" i="24"/>
  <c r="AT46" i="24"/>
  <c r="AT45" i="24"/>
  <c r="AT44" i="24"/>
  <c r="AT43" i="24"/>
  <c r="AT42" i="24"/>
  <c r="AT41" i="24"/>
  <c r="AT40" i="24"/>
  <c r="AT39" i="24"/>
  <c r="AT38" i="24"/>
  <c r="AT37" i="24"/>
  <c r="AT36" i="24"/>
  <c r="AT35" i="24"/>
  <c r="AT34" i="24"/>
  <c r="AT33" i="24"/>
  <c r="AT32" i="24"/>
  <c r="AT31" i="24"/>
  <c r="AT30" i="24"/>
  <c r="AT29" i="24"/>
  <c r="AT28" i="24"/>
  <c r="AT27" i="24"/>
  <c r="AT26" i="24"/>
  <c r="AT25" i="24"/>
  <c r="AT24" i="24"/>
  <c r="AT23" i="24"/>
  <c r="AT22" i="24"/>
  <c r="AT21" i="24"/>
  <c r="AT20" i="24"/>
  <c r="AT19" i="24"/>
  <c r="AT18" i="24"/>
  <c r="AT17" i="24"/>
  <c r="AT16" i="24"/>
  <c r="AT15" i="24"/>
  <c r="AT14" i="24"/>
  <c r="AT13" i="24"/>
  <c r="AT12" i="24"/>
  <c r="AT11" i="24"/>
  <c r="AT10" i="24"/>
  <c r="AT9" i="24"/>
  <c r="AT8" i="24"/>
  <c r="AT7" i="24"/>
  <c r="AT6" i="24"/>
  <c r="AT5" i="24"/>
  <c r="AT4" i="24"/>
  <c r="AT3" i="24"/>
  <c r="AT79" i="29"/>
  <c r="AT78" i="29"/>
  <c r="AT77" i="29"/>
  <c r="AT76" i="29"/>
  <c r="AT75" i="29"/>
  <c r="AT74" i="29"/>
  <c r="AT73" i="29"/>
  <c r="AT72" i="29"/>
  <c r="AT71" i="29"/>
  <c r="AT70" i="29"/>
  <c r="AT69" i="29"/>
  <c r="AT68" i="29"/>
  <c r="AT67" i="29"/>
  <c r="AT66" i="29"/>
  <c r="AT65" i="29"/>
  <c r="AT64" i="29"/>
  <c r="AT63" i="29"/>
  <c r="AT62" i="29"/>
  <c r="AT61" i="29"/>
  <c r="AT60" i="29"/>
  <c r="AT59" i="29"/>
  <c r="AT58" i="29"/>
  <c r="AT57" i="29"/>
  <c r="AT56" i="29"/>
  <c r="AT55" i="29"/>
  <c r="AT54" i="29"/>
  <c r="AT53" i="29"/>
  <c r="AT52" i="29"/>
  <c r="AT51" i="29"/>
  <c r="AT50" i="29"/>
  <c r="AT49" i="29"/>
  <c r="AT48" i="29"/>
  <c r="AT47" i="29"/>
  <c r="AT46" i="29"/>
  <c r="AT45" i="29"/>
  <c r="AT44" i="29"/>
  <c r="AT43" i="29"/>
  <c r="AT42" i="29"/>
  <c r="AT41" i="29"/>
  <c r="AT40" i="29"/>
  <c r="AT39" i="29"/>
  <c r="AT38" i="29"/>
  <c r="AT37" i="29"/>
  <c r="AT36" i="29"/>
  <c r="AT35" i="29"/>
  <c r="AT34" i="29"/>
  <c r="AT33" i="29"/>
  <c r="AT32" i="29"/>
  <c r="AT31" i="29"/>
  <c r="AT30" i="29"/>
  <c r="AT29" i="29"/>
  <c r="AT28" i="29"/>
  <c r="AT27" i="29"/>
  <c r="AT26" i="29"/>
  <c r="AT25" i="29"/>
  <c r="AT24" i="29"/>
  <c r="AT23" i="29"/>
  <c r="AT22" i="29"/>
  <c r="AT21" i="29"/>
  <c r="AT20" i="29"/>
  <c r="AT19" i="29"/>
  <c r="AT7" i="29"/>
  <c r="AT13" i="29"/>
  <c r="AT16" i="29"/>
  <c r="AT14" i="29"/>
  <c r="AT8" i="29"/>
  <c r="AT11" i="29"/>
  <c r="AT12" i="29"/>
  <c r="AT5" i="29"/>
  <c r="AT18" i="29"/>
  <c r="AT17" i="29"/>
  <c r="AT10" i="29"/>
  <c r="AT4" i="29"/>
  <c r="AT15" i="29"/>
  <c r="AT2" i="29"/>
  <c r="AT6" i="29"/>
  <c r="AT3" i="29"/>
  <c r="AT79" i="31"/>
  <c r="AT78" i="31"/>
  <c r="AT77" i="31"/>
  <c r="AT76" i="31"/>
  <c r="AT75" i="31"/>
  <c r="AT74" i="31"/>
  <c r="AT73" i="31"/>
  <c r="AT72" i="31"/>
  <c r="AT71" i="31"/>
  <c r="AT70" i="31"/>
  <c r="AT69" i="31"/>
  <c r="AT68" i="31"/>
  <c r="AT67" i="31"/>
  <c r="AT66" i="31"/>
  <c r="AT65" i="31"/>
  <c r="AT64" i="31"/>
  <c r="AT63" i="31"/>
  <c r="AT62" i="31"/>
  <c r="AT61" i="31"/>
  <c r="AT60" i="31"/>
  <c r="AT59" i="31"/>
  <c r="AT58" i="31"/>
  <c r="AT57" i="31"/>
  <c r="AT56" i="31"/>
  <c r="AT55" i="31"/>
  <c r="AT54" i="31"/>
  <c r="AT53" i="31"/>
  <c r="AT52" i="31"/>
  <c r="AT51" i="31"/>
  <c r="AT50" i="31"/>
  <c r="AT49" i="31"/>
  <c r="AT48" i="31"/>
  <c r="AT47" i="31"/>
  <c r="AT46" i="31"/>
  <c r="AT45" i="31"/>
  <c r="AT44" i="31"/>
  <c r="AT43" i="31"/>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13" i="31"/>
  <c r="AT12" i="31"/>
  <c r="AT11" i="31"/>
  <c r="AT10" i="31"/>
  <c r="AT9" i="31"/>
  <c r="AT8" i="31"/>
  <c r="AT7" i="31"/>
  <c r="AT6" i="31"/>
  <c r="AT5" i="31"/>
  <c r="AT4" i="31"/>
  <c r="AT3" i="31"/>
  <c r="AT3" i="36"/>
  <c r="AT4" i="36"/>
  <c r="AT5" i="36"/>
  <c r="AT6" i="36"/>
  <c r="AT7" i="36"/>
  <c r="AT8" i="36"/>
  <c r="AT9" i="36"/>
  <c r="AT10" i="36"/>
  <c r="AT11" i="36"/>
  <c r="AT12" i="36"/>
  <c r="AT13" i="36"/>
  <c r="AT14" i="36"/>
  <c r="AT15" i="36"/>
  <c r="AT16" i="36"/>
  <c r="AT17" i="36"/>
  <c r="AT18" i="36"/>
  <c r="AT19" i="36"/>
  <c r="AT20" i="36"/>
  <c r="AT21" i="36"/>
  <c r="AT22" i="36"/>
  <c r="AT23" i="36"/>
  <c r="AT24" i="36"/>
  <c r="AT25" i="36"/>
  <c r="AT26" i="36"/>
  <c r="AT27" i="36"/>
  <c r="AT28" i="36"/>
  <c r="AT29" i="36"/>
  <c r="AT30" i="36"/>
  <c r="AT31" i="36"/>
  <c r="AT32" i="36"/>
  <c r="AT33" i="36"/>
  <c r="AT34" i="36"/>
  <c r="AT35" i="36"/>
  <c r="AT36" i="36"/>
  <c r="AT37" i="36"/>
  <c r="AT38" i="36"/>
  <c r="AT39" i="36"/>
  <c r="AT40" i="36"/>
  <c r="AT41" i="36"/>
  <c r="AT42" i="36"/>
  <c r="AT43" i="36"/>
  <c r="AT44" i="36"/>
  <c r="AT45" i="36"/>
  <c r="AT46" i="36"/>
  <c r="AT47" i="36"/>
  <c r="AT48" i="36"/>
  <c r="AT49" i="36"/>
  <c r="AT50" i="36"/>
  <c r="AT51" i="36"/>
  <c r="AT52" i="36"/>
  <c r="AT53" i="36"/>
  <c r="AT54" i="36"/>
  <c r="AT55" i="36"/>
  <c r="AT56" i="36"/>
  <c r="AT57" i="36"/>
  <c r="AT58" i="36"/>
  <c r="AT59" i="36"/>
  <c r="AT60" i="36"/>
  <c r="AT61" i="36"/>
  <c r="AT62" i="36"/>
  <c r="AT63" i="36"/>
  <c r="AT64" i="36"/>
  <c r="AT65" i="36"/>
  <c r="AT66" i="36"/>
  <c r="AT67" i="36"/>
  <c r="AT68" i="36"/>
  <c r="AT69" i="36"/>
  <c r="AT70" i="36"/>
  <c r="AT71" i="36"/>
  <c r="AT72" i="36"/>
  <c r="AT73" i="36"/>
  <c r="AT74" i="36"/>
  <c r="AT75" i="36"/>
  <c r="AT76" i="36"/>
  <c r="AT77" i="36"/>
  <c r="AT78" i="36"/>
  <c r="AT79" i="36"/>
  <c r="AG36" i="19"/>
  <c r="AG39" i="19"/>
  <c r="AG37" i="19"/>
  <c r="A205" i="1"/>
  <c r="A204" i="1"/>
  <c r="AJ31" i="34"/>
  <c r="AG34" i="19"/>
  <c r="AG29" i="34"/>
  <c r="AG30" i="34"/>
  <c r="AG27" i="19"/>
  <c r="L72" i="1"/>
  <c r="AG32" i="19"/>
  <c r="AG33" i="19"/>
  <c r="AG30" i="19"/>
  <c r="AG31" i="19"/>
  <c r="AG29" i="19"/>
  <c r="AG28" i="19"/>
  <c r="AG26" i="19"/>
  <c r="AG25" i="19"/>
  <c r="AG21" i="19"/>
  <c r="AG22" i="19"/>
  <c r="AG23" i="19"/>
  <c r="AG24" i="19"/>
  <c r="AG20" i="19"/>
  <c r="AG19" i="19"/>
  <c r="AG14" i="19"/>
  <c r="AG15" i="19"/>
  <c r="AG12" i="19"/>
  <c r="AG10" i="19"/>
  <c r="AG11" i="19"/>
  <c r="AG9" i="19"/>
  <c r="AG8" i="19"/>
  <c r="AG7" i="19"/>
  <c r="A163" i="1" l="1"/>
  <c r="B163" i="1"/>
  <c r="C163" i="1"/>
  <c r="D163" i="1"/>
  <c r="E163" i="1"/>
  <c r="F163" i="1"/>
  <c r="G163" i="1"/>
  <c r="H163" i="1"/>
  <c r="I163" i="1"/>
  <c r="J163" i="1"/>
  <c r="K163" i="1"/>
  <c r="L163" i="1"/>
  <c r="M163" i="1"/>
  <c r="N163" i="1"/>
  <c r="O163" i="1"/>
  <c r="P163" i="1"/>
  <c r="Q163" i="1"/>
  <c r="R163" i="1"/>
  <c r="S163" i="1"/>
  <c r="T163" i="1"/>
  <c r="U163" i="1"/>
  <c r="V163" i="1"/>
  <c r="W163" i="1"/>
  <c r="X163" i="1"/>
  <c r="Y163" i="1"/>
  <c r="Z163" i="1"/>
  <c r="AA163" i="1"/>
  <c r="A164" i="1"/>
  <c r="B164" i="1"/>
  <c r="C164" i="1"/>
  <c r="D164" i="1"/>
  <c r="E164" i="1"/>
  <c r="F164" i="1"/>
  <c r="G164" i="1"/>
  <c r="H164" i="1"/>
  <c r="I164" i="1"/>
  <c r="J164" i="1"/>
  <c r="K164" i="1"/>
  <c r="L164" i="1"/>
  <c r="M164" i="1"/>
  <c r="N164" i="1"/>
  <c r="O164" i="1"/>
  <c r="P164" i="1"/>
  <c r="Q164" i="1"/>
  <c r="R164" i="1"/>
  <c r="S164" i="1"/>
  <c r="T164" i="1"/>
  <c r="U164" i="1"/>
  <c r="V164" i="1"/>
  <c r="W164" i="1"/>
  <c r="X164" i="1"/>
  <c r="Y164" i="1"/>
  <c r="Z164" i="1"/>
  <c r="AA164" i="1"/>
  <c r="A165" i="1"/>
  <c r="B165" i="1"/>
  <c r="C165" i="1"/>
  <c r="D165" i="1"/>
  <c r="E165" i="1"/>
  <c r="F165" i="1"/>
  <c r="G165" i="1"/>
  <c r="H165" i="1"/>
  <c r="I165" i="1"/>
  <c r="J165" i="1"/>
  <c r="K165" i="1"/>
  <c r="L165" i="1"/>
  <c r="M165" i="1"/>
  <c r="N165" i="1"/>
  <c r="O165" i="1"/>
  <c r="P165" i="1"/>
  <c r="Q165" i="1"/>
  <c r="R165" i="1"/>
  <c r="S165" i="1"/>
  <c r="T165" i="1"/>
  <c r="U165" i="1"/>
  <c r="V165" i="1"/>
  <c r="W165" i="1"/>
  <c r="X165" i="1"/>
  <c r="Y165" i="1"/>
  <c r="Z165" i="1"/>
  <c r="AA165" i="1"/>
  <c r="A166" i="1"/>
  <c r="B166" i="1"/>
  <c r="C166" i="1"/>
  <c r="D166" i="1"/>
  <c r="E166" i="1"/>
  <c r="F166" i="1"/>
  <c r="G166" i="1"/>
  <c r="H166" i="1"/>
  <c r="I166" i="1"/>
  <c r="J166" i="1"/>
  <c r="K166" i="1"/>
  <c r="L166" i="1"/>
  <c r="M166" i="1"/>
  <c r="N166" i="1"/>
  <c r="O166" i="1"/>
  <c r="P166" i="1"/>
  <c r="Q166" i="1"/>
  <c r="R166" i="1"/>
  <c r="S166" i="1"/>
  <c r="T166" i="1"/>
  <c r="U166" i="1"/>
  <c r="V166" i="1"/>
  <c r="W166" i="1"/>
  <c r="X166" i="1"/>
  <c r="Y166" i="1"/>
  <c r="Z166" i="1"/>
  <c r="AA166" i="1"/>
  <c r="A167" i="1"/>
  <c r="B167" i="1"/>
  <c r="C167" i="1"/>
  <c r="D167" i="1"/>
  <c r="E167" i="1"/>
  <c r="F167" i="1"/>
  <c r="G167" i="1"/>
  <c r="H167" i="1"/>
  <c r="I167" i="1"/>
  <c r="J167" i="1"/>
  <c r="K167" i="1"/>
  <c r="L167" i="1"/>
  <c r="M167" i="1"/>
  <c r="N167" i="1"/>
  <c r="O167" i="1"/>
  <c r="P167" i="1"/>
  <c r="Q167" i="1"/>
  <c r="R167" i="1"/>
  <c r="S167" i="1"/>
  <c r="T167" i="1"/>
  <c r="U167" i="1"/>
  <c r="V167" i="1"/>
  <c r="W167" i="1"/>
  <c r="X167" i="1"/>
  <c r="Y167" i="1"/>
  <c r="Z167" i="1"/>
  <c r="AA167" i="1"/>
  <c r="A168" i="1"/>
  <c r="B168" i="1"/>
  <c r="C168" i="1"/>
  <c r="D168" i="1"/>
  <c r="E168" i="1"/>
  <c r="F168" i="1"/>
  <c r="G168" i="1"/>
  <c r="H168" i="1"/>
  <c r="I168" i="1"/>
  <c r="J168" i="1"/>
  <c r="K168" i="1"/>
  <c r="L168" i="1"/>
  <c r="M168" i="1"/>
  <c r="N168" i="1"/>
  <c r="O168" i="1"/>
  <c r="P168" i="1"/>
  <c r="Q168" i="1"/>
  <c r="R168" i="1"/>
  <c r="S168" i="1"/>
  <c r="T168" i="1"/>
  <c r="U168" i="1"/>
  <c r="V168" i="1"/>
  <c r="W168" i="1"/>
  <c r="X168" i="1"/>
  <c r="Y168" i="1"/>
  <c r="Z168" i="1"/>
  <c r="AA168" i="1"/>
  <c r="A169" i="1"/>
  <c r="B169" i="1"/>
  <c r="C169" i="1"/>
  <c r="D169" i="1"/>
  <c r="E169" i="1"/>
  <c r="F169" i="1"/>
  <c r="G169" i="1"/>
  <c r="H169" i="1"/>
  <c r="I169" i="1"/>
  <c r="J169" i="1"/>
  <c r="K169" i="1"/>
  <c r="L169" i="1"/>
  <c r="M169" i="1"/>
  <c r="N169" i="1"/>
  <c r="O169" i="1"/>
  <c r="P169" i="1"/>
  <c r="Q169" i="1"/>
  <c r="R169" i="1"/>
  <c r="S169" i="1"/>
  <c r="T169" i="1"/>
  <c r="U169" i="1"/>
  <c r="V169" i="1"/>
  <c r="W169" i="1"/>
  <c r="X169" i="1"/>
  <c r="Y169" i="1"/>
  <c r="Z169" i="1"/>
  <c r="AA169" i="1"/>
  <c r="A170" i="1"/>
  <c r="B170" i="1"/>
  <c r="C170" i="1"/>
  <c r="D170" i="1"/>
  <c r="E170" i="1"/>
  <c r="F170" i="1"/>
  <c r="G170" i="1"/>
  <c r="H170" i="1"/>
  <c r="I170" i="1"/>
  <c r="J170" i="1"/>
  <c r="K170" i="1"/>
  <c r="L170" i="1"/>
  <c r="M170" i="1"/>
  <c r="N170" i="1"/>
  <c r="O170" i="1"/>
  <c r="P170" i="1"/>
  <c r="Q170" i="1"/>
  <c r="R170" i="1"/>
  <c r="S170" i="1"/>
  <c r="T170" i="1"/>
  <c r="U170" i="1"/>
  <c r="V170" i="1"/>
  <c r="W170" i="1"/>
  <c r="X170" i="1"/>
  <c r="Y170" i="1"/>
  <c r="Z170" i="1"/>
  <c r="AA170" i="1"/>
  <c r="A171" i="1"/>
  <c r="B171" i="1"/>
  <c r="C171" i="1"/>
  <c r="D171" i="1"/>
  <c r="E171" i="1"/>
  <c r="F171" i="1"/>
  <c r="G171" i="1"/>
  <c r="H171" i="1"/>
  <c r="I171" i="1"/>
  <c r="J171" i="1"/>
  <c r="K171" i="1"/>
  <c r="L171" i="1"/>
  <c r="M171" i="1"/>
  <c r="N171" i="1"/>
  <c r="O171" i="1"/>
  <c r="P171" i="1"/>
  <c r="Q171" i="1"/>
  <c r="R171" i="1"/>
  <c r="S171" i="1"/>
  <c r="T171" i="1"/>
  <c r="U171" i="1"/>
  <c r="V171" i="1"/>
  <c r="W171" i="1"/>
  <c r="X171" i="1"/>
  <c r="Y171" i="1"/>
  <c r="Z171" i="1"/>
  <c r="AA171" i="1"/>
  <c r="A172" i="1"/>
  <c r="B172" i="1"/>
  <c r="C172" i="1"/>
  <c r="D172" i="1"/>
  <c r="E172" i="1"/>
  <c r="F172" i="1"/>
  <c r="G172" i="1"/>
  <c r="H172" i="1"/>
  <c r="I172" i="1"/>
  <c r="J172" i="1"/>
  <c r="K172" i="1"/>
  <c r="L172" i="1"/>
  <c r="M172" i="1"/>
  <c r="N172" i="1"/>
  <c r="O172" i="1"/>
  <c r="P172" i="1"/>
  <c r="Q172" i="1"/>
  <c r="R172" i="1"/>
  <c r="S172" i="1"/>
  <c r="T172" i="1"/>
  <c r="U172" i="1"/>
  <c r="V172" i="1"/>
  <c r="W172" i="1"/>
  <c r="X172" i="1"/>
  <c r="Y172" i="1"/>
  <c r="Z172" i="1"/>
  <c r="AA172" i="1"/>
  <c r="A173" i="1"/>
  <c r="B173" i="1"/>
  <c r="C173" i="1"/>
  <c r="D173" i="1"/>
  <c r="E173" i="1"/>
  <c r="F173" i="1"/>
  <c r="G173" i="1"/>
  <c r="H173" i="1"/>
  <c r="I173" i="1"/>
  <c r="J173" i="1"/>
  <c r="K173" i="1"/>
  <c r="L173" i="1"/>
  <c r="M173" i="1"/>
  <c r="N173" i="1"/>
  <c r="O173" i="1"/>
  <c r="P173" i="1"/>
  <c r="Q173" i="1"/>
  <c r="R173" i="1"/>
  <c r="S173" i="1"/>
  <c r="T173" i="1"/>
  <c r="U173" i="1"/>
  <c r="V173" i="1"/>
  <c r="W173" i="1"/>
  <c r="X173" i="1"/>
  <c r="Y173" i="1"/>
  <c r="Z173" i="1"/>
  <c r="AA173" i="1"/>
  <c r="A174" i="1"/>
  <c r="B174" i="1"/>
  <c r="C174" i="1"/>
  <c r="D174" i="1"/>
  <c r="E174" i="1"/>
  <c r="F174" i="1"/>
  <c r="G174" i="1"/>
  <c r="H174" i="1"/>
  <c r="I174" i="1"/>
  <c r="J174" i="1"/>
  <c r="K174" i="1"/>
  <c r="L174" i="1"/>
  <c r="M174" i="1"/>
  <c r="N174" i="1"/>
  <c r="O174" i="1"/>
  <c r="P174" i="1"/>
  <c r="Q174" i="1"/>
  <c r="R174" i="1"/>
  <c r="S174" i="1"/>
  <c r="T174" i="1"/>
  <c r="U174" i="1"/>
  <c r="V174" i="1"/>
  <c r="W174" i="1"/>
  <c r="X174" i="1"/>
  <c r="Y174" i="1"/>
  <c r="Z174" i="1"/>
  <c r="AA174" i="1"/>
  <c r="A175" i="1"/>
  <c r="B175" i="1"/>
  <c r="C175" i="1"/>
  <c r="D175" i="1"/>
  <c r="E175" i="1"/>
  <c r="F175" i="1"/>
  <c r="G175" i="1"/>
  <c r="H175" i="1"/>
  <c r="I175" i="1"/>
  <c r="J175" i="1"/>
  <c r="K175" i="1"/>
  <c r="L175" i="1"/>
  <c r="M175" i="1"/>
  <c r="N175" i="1"/>
  <c r="O175" i="1"/>
  <c r="P175" i="1"/>
  <c r="Q175" i="1"/>
  <c r="R175" i="1"/>
  <c r="S175" i="1"/>
  <c r="T175" i="1"/>
  <c r="U175" i="1"/>
  <c r="V175" i="1"/>
  <c r="W175" i="1"/>
  <c r="X175" i="1"/>
  <c r="Y175" i="1"/>
  <c r="Z175" i="1"/>
  <c r="AA175" i="1"/>
  <c r="A176" i="1"/>
  <c r="B176" i="1"/>
  <c r="C176" i="1"/>
  <c r="D176" i="1"/>
  <c r="E176" i="1"/>
  <c r="F176" i="1"/>
  <c r="G176" i="1"/>
  <c r="H176" i="1"/>
  <c r="I176" i="1"/>
  <c r="J176" i="1"/>
  <c r="K176" i="1"/>
  <c r="L176" i="1"/>
  <c r="M176" i="1"/>
  <c r="N176" i="1"/>
  <c r="O176" i="1"/>
  <c r="P176" i="1"/>
  <c r="Q176" i="1"/>
  <c r="R176" i="1"/>
  <c r="S176" i="1"/>
  <c r="T176" i="1"/>
  <c r="U176" i="1"/>
  <c r="V176" i="1"/>
  <c r="W176" i="1"/>
  <c r="X176" i="1"/>
  <c r="Y176" i="1"/>
  <c r="Z176" i="1"/>
  <c r="AA176" i="1"/>
  <c r="A177" i="1"/>
  <c r="B177" i="1"/>
  <c r="C177" i="1"/>
  <c r="D177" i="1"/>
  <c r="E177" i="1"/>
  <c r="F177" i="1"/>
  <c r="G177" i="1"/>
  <c r="H177" i="1"/>
  <c r="I177" i="1"/>
  <c r="J177" i="1"/>
  <c r="K177" i="1"/>
  <c r="L177" i="1"/>
  <c r="M177" i="1"/>
  <c r="N177" i="1"/>
  <c r="O177" i="1"/>
  <c r="P177" i="1"/>
  <c r="Q177" i="1"/>
  <c r="R177" i="1"/>
  <c r="S177" i="1"/>
  <c r="T177" i="1"/>
  <c r="U177" i="1"/>
  <c r="V177" i="1"/>
  <c r="W177" i="1"/>
  <c r="X177" i="1"/>
  <c r="Y177" i="1"/>
  <c r="Z177" i="1"/>
  <c r="AA177" i="1"/>
  <c r="A178" i="1"/>
  <c r="B178" i="1"/>
  <c r="C178" i="1"/>
  <c r="D178" i="1"/>
  <c r="E178" i="1"/>
  <c r="F178" i="1"/>
  <c r="G178" i="1"/>
  <c r="H178" i="1"/>
  <c r="I178" i="1"/>
  <c r="J178" i="1"/>
  <c r="K178" i="1"/>
  <c r="L178" i="1"/>
  <c r="M178" i="1"/>
  <c r="N178" i="1"/>
  <c r="O178" i="1"/>
  <c r="P178" i="1"/>
  <c r="Q178" i="1"/>
  <c r="R178" i="1"/>
  <c r="S178" i="1"/>
  <c r="T178" i="1"/>
  <c r="U178" i="1"/>
  <c r="V178" i="1"/>
  <c r="W178" i="1"/>
  <c r="X178" i="1"/>
  <c r="Y178" i="1"/>
  <c r="Z178" i="1"/>
  <c r="AA178" i="1"/>
  <c r="A179" i="1"/>
  <c r="B179" i="1"/>
  <c r="C179" i="1"/>
  <c r="D179" i="1"/>
  <c r="E179" i="1"/>
  <c r="F179" i="1"/>
  <c r="G179" i="1"/>
  <c r="H179" i="1"/>
  <c r="I179" i="1"/>
  <c r="J179" i="1"/>
  <c r="K179" i="1"/>
  <c r="L179" i="1"/>
  <c r="M179" i="1"/>
  <c r="N179" i="1"/>
  <c r="O179" i="1"/>
  <c r="P179" i="1"/>
  <c r="Q179" i="1"/>
  <c r="R179" i="1"/>
  <c r="S179" i="1"/>
  <c r="T179" i="1"/>
  <c r="U179" i="1"/>
  <c r="V179" i="1"/>
  <c r="W179" i="1"/>
  <c r="X179" i="1"/>
  <c r="Y179" i="1"/>
  <c r="Z179" i="1"/>
  <c r="AA179" i="1"/>
  <c r="A180" i="1"/>
  <c r="B180" i="1"/>
  <c r="C180" i="1"/>
  <c r="D180" i="1"/>
  <c r="E180" i="1"/>
  <c r="F180" i="1"/>
  <c r="G180" i="1"/>
  <c r="H180" i="1"/>
  <c r="I180" i="1"/>
  <c r="J180" i="1"/>
  <c r="K180" i="1"/>
  <c r="L180" i="1"/>
  <c r="M180" i="1"/>
  <c r="N180" i="1"/>
  <c r="O180" i="1"/>
  <c r="P180" i="1"/>
  <c r="Q180" i="1"/>
  <c r="R180" i="1"/>
  <c r="S180" i="1"/>
  <c r="T180" i="1"/>
  <c r="U180" i="1"/>
  <c r="V180" i="1"/>
  <c r="W180" i="1"/>
  <c r="X180" i="1"/>
  <c r="Y180" i="1"/>
  <c r="Z180" i="1"/>
  <c r="AA180" i="1"/>
  <c r="A181" i="1"/>
  <c r="B181" i="1"/>
  <c r="C181" i="1"/>
  <c r="D181" i="1"/>
  <c r="E181" i="1"/>
  <c r="F181" i="1"/>
  <c r="G181" i="1"/>
  <c r="H181" i="1"/>
  <c r="I181" i="1"/>
  <c r="J181" i="1"/>
  <c r="K181" i="1"/>
  <c r="L181" i="1"/>
  <c r="M181" i="1"/>
  <c r="N181" i="1"/>
  <c r="O181" i="1"/>
  <c r="P181" i="1"/>
  <c r="Q181" i="1"/>
  <c r="R181" i="1"/>
  <c r="S181" i="1"/>
  <c r="T181" i="1"/>
  <c r="U181" i="1"/>
  <c r="V181" i="1"/>
  <c r="W181" i="1"/>
  <c r="X181" i="1"/>
  <c r="Y181" i="1"/>
  <c r="Z181" i="1"/>
  <c r="AA181" i="1"/>
  <c r="A182" i="1"/>
  <c r="B182" i="1"/>
  <c r="C182" i="1"/>
  <c r="D182" i="1"/>
  <c r="E182" i="1"/>
  <c r="F182" i="1"/>
  <c r="G182" i="1"/>
  <c r="H182" i="1"/>
  <c r="I182" i="1"/>
  <c r="J182" i="1"/>
  <c r="K182" i="1"/>
  <c r="L182" i="1"/>
  <c r="M182" i="1"/>
  <c r="N182" i="1"/>
  <c r="O182" i="1"/>
  <c r="P182" i="1"/>
  <c r="Q182" i="1"/>
  <c r="R182" i="1"/>
  <c r="S182" i="1"/>
  <c r="T182" i="1"/>
  <c r="U182" i="1"/>
  <c r="V182" i="1"/>
  <c r="W182" i="1"/>
  <c r="X182" i="1"/>
  <c r="Y182" i="1"/>
  <c r="Z182" i="1"/>
  <c r="AA182" i="1"/>
  <c r="A183" i="1"/>
  <c r="B183" i="1"/>
  <c r="C183" i="1"/>
  <c r="D183" i="1"/>
  <c r="E183" i="1"/>
  <c r="F183" i="1"/>
  <c r="G183" i="1"/>
  <c r="H183" i="1"/>
  <c r="I183" i="1"/>
  <c r="J183" i="1"/>
  <c r="K183" i="1"/>
  <c r="L183" i="1"/>
  <c r="M183" i="1"/>
  <c r="N183" i="1"/>
  <c r="O183" i="1"/>
  <c r="P183" i="1"/>
  <c r="Q183" i="1"/>
  <c r="R183" i="1"/>
  <c r="S183" i="1"/>
  <c r="T183" i="1"/>
  <c r="U183" i="1"/>
  <c r="V183" i="1"/>
  <c r="W183" i="1"/>
  <c r="X183" i="1"/>
  <c r="Y183" i="1"/>
  <c r="Z183" i="1"/>
  <c r="AA183" i="1"/>
  <c r="A184" i="1"/>
  <c r="B184" i="1"/>
  <c r="C184" i="1"/>
  <c r="D184" i="1"/>
  <c r="E184" i="1"/>
  <c r="F184" i="1"/>
  <c r="G184" i="1"/>
  <c r="H184" i="1"/>
  <c r="I184" i="1"/>
  <c r="J184" i="1"/>
  <c r="K184" i="1"/>
  <c r="L184" i="1"/>
  <c r="M184" i="1"/>
  <c r="N184" i="1"/>
  <c r="O184" i="1"/>
  <c r="P184" i="1"/>
  <c r="Q184" i="1"/>
  <c r="R184" i="1"/>
  <c r="S184" i="1"/>
  <c r="T184" i="1"/>
  <c r="U184" i="1"/>
  <c r="V184" i="1"/>
  <c r="W184" i="1"/>
  <c r="X184" i="1"/>
  <c r="Y184" i="1"/>
  <c r="Z184" i="1"/>
  <c r="AA184" i="1"/>
  <c r="A185" i="1"/>
  <c r="B185" i="1"/>
  <c r="C185" i="1"/>
  <c r="D185" i="1"/>
  <c r="E185" i="1"/>
  <c r="F185" i="1"/>
  <c r="G185" i="1"/>
  <c r="H185" i="1"/>
  <c r="I185" i="1"/>
  <c r="J185" i="1"/>
  <c r="K185" i="1"/>
  <c r="L185" i="1"/>
  <c r="M185" i="1"/>
  <c r="N185" i="1"/>
  <c r="O185" i="1"/>
  <c r="P185" i="1"/>
  <c r="Q185" i="1"/>
  <c r="R185" i="1"/>
  <c r="S185" i="1"/>
  <c r="T185" i="1"/>
  <c r="U185" i="1"/>
  <c r="V185" i="1"/>
  <c r="W185" i="1"/>
  <c r="X185" i="1"/>
  <c r="Y185" i="1"/>
  <c r="Z185" i="1"/>
  <c r="AA185" i="1"/>
  <c r="A186" i="1"/>
  <c r="B186" i="1"/>
  <c r="C186" i="1"/>
  <c r="D186" i="1"/>
  <c r="E186" i="1"/>
  <c r="F186" i="1"/>
  <c r="G186" i="1"/>
  <c r="H186" i="1"/>
  <c r="I186" i="1"/>
  <c r="J186" i="1"/>
  <c r="K186" i="1"/>
  <c r="L186" i="1"/>
  <c r="M186" i="1"/>
  <c r="N186" i="1"/>
  <c r="O186" i="1"/>
  <c r="P186" i="1"/>
  <c r="Q186" i="1"/>
  <c r="R186" i="1"/>
  <c r="S186" i="1"/>
  <c r="T186" i="1"/>
  <c r="U186" i="1"/>
  <c r="V186" i="1"/>
  <c r="W186" i="1"/>
  <c r="X186" i="1"/>
  <c r="Y186" i="1"/>
  <c r="Z186" i="1"/>
  <c r="AA186" i="1"/>
  <c r="A187" i="1"/>
  <c r="B187" i="1"/>
  <c r="C187" i="1"/>
  <c r="D187" i="1"/>
  <c r="E187" i="1"/>
  <c r="F187" i="1"/>
  <c r="G187" i="1"/>
  <c r="H187" i="1"/>
  <c r="I187" i="1"/>
  <c r="J187" i="1"/>
  <c r="K187" i="1"/>
  <c r="L187" i="1"/>
  <c r="M187" i="1"/>
  <c r="N187" i="1"/>
  <c r="O187" i="1"/>
  <c r="P187" i="1"/>
  <c r="Q187" i="1"/>
  <c r="R187" i="1"/>
  <c r="S187" i="1"/>
  <c r="T187" i="1"/>
  <c r="U187" i="1"/>
  <c r="V187" i="1"/>
  <c r="W187" i="1"/>
  <c r="X187" i="1"/>
  <c r="Y187" i="1"/>
  <c r="Z187" i="1"/>
  <c r="AA187" i="1"/>
  <c r="A188" i="1"/>
  <c r="B188" i="1"/>
  <c r="C188" i="1"/>
  <c r="D188" i="1"/>
  <c r="E188" i="1"/>
  <c r="F188" i="1"/>
  <c r="G188" i="1"/>
  <c r="H188" i="1"/>
  <c r="I188" i="1"/>
  <c r="J188" i="1"/>
  <c r="K188" i="1"/>
  <c r="L188" i="1"/>
  <c r="M188" i="1"/>
  <c r="N188" i="1"/>
  <c r="O188" i="1"/>
  <c r="P188" i="1"/>
  <c r="Q188" i="1"/>
  <c r="R188" i="1"/>
  <c r="S188" i="1"/>
  <c r="T188" i="1"/>
  <c r="U188" i="1"/>
  <c r="V188" i="1"/>
  <c r="W188" i="1"/>
  <c r="X188" i="1"/>
  <c r="Y188" i="1"/>
  <c r="Z188" i="1"/>
  <c r="AA188" i="1"/>
  <c r="A189" i="1"/>
  <c r="B189" i="1"/>
  <c r="C189" i="1"/>
  <c r="D189" i="1"/>
  <c r="E189" i="1"/>
  <c r="F189" i="1"/>
  <c r="G189" i="1"/>
  <c r="H189" i="1"/>
  <c r="I189" i="1"/>
  <c r="J189" i="1"/>
  <c r="K189" i="1"/>
  <c r="L189" i="1"/>
  <c r="M189" i="1"/>
  <c r="N189" i="1"/>
  <c r="O189" i="1"/>
  <c r="P189" i="1"/>
  <c r="Q189" i="1"/>
  <c r="R189" i="1"/>
  <c r="S189" i="1"/>
  <c r="T189" i="1"/>
  <c r="U189" i="1"/>
  <c r="V189" i="1"/>
  <c r="W189" i="1"/>
  <c r="X189" i="1"/>
  <c r="Y189" i="1"/>
  <c r="Z189" i="1"/>
  <c r="AA189" i="1"/>
  <c r="A190" i="1"/>
  <c r="B190" i="1"/>
  <c r="C190" i="1"/>
  <c r="D190" i="1"/>
  <c r="E190" i="1"/>
  <c r="F190" i="1"/>
  <c r="G190" i="1"/>
  <c r="H190" i="1"/>
  <c r="I190" i="1"/>
  <c r="J190" i="1"/>
  <c r="K190" i="1"/>
  <c r="L190" i="1"/>
  <c r="M190" i="1"/>
  <c r="N190" i="1"/>
  <c r="O190" i="1"/>
  <c r="P190" i="1"/>
  <c r="Q190" i="1"/>
  <c r="R190" i="1"/>
  <c r="S190" i="1"/>
  <c r="T190" i="1"/>
  <c r="U190" i="1"/>
  <c r="V190" i="1"/>
  <c r="W190" i="1"/>
  <c r="X190" i="1"/>
  <c r="Y190" i="1"/>
  <c r="Z190" i="1"/>
  <c r="AA190" i="1"/>
  <c r="A191" i="1"/>
  <c r="B191" i="1"/>
  <c r="C191" i="1"/>
  <c r="D191" i="1"/>
  <c r="E191" i="1"/>
  <c r="F191" i="1"/>
  <c r="G191" i="1"/>
  <c r="H191" i="1"/>
  <c r="I191" i="1"/>
  <c r="J191" i="1"/>
  <c r="K191" i="1"/>
  <c r="L191" i="1"/>
  <c r="M191" i="1"/>
  <c r="N191" i="1"/>
  <c r="O191" i="1"/>
  <c r="P191" i="1"/>
  <c r="Q191" i="1"/>
  <c r="R191" i="1"/>
  <c r="S191" i="1"/>
  <c r="T191" i="1"/>
  <c r="U191" i="1"/>
  <c r="V191" i="1"/>
  <c r="W191" i="1"/>
  <c r="X191" i="1"/>
  <c r="Y191" i="1"/>
  <c r="Z191" i="1"/>
  <c r="AA191" i="1"/>
  <c r="A192" i="1"/>
  <c r="B192" i="1"/>
  <c r="C192" i="1"/>
  <c r="D192" i="1"/>
  <c r="E192" i="1"/>
  <c r="F192" i="1"/>
  <c r="G192" i="1"/>
  <c r="H192" i="1"/>
  <c r="I192" i="1"/>
  <c r="J192" i="1"/>
  <c r="K192" i="1"/>
  <c r="L192" i="1"/>
  <c r="M192" i="1"/>
  <c r="N192" i="1"/>
  <c r="O192" i="1"/>
  <c r="P192" i="1"/>
  <c r="Q192" i="1"/>
  <c r="R192" i="1"/>
  <c r="S192" i="1"/>
  <c r="T192" i="1"/>
  <c r="U192" i="1"/>
  <c r="V192" i="1"/>
  <c r="W192" i="1"/>
  <c r="X192" i="1"/>
  <c r="Y192" i="1"/>
  <c r="Z192" i="1"/>
  <c r="AA192" i="1"/>
  <c r="A193" i="1"/>
  <c r="B193" i="1"/>
  <c r="C193" i="1"/>
  <c r="D193" i="1"/>
  <c r="E193" i="1"/>
  <c r="F193" i="1"/>
  <c r="G193" i="1"/>
  <c r="H193" i="1"/>
  <c r="I193" i="1"/>
  <c r="J193" i="1"/>
  <c r="K193" i="1"/>
  <c r="L193" i="1"/>
  <c r="M193" i="1"/>
  <c r="N193" i="1"/>
  <c r="O193" i="1"/>
  <c r="P193" i="1"/>
  <c r="Q193" i="1"/>
  <c r="R193" i="1"/>
  <c r="S193" i="1"/>
  <c r="T193" i="1"/>
  <c r="U193" i="1"/>
  <c r="V193" i="1"/>
  <c r="W193" i="1"/>
  <c r="X193" i="1"/>
  <c r="Y193" i="1"/>
  <c r="Z193" i="1"/>
  <c r="AA193" i="1"/>
  <c r="A194" i="1"/>
  <c r="B194" i="1"/>
  <c r="C194" i="1"/>
  <c r="D194" i="1"/>
  <c r="E194" i="1"/>
  <c r="F194" i="1"/>
  <c r="G194" i="1"/>
  <c r="H194" i="1"/>
  <c r="I194" i="1"/>
  <c r="J194" i="1"/>
  <c r="K194" i="1"/>
  <c r="L194" i="1"/>
  <c r="M194" i="1"/>
  <c r="N194" i="1"/>
  <c r="O194" i="1"/>
  <c r="P194" i="1"/>
  <c r="Q194" i="1"/>
  <c r="R194" i="1"/>
  <c r="S194" i="1"/>
  <c r="T194" i="1"/>
  <c r="U194" i="1"/>
  <c r="V194" i="1"/>
  <c r="W194" i="1"/>
  <c r="X194" i="1"/>
  <c r="Y194" i="1"/>
  <c r="Z194" i="1"/>
  <c r="AA194" i="1"/>
  <c r="A195" i="1"/>
  <c r="B195" i="1"/>
  <c r="C195" i="1"/>
  <c r="D195" i="1"/>
  <c r="E195" i="1"/>
  <c r="F195" i="1"/>
  <c r="G195" i="1"/>
  <c r="H195" i="1"/>
  <c r="I195" i="1"/>
  <c r="J195" i="1"/>
  <c r="K195" i="1"/>
  <c r="L195" i="1"/>
  <c r="M195" i="1"/>
  <c r="N195" i="1"/>
  <c r="O195" i="1"/>
  <c r="P195" i="1"/>
  <c r="Q195" i="1"/>
  <c r="R195" i="1"/>
  <c r="S195" i="1"/>
  <c r="T195" i="1"/>
  <c r="U195" i="1"/>
  <c r="V195" i="1"/>
  <c r="W195" i="1"/>
  <c r="X195" i="1"/>
  <c r="Y195" i="1"/>
  <c r="Z195" i="1"/>
  <c r="AA195" i="1"/>
  <c r="A196" i="1"/>
  <c r="B196" i="1"/>
  <c r="C196" i="1"/>
  <c r="D196" i="1"/>
  <c r="E196" i="1"/>
  <c r="F196" i="1"/>
  <c r="G196" i="1"/>
  <c r="H196" i="1"/>
  <c r="I196" i="1"/>
  <c r="J196" i="1"/>
  <c r="K196" i="1"/>
  <c r="L196" i="1"/>
  <c r="M196" i="1"/>
  <c r="N196" i="1"/>
  <c r="O196" i="1"/>
  <c r="P196" i="1"/>
  <c r="Q196" i="1"/>
  <c r="R196" i="1"/>
  <c r="S196" i="1"/>
  <c r="T196" i="1"/>
  <c r="U196" i="1"/>
  <c r="V196" i="1"/>
  <c r="W196" i="1"/>
  <c r="X196" i="1"/>
  <c r="Y196" i="1"/>
  <c r="Z196" i="1"/>
  <c r="AA196" i="1"/>
  <c r="A197" i="1"/>
  <c r="B197" i="1"/>
  <c r="C197" i="1"/>
  <c r="D197" i="1"/>
  <c r="E197" i="1"/>
  <c r="F197" i="1"/>
  <c r="G197" i="1"/>
  <c r="H197" i="1"/>
  <c r="I197" i="1"/>
  <c r="J197" i="1"/>
  <c r="K197" i="1"/>
  <c r="L197" i="1"/>
  <c r="M197" i="1"/>
  <c r="N197" i="1"/>
  <c r="O197" i="1"/>
  <c r="P197" i="1"/>
  <c r="Q197" i="1"/>
  <c r="R197" i="1"/>
  <c r="S197" i="1"/>
  <c r="T197" i="1"/>
  <c r="U197" i="1"/>
  <c r="V197" i="1"/>
  <c r="W197" i="1"/>
  <c r="X197" i="1"/>
  <c r="Y197" i="1"/>
  <c r="Z197" i="1"/>
  <c r="AA197" i="1"/>
  <c r="A198" i="1"/>
  <c r="B198" i="1"/>
  <c r="C198" i="1"/>
  <c r="D198" i="1"/>
  <c r="E198" i="1"/>
  <c r="F198" i="1"/>
  <c r="G198" i="1"/>
  <c r="H198" i="1"/>
  <c r="I198" i="1"/>
  <c r="J198" i="1"/>
  <c r="K198" i="1"/>
  <c r="L198" i="1"/>
  <c r="M198" i="1"/>
  <c r="N198" i="1"/>
  <c r="O198" i="1"/>
  <c r="P198" i="1"/>
  <c r="Q198" i="1"/>
  <c r="R198" i="1"/>
  <c r="S198" i="1"/>
  <c r="T198" i="1"/>
  <c r="U198" i="1"/>
  <c r="V198" i="1"/>
  <c r="W198" i="1"/>
  <c r="X198" i="1"/>
  <c r="Y198" i="1"/>
  <c r="Z198" i="1"/>
  <c r="AA198" i="1"/>
  <c r="A199" i="1"/>
  <c r="B199" i="1"/>
  <c r="C199" i="1"/>
  <c r="D199" i="1"/>
  <c r="E199" i="1"/>
  <c r="F199" i="1"/>
  <c r="G199" i="1"/>
  <c r="H199" i="1"/>
  <c r="I199" i="1"/>
  <c r="J199" i="1"/>
  <c r="K199" i="1"/>
  <c r="L199" i="1"/>
  <c r="M199" i="1"/>
  <c r="N199" i="1"/>
  <c r="O199" i="1"/>
  <c r="P199" i="1"/>
  <c r="Q199" i="1"/>
  <c r="R199" i="1"/>
  <c r="S199" i="1"/>
  <c r="T199" i="1"/>
  <c r="U199" i="1"/>
  <c r="V199" i="1"/>
  <c r="W199" i="1"/>
  <c r="X199" i="1"/>
  <c r="Y199" i="1"/>
  <c r="Z199" i="1"/>
  <c r="AA199" i="1"/>
  <c r="A200" i="1"/>
  <c r="B200" i="1"/>
  <c r="C200" i="1"/>
  <c r="D200" i="1"/>
  <c r="E200" i="1"/>
  <c r="F200" i="1"/>
  <c r="G200" i="1"/>
  <c r="H200" i="1"/>
  <c r="I200" i="1"/>
  <c r="J200" i="1"/>
  <c r="K200" i="1"/>
  <c r="L200" i="1"/>
  <c r="M200" i="1"/>
  <c r="N200" i="1"/>
  <c r="O200" i="1"/>
  <c r="P200" i="1"/>
  <c r="Q200" i="1"/>
  <c r="R200" i="1"/>
  <c r="S200" i="1"/>
  <c r="T200" i="1"/>
  <c r="U200" i="1"/>
  <c r="V200" i="1"/>
  <c r="W200" i="1"/>
  <c r="X200" i="1"/>
  <c r="Y200" i="1"/>
  <c r="Z200" i="1"/>
  <c r="AA200" i="1"/>
  <c r="A201" i="1"/>
  <c r="B201" i="1"/>
  <c r="C201" i="1"/>
  <c r="D201" i="1"/>
  <c r="E201" i="1"/>
  <c r="F201" i="1"/>
  <c r="G201" i="1"/>
  <c r="H201" i="1"/>
  <c r="I201" i="1"/>
  <c r="J201" i="1"/>
  <c r="K201" i="1"/>
  <c r="L201" i="1"/>
  <c r="M201" i="1"/>
  <c r="N201" i="1"/>
  <c r="O201" i="1"/>
  <c r="P201" i="1"/>
  <c r="Q201" i="1"/>
  <c r="R201" i="1"/>
  <c r="S201" i="1"/>
  <c r="T201" i="1"/>
  <c r="U201" i="1"/>
  <c r="V201" i="1"/>
  <c r="W201" i="1"/>
  <c r="X201" i="1"/>
  <c r="Y201" i="1"/>
  <c r="Z201" i="1"/>
  <c r="AA201" i="1"/>
  <c r="A202" i="1"/>
  <c r="B202" i="1"/>
  <c r="C202" i="1"/>
  <c r="D202" i="1"/>
  <c r="E202" i="1"/>
  <c r="F202" i="1"/>
  <c r="G202" i="1"/>
  <c r="H202" i="1"/>
  <c r="I202" i="1"/>
  <c r="J202" i="1"/>
  <c r="K202" i="1"/>
  <c r="L202" i="1"/>
  <c r="M202" i="1"/>
  <c r="N202" i="1"/>
  <c r="O202" i="1"/>
  <c r="P202" i="1"/>
  <c r="Q202" i="1"/>
  <c r="R202" i="1"/>
  <c r="S202" i="1"/>
  <c r="T202" i="1"/>
  <c r="U202" i="1"/>
  <c r="V202" i="1"/>
  <c r="W202" i="1"/>
  <c r="X202" i="1"/>
  <c r="Y202" i="1"/>
  <c r="Z202" i="1"/>
  <c r="AA202" i="1"/>
  <c r="A203" i="1"/>
  <c r="B203" i="1"/>
  <c r="C203" i="1"/>
  <c r="D203" i="1"/>
  <c r="E203" i="1"/>
  <c r="F203" i="1"/>
  <c r="G203" i="1"/>
  <c r="H203" i="1"/>
  <c r="I203" i="1"/>
  <c r="J203" i="1"/>
  <c r="K203" i="1"/>
  <c r="L203" i="1"/>
  <c r="M203" i="1"/>
  <c r="N203" i="1"/>
  <c r="O203" i="1"/>
  <c r="P203" i="1"/>
  <c r="Q203" i="1"/>
  <c r="R203" i="1"/>
  <c r="S203" i="1"/>
  <c r="T203" i="1"/>
  <c r="U203" i="1"/>
  <c r="V203" i="1"/>
  <c r="W203" i="1"/>
  <c r="X203" i="1"/>
  <c r="Y203" i="1"/>
  <c r="Z203" i="1"/>
  <c r="AA203" i="1"/>
  <c r="B204" i="1"/>
  <c r="C204" i="1"/>
  <c r="D204" i="1"/>
  <c r="E204" i="1"/>
  <c r="F204" i="1"/>
  <c r="G204" i="1"/>
  <c r="H204" i="1"/>
  <c r="I204" i="1"/>
  <c r="J204" i="1"/>
  <c r="K204" i="1"/>
  <c r="L204" i="1"/>
  <c r="M204" i="1"/>
  <c r="N204" i="1"/>
  <c r="O204" i="1"/>
  <c r="P204" i="1"/>
  <c r="Q204" i="1"/>
  <c r="R204" i="1"/>
  <c r="S204" i="1"/>
  <c r="T204" i="1"/>
  <c r="U204" i="1"/>
  <c r="V204" i="1"/>
  <c r="W204" i="1"/>
  <c r="X204" i="1"/>
  <c r="Y204" i="1"/>
  <c r="Z204" i="1"/>
  <c r="AA204" i="1"/>
  <c r="B205" i="1"/>
  <c r="C205" i="1"/>
  <c r="D205" i="1"/>
  <c r="E205" i="1"/>
  <c r="F205" i="1"/>
  <c r="G205" i="1"/>
  <c r="H205" i="1"/>
  <c r="I205" i="1"/>
  <c r="J205" i="1"/>
  <c r="K205" i="1"/>
  <c r="L205" i="1"/>
  <c r="M205" i="1"/>
  <c r="N205" i="1"/>
  <c r="O205" i="1"/>
  <c r="P205" i="1"/>
  <c r="Q205" i="1"/>
  <c r="R205" i="1"/>
  <c r="S205" i="1"/>
  <c r="T205" i="1"/>
  <c r="U205" i="1"/>
  <c r="V205" i="1"/>
  <c r="W205" i="1"/>
  <c r="X205" i="1"/>
  <c r="Y205" i="1"/>
  <c r="Z205" i="1"/>
  <c r="AA205" i="1"/>
  <c r="A206" i="1"/>
  <c r="B206" i="1"/>
  <c r="C206" i="1"/>
  <c r="D206" i="1"/>
  <c r="E206" i="1"/>
  <c r="F206" i="1"/>
  <c r="G206" i="1"/>
  <c r="H206" i="1"/>
  <c r="I206" i="1"/>
  <c r="J206" i="1"/>
  <c r="K206" i="1"/>
  <c r="L206" i="1"/>
  <c r="M206" i="1"/>
  <c r="N206" i="1"/>
  <c r="O206" i="1"/>
  <c r="P206" i="1"/>
  <c r="Q206" i="1"/>
  <c r="R206" i="1"/>
  <c r="S206" i="1"/>
  <c r="T206" i="1"/>
  <c r="U206" i="1"/>
  <c r="V206" i="1"/>
  <c r="W206" i="1"/>
  <c r="X206" i="1"/>
  <c r="Y206" i="1"/>
  <c r="Z206" i="1"/>
  <c r="AA206" i="1"/>
  <c r="A207" i="1"/>
  <c r="B207" i="1"/>
  <c r="C207" i="1"/>
  <c r="D207" i="1"/>
  <c r="E207" i="1"/>
  <c r="F207" i="1"/>
  <c r="G207" i="1"/>
  <c r="H207" i="1"/>
  <c r="I207" i="1"/>
  <c r="J207" i="1"/>
  <c r="K207" i="1"/>
  <c r="L207" i="1"/>
  <c r="M207" i="1"/>
  <c r="N207" i="1"/>
  <c r="O207" i="1"/>
  <c r="P207" i="1"/>
  <c r="Q207" i="1"/>
  <c r="R207" i="1"/>
  <c r="S207" i="1"/>
  <c r="T207" i="1"/>
  <c r="U207" i="1"/>
  <c r="V207" i="1"/>
  <c r="W207" i="1"/>
  <c r="X207" i="1"/>
  <c r="Y207" i="1"/>
  <c r="Z207" i="1"/>
  <c r="AA207" i="1"/>
  <c r="A208" i="1"/>
  <c r="B208" i="1"/>
  <c r="C208" i="1"/>
  <c r="D208" i="1"/>
  <c r="E208" i="1"/>
  <c r="F208" i="1"/>
  <c r="G208" i="1"/>
  <c r="H208" i="1"/>
  <c r="I208" i="1"/>
  <c r="J208" i="1"/>
  <c r="K208" i="1"/>
  <c r="L208" i="1"/>
  <c r="M208" i="1"/>
  <c r="N208" i="1"/>
  <c r="O208" i="1"/>
  <c r="P208" i="1"/>
  <c r="Q208" i="1"/>
  <c r="R208" i="1"/>
  <c r="S208" i="1"/>
  <c r="T208" i="1"/>
  <c r="U208" i="1"/>
  <c r="V208" i="1"/>
  <c r="W208" i="1"/>
  <c r="X208" i="1"/>
  <c r="Y208" i="1"/>
  <c r="Z208" i="1"/>
  <c r="AA208" i="1"/>
  <c r="A209" i="1"/>
  <c r="B209" i="1"/>
  <c r="C209" i="1"/>
  <c r="D209" i="1"/>
  <c r="E209" i="1"/>
  <c r="F209" i="1"/>
  <c r="G209" i="1"/>
  <c r="H209" i="1"/>
  <c r="I209" i="1"/>
  <c r="J209" i="1"/>
  <c r="K209" i="1"/>
  <c r="L209" i="1"/>
  <c r="M209" i="1"/>
  <c r="N209" i="1"/>
  <c r="O209" i="1"/>
  <c r="P209" i="1"/>
  <c r="Q209" i="1"/>
  <c r="R209" i="1"/>
  <c r="S209" i="1"/>
  <c r="T209" i="1"/>
  <c r="U209" i="1"/>
  <c r="V209" i="1"/>
  <c r="W209" i="1"/>
  <c r="X209" i="1"/>
  <c r="Y209" i="1"/>
  <c r="Z209" i="1"/>
  <c r="AA209" i="1"/>
  <c r="A210" i="1"/>
  <c r="B210" i="1"/>
  <c r="C210" i="1"/>
  <c r="D210" i="1"/>
  <c r="E210" i="1"/>
  <c r="F210" i="1"/>
  <c r="G210" i="1"/>
  <c r="H210" i="1"/>
  <c r="I210" i="1"/>
  <c r="J210" i="1"/>
  <c r="K210" i="1"/>
  <c r="L210" i="1"/>
  <c r="M210" i="1"/>
  <c r="N210" i="1"/>
  <c r="O210" i="1"/>
  <c r="P210" i="1"/>
  <c r="Q210" i="1"/>
  <c r="R210" i="1"/>
  <c r="S210" i="1"/>
  <c r="T210" i="1"/>
  <c r="U210" i="1"/>
  <c r="V210" i="1"/>
  <c r="W210" i="1"/>
  <c r="X210" i="1"/>
  <c r="Y210" i="1"/>
  <c r="Z210" i="1"/>
  <c r="AA210" i="1"/>
  <c r="A211" i="1"/>
  <c r="B211" i="1"/>
  <c r="C211" i="1"/>
  <c r="D211" i="1"/>
  <c r="E211" i="1"/>
  <c r="F211" i="1"/>
  <c r="G211" i="1"/>
  <c r="H211" i="1"/>
  <c r="I211" i="1"/>
  <c r="J211" i="1"/>
  <c r="K211" i="1"/>
  <c r="L211" i="1"/>
  <c r="M211" i="1"/>
  <c r="N211" i="1"/>
  <c r="O211" i="1"/>
  <c r="P211" i="1"/>
  <c r="Q211" i="1"/>
  <c r="R211" i="1"/>
  <c r="S211" i="1"/>
  <c r="T211" i="1"/>
  <c r="U211" i="1"/>
  <c r="V211" i="1"/>
  <c r="W211" i="1"/>
  <c r="X211" i="1"/>
  <c r="Y211" i="1"/>
  <c r="Z211" i="1"/>
  <c r="AA211" i="1"/>
  <c r="A212" i="1"/>
  <c r="B212" i="1"/>
  <c r="C212" i="1"/>
  <c r="D212" i="1"/>
  <c r="E212" i="1"/>
  <c r="F212" i="1"/>
  <c r="G212" i="1"/>
  <c r="H212" i="1"/>
  <c r="I212" i="1"/>
  <c r="J212" i="1"/>
  <c r="K212" i="1"/>
  <c r="L212" i="1"/>
  <c r="M212" i="1"/>
  <c r="N212" i="1"/>
  <c r="O212" i="1"/>
  <c r="P212" i="1"/>
  <c r="Q212" i="1"/>
  <c r="R212" i="1"/>
  <c r="S212" i="1"/>
  <c r="T212" i="1"/>
  <c r="U212" i="1"/>
  <c r="V212" i="1"/>
  <c r="W212" i="1"/>
  <c r="X212" i="1"/>
  <c r="Y212" i="1"/>
  <c r="Z212" i="1"/>
  <c r="AA212" i="1"/>
  <c r="A213" i="1"/>
  <c r="B213" i="1"/>
  <c r="C213" i="1"/>
  <c r="D213" i="1"/>
  <c r="E213" i="1"/>
  <c r="F213" i="1"/>
  <c r="G213" i="1"/>
  <c r="H213" i="1"/>
  <c r="I213" i="1"/>
  <c r="J213" i="1"/>
  <c r="K213" i="1"/>
  <c r="L213" i="1"/>
  <c r="M213" i="1"/>
  <c r="N213" i="1"/>
  <c r="O213" i="1"/>
  <c r="P213" i="1"/>
  <c r="Q213" i="1"/>
  <c r="R213" i="1"/>
  <c r="S213" i="1"/>
  <c r="T213" i="1"/>
  <c r="U213" i="1"/>
  <c r="V213" i="1"/>
  <c r="W213" i="1"/>
  <c r="X213" i="1"/>
  <c r="Y213" i="1"/>
  <c r="Z213" i="1"/>
  <c r="AA213" i="1"/>
  <c r="A214" i="1"/>
  <c r="B214" i="1"/>
  <c r="C214" i="1"/>
  <c r="D214" i="1"/>
  <c r="E214" i="1"/>
  <c r="F214" i="1"/>
  <c r="G214" i="1"/>
  <c r="H214" i="1"/>
  <c r="I214" i="1"/>
  <c r="J214" i="1"/>
  <c r="K214" i="1"/>
  <c r="L214" i="1"/>
  <c r="M214" i="1"/>
  <c r="N214" i="1"/>
  <c r="O214" i="1"/>
  <c r="P214" i="1"/>
  <c r="Q214" i="1"/>
  <c r="R214" i="1"/>
  <c r="S214" i="1"/>
  <c r="T214" i="1"/>
  <c r="U214" i="1"/>
  <c r="V214" i="1"/>
  <c r="W214" i="1"/>
  <c r="X214" i="1"/>
  <c r="Y214" i="1"/>
  <c r="Z214" i="1"/>
  <c r="AA214" i="1"/>
  <c r="A215" i="1"/>
  <c r="B215" i="1"/>
  <c r="C215" i="1"/>
  <c r="D215" i="1"/>
  <c r="E215" i="1"/>
  <c r="F215" i="1"/>
  <c r="G215" i="1"/>
  <c r="H215" i="1"/>
  <c r="I215" i="1"/>
  <c r="J215" i="1"/>
  <c r="K215" i="1"/>
  <c r="L215" i="1"/>
  <c r="M215" i="1"/>
  <c r="N215" i="1"/>
  <c r="O215" i="1"/>
  <c r="P215" i="1"/>
  <c r="Q215" i="1"/>
  <c r="R215" i="1"/>
  <c r="S215" i="1"/>
  <c r="T215" i="1"/>
  <c r="U215" i="1"/>
  <c r="V215" i="1"/>
  <c r="W215" i="1"/>
  <c r="X215" i="1"/>
  <c r="Y215" i="1"/>
  <c r="Z215" i="1"/>
  <c r="AA215" i="1"/>
  <c r="A216" i="1"/>
  <c r="B216" i="1"/>
  <c r="C216" i="1"/>
  <c r="D216" i="1"/>
  <c r="E216" i="1"/>
  <c r="F216" i="1"/>
  <c r="G216" i="1"/>
  <c r="H216" i="1"/>
  <c r="I216" i="1"/>
  <c r="J216" i="1"/>
  <c r="K216" i="1"/>
  <c r="L216" i="1"/>
  <c r="M216" i="1"/>
  <c r="N216" i="1"/>
  <c r="O216" i="1"/>
  <c r="P216" i="1"/>
  <c r="Q216" i="1"/>
  <c r="R216" i="1"/>
  <c r="S216" i="1"/>
  <c r="T216" i="1"/>
  <c r="U216" i="1"/>
  <c r="V216" i="1"/>
  <c r="W216" i="1"/>
  <c r="X216" i="1"/>
  <c r="Y216" i="1"/>
  <c r="Z216" i="1"/>
  <c r="AA216" i="1"/>
  <c r="A217" i="1"/>
  <c r="B217" i="1"/>
  <c r="C217" i="1"/>
  <c r="D217" i="1"/>
  <c r="E217" i="1"/>
  <c r="F217" i="1"/>
  <c r="G217" i="1"/>
  <c r="H217" i="1"/>
  <c r="I217" i="1"/>
  <c r="J217" i="1"/>
  <c r="K217" i="1"/>
  <c r="L217" i="1"/>
  <c r="M217" i="1"/>
  <c r="N217" i="1"/>
  <c r="O217" i="1"/>
  <c r="P217" i="1"/>
  <c r="Q217" i="1"/>
  <c r="R217" i="1"/>
  <c r="S217" i="1"/>
  <c r="T217" i="1"/>
  <c r="U217" i="1"/>
  <c r="V217" i="1"/>
  <c r="W217" i="1"/>
  <c r="X217" i="1"/>
  <c r="Y217" i="1"/>
  <c r="Z217" i="1"/>
  <c r="AA217" i="1"/>
  <c r="A218" i="1"/>
  <c r="B218" i="1"/>
  <c r="C218" i="1"/>
  <c r="D218" i="1"/>
  <c r="E218" i="1"/>
  <c r="F218" i="1"/>
  <c r="G218" i="1"/>
  <c r="H218" i="1"/>
  <c r="I218" i="1"/>
  <c r="J218" i="1"/>
  <c r="K218" i="1"/>
  <c r="L218" i="1"/>
  <c r="M218" i="1"/>
  <c r="N218" i="1"/>
  <c r="O218" i="1"/>
  <c r="P218" i="1"/>
  <c r="Q218" i="1"/>
  <c r="R218" i="1"/>
  <c r="S218" i="1"/>
  <c r="T218" i="1"/>
  <c r="U218" i="1"/>
  <c r="V218" i="1"/>
  <c r="W218" i="1"/>
  <c r="X218" i="1"/>
  <c r="Y218" i="1"/>
  <c r="Z218" i="1"/>
  <c r="AA218" i="1"/>
  <c r="A219" i="1"/>
  <c r="B219" i="1"/>
  <c r="C219" i="1"/>
  <c r="D219" i="1"/>
  <c r="E219" i="1"/>
  <c r="F219" i="1"/>
  <c r="G219" i="1"/>
  <c r="H219" i="1"/>
  <c r="I219" i="1"/>
  <c r="J219" i="1"/>
  <c r="K219" i="1"/>
  <c r="L219" i="1"/>
  <c r="M219" i="1"/>
  <c r="N219" i="1"/>
  <c r="O219" i="1"/>
  <c r="P219" i="1"/>
  <c r="Q219" i="1"/>
  <c r="R219" i="1"/>
  <c r="S219" i="1"/>
  <c r="T219" i="1"/>
  <c r="U219" i="1"/>
  <c r="V219" i="1"/>
  <c r="W219" i="1"/>
  <c r="X219" i="1"/>
  <c r="Y219" i="1"/>
  <c r="Z219" i="1"/>
  <c r="AA219" i="1"/>
  <c r="A220" i="1"/>
  <c r="B220" i="1"/>
  <c r="C220" i="1"/>
  <c r="D220" i="1"/>
  <c r="E220" i="1"/>
  <c r="F220" i="1"/>
  <c r="G220" i="1"/>
  <c r="H220" i="1"/>
  <c r="I220" i="1"/>
  <c r="J220" i="1"/>
  <c r="K220" i="1"/>
  <c r="L220" i="1"/>
  <c r="M220" i="1"/>
  <c r="N220" i="1"/>
  <c r="O220" i="1"/>
  <c r="P220" i="1"/>
  <c r="Q220" i="1"/>
  <c r="R220" i="1"/>
  <c r="S220" i="1"/>
  <c r="T220" i="1"/>
  <c r="U220" i="1"/>
  <c r="V220" i="1"/>
  <c r="W220" i="1"/>
  <c r="X220" i="1"/>
  <c r="Y220" i="1"/>
  <c r="Z220" i="1"/>
  <c r="AA220" i="1"/>
  <c r="A221" i="1"/>
  <c r="B221" i="1"/>
  <c r="C221" i="1"/>
  <c r="D221" i="1"/>
  <c r="E221" i="1"/>
  <c r="F221" i="1"/>
  <c r="G221" i="1"/>
  <c r="H221" i="1"/>
  <c r="I221" i="1"/>
  <c r="J221" i="1"/>
  <c r="K221" i="1"/>
  <c r="L221" i="1"/>
  <c r="M221" i="1"/>
  <c r="N221" i="1"/>
  <c r="O221" i="1"/>
  <c r="P221" i="1"/>
  <c r="Q221" i="1"/>
  <c r="R221" i="1"/>
  <c r="S221" i="1"/>
  <c r="T221" i="1"/>
  <c r="U221" i="1"/>
  <c r="V221" i="1"/>
  <c r="W221" i="1"/>
  <c r="X221" i="1"/>
  <c r="Y221" i="1"/>
  <c r="Z221" i="1"/>
  <c r="AA221" i="1"/>
  <c r="A222" i="1"/>
  <c r="B222" i="1"/>
  <c r="C222" i="1"/>
  <c r="D222" i="1"/>
  <c r="E222" i="1"/>
  <c r="F222" i="1"/>
  <c r="G222" i="1"/>
  <c r="H222" i="1"/>
  <c r="I222" i="1"/>
  <c r="J222" i="1"/>
  <c r="K222" i="1"/>
  <c r="L222" i="1"/>
  <c r="M222" i="1"/>
  <c r="N222" i="1"/>
  <c r="O222" i="1"/>
  <c r="P222" i="1"/>
  <c r="Q222" i="1"/>
  <c r="R222" i="1"/>
  <c r="S222" i="1"/>
  <c r="T222" i="1"/>
  <c r="U222" i="1"/>
  <c r="V222" i="1"/>
  <c r="W222" i="1"/>
  <c r="X222" i="1"/>
  <c r="Y222" i="1"/>
  <c r="Z222" i="1"/>
  <c r="AA222" i="1"/>
  <c r="A223" i="1"/>
  <c r="B223" i="1"/>
  <c r="C223" i="1"/>
  <c r="D223" i="1"/>
  <c r="E223" i="1"/>
  <c r="F223" i="1"/>
  <c r="G223" i="1"/>
  <c r="H223" i="1"/>
  <c r="I223" i="1"/>
  <c r="J223" i="1"/>
  <c r="K223" i="1"/>
  <c r="L223" i="1"/>
  <c r="M223" i="1"/>
  <c r="N223" i="1"/>
  <c r="O223" i="1"/>
  <c r="P223" i="1"/>
  <c r="Q223" i="1"/>
  <c r="R223" i="1"/>
  <c r="S223" i="1"/>
  <c r="T223" i="1"/>
  <c r="U223" i="1"/>
  <c r="V223" i="1"/>
  <c r="W223" i="1"/>
  <c r="X223" i="1"/>
  <c r="Y223" i="1"/>
  <c r="Z223" i="1"/>
  <c r="AA223" i="1"/>
  <c r="A224" i="1"/>
  <c r="B224" i="1"/>
  <c r="C224" i="1"/>
  <c r="D224" i="1"/>
  <c r="E224" i="1"/>
  <c r="F224" i="1"/>
  <c r="G224" i="1"/>
  <c r="H224" i="1"/>
  <c r="I224" i="1"/>
  <c r="J224" i="1"/>
  <c r="K224" i="1"/>
  <c r="L224" i="1"/>
  <c r="M224" i="1"/>
  <c r="N224" i="1"/>
  <c r="O224" i="1"/>
  <c r="P224" i="1"/>
  <c r="Q224" i="1"/>
  <c r="R224" i="1"/>
  <c r="S224" i="1"/>
  <c r="T224" i="1"/>
  <c r="U224" i="1"/>
  <c r="V224" i="1"/>
  <c r="W224" i="1"/>
  <c r="X224" i="1"/>
  <c r="Y224" i="1"/>
  <c r="Z224" i="1"/>
  <c r="AA224" i="1"/>
  <c r="V150" i="1"/>
  <c r="V151" i="1"/>
  <c r="V152" i="1"/>
  <c r="V153" i="1"/>
  <c r="V154" i="1"/>
  <c r="V155" i="1"/>
  <c r="V156" i="1"/>
  <c r="V157" i="1"/>
  <c r="V158" i="1"/>
  <c r="V159" i="1"/>
  <c r="V160" i="1"/>
  <c r="V161" i="1"/>
  <c r="V162" i="1"/>
  <c r="N150" i="1"/>
  <c r="N151" i="1"/>
  <c r="N152" i="1"/>
  <c r="N153" i="1"/>
  <c r="N154" i="1"/>
  <c r="N155" i="1"/>
  <c r="N156" i="1"/>
  <c r="N157" i="1"/>
  <c r="N158" i="1"/>
  <c r="N159" i="1"/>
  <c r="N160" i="1"/>
  <c r="N161" i="1"/>
  <c r="N162" i="1"/>
  <c r="AA150" i="1"/>
  <c r="AA151" i="1"/>
  <c r="AA152" i="1"/>
  <c r="AA153" i="1"/>
  <c r="AA154" i="1"/>
  <c r="AA155" i="1"/>
  <c r="AA156" i="1"/>
  <c r="AA157" i="1"/>
  <c r="AA158" i="1"/>
  <c r="AA159" i="1"/>
  <c r="AA160" i="1"/>
  <c r="AA161" i="1"/>
  <c r="AA162" i="1"/>
  <c r="Y150" i="1"/>
  <c r="Z150" i="1"/>
  <c r="Y151" i="1"/>
  <c r="Z151" i="1"/>
  <c r="Y152" i="1"/>
  <c r="Z152" i="1"/>
  <c r="Y153" i="1"/>
  <c r="Z153" i="1"/>
  <c r="Y154" i="1"/>
  <c r="Z154" i="1"/>
  <c r="Y155" i="1"/>
  <c r="Z155" i="1"/>
  <c r="Y156" i="1"/>
  <c r="Z156" i="1"/>
  <c r="Y157" i="1"/>
  <c r="Z157" i="1"/>
  <c r="Y158" i="1"/>
  <c r="Z158" i="1"/>
  <c r="Y159" i="1"/>
  <c r="Z159" i="1"/>
  <c r="Y160" i="1"/>
  <c r="Z160" i="1"/>
  <c r="Y161" i="1"/>
  <c r="Z161" i="1"/>
  <c r="Y162" i="1"/>
  <c r="Z162" i="1"/>
  <c r="W150" i="1"/>
  <c r="X150" i="1"/>
  <c r="W151" i="1"/>
  <c r="X151" i="1"/>
  <c r="W152" i="1"/>
  <c r="X152" i="1"/>
  <c r="W153" i="1"/>
  <c r="X153" i="1"/>
  <c r="W154" i="1"/>
  <c r="X154" i="1"/>
  <c r="W155" i="1"/>
  <c r="X155" i="1"/>
  <c r="W156" i="1"/>
  <c r="X156" i="1"/>
  <c r="W157" i="1"/>
  <c r="X157" i="1"/>
  <c r="W158" i="1"/>
  <c r="X158" i="1"/>
  <c r="W159" i="1"/>
  <c r="X159" i="1"/>
  <c r="W160" i="1"/>
  <c r="X160" i="1"/>
  <c r="W161" i="1"/>
  <c r="X161" i="1"/>
  <c r="W162" i="1"/>
  <c r="X162"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O150" i="1"/>
  <c r="P150" i="1"/>
  <c r="Q150" i="1"/>
  <c r="O151" i="1"/>
  <c r="P151" i="1"/>
  <c r="Q151" i="1"/>
  <c r="O152" i="1"/>
  <c r="P152" i="1"/>
  <c r="Q152" i="1"/>
  <c r="O153" i="1"/>
  <c r="P153" i="1"/>
  <c r="Q153" i="1"/>
  <c r="O154" i="1"/>
  <c r="P154" i="1"/>
  <c r="Q154" i="1"/>
  <c r="O155" i="1"/>
  <c r="P155" i="1"/>
  <c r="Q155" i="1"/>
  <c r="O156" i="1"/>
  <c r="P156" i="1"/>
  <c r="Q156" i="1"/>
  <c r="O157" i="1"/>
  <c r="P157" i="1"/>
  <c r="Q157" i="1"/>
  <c r="O158" i="1"/>
  <c r="P158" i="1"/>
  <c r="Q158" i="1"/>
  <c r="O159" i="1"/>
  <c r="P159" i="1"/>
  <c r="Q159" i="1"/>
  <c r="O160" i="1"/>
  <c r="P160" i="1"/>
  <c r="Q160" i="1"/>
  <c r="O161" i="1"/>
  <c r="P161" i="1"/>
  <c r="Q161" i="1"/>
  <c r="O162" i="1"/>
  <c r="P162" i="1"/>
  <c r="Q162"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H150" i="1"/>
  <c r="I150" i="1"/>
  <c r="J150" i="1"/>
  <c r="H151" i="1"/>
  <c r="I151" i="1"/>
  <c r="J151" i="1"/>
  <c r="H152" i="1"/>
  <c r="I152" i="1"/>
  <c r="J152" i="1"/>
  <c r="H153" i="1"/>
  <c r="I153" i="1"/>
  <c r="J153" i="1"/>
  <c r="H154" i="1"/>
  <c r="I154" i="1"/>
  <c r="J154" i="1"/>
  <c r="H155" i="1"/>
  <c r="I155" i="1"/>
  <c r="J155" i="1"/>
  <c r="H156" i="1"/>
  <c r="I156" i="1"/>
  <c r="J156" i="1"/>
  <c r="H157" i="1"/>
  <c r="I157" i="1"/>
  <c r="J157" i="1"/>
  <c r="H158" i="1"/>
  <c r="I158" i="1"/>
  <c r="J158" i="1"/>
  <c r="H159" i="1"/>
  <c r="I159" i="1"/>
  <c r="J159" i="1"/>
  <c r="H160" i="1"/>
  <c r="I160" i="1"/>
  <c r="J160" i="1"/>
  <c r="H161" i="1"/>
  <c r="I161" i="1"/>
  <c r="J161" i="1"/>
  <c r="H162" i="1"/>
  <c r="I162" i="1"/>
  <c r="J162" i="1"/>
  <c r="B150" i="1"/>
  <c r="C150" i="1"/>
  <c r="D150" i="1"/>
  <c r="E150" i="1"/>
  <c r="F150" i="1"/>
  <c r="G150" i="1"/>
  <c r="B151" i="1"/>
  <c r="C151" i="1"/>
  <c r="D151" i="1"/>
  <c r="E151" i="1"/>
  <c r="F151" i="1"/>
  <c r="G151" i="1"/>
  <c r="B152" i="1"/>
  <c r="C152" i="1"/>
  <c r="D152" i="1"/>
  <c r="E152" i="1"/>
  <c r="F152" i="1"/>
  <c r="G152" i="1"/>
  <c r="B153" i="1"/>
  <c r="C153" i="1"/>
  <c r="D153" i="1"/>
  <c r="E153" i="1"/>
  <c r="F153" i="1"/>
  <c r="G153" i="1"/>
  <c r="B154" i="1"/>
  <c r="C154" i="1"/>
  <c r="D154" i="1"/>
  <c r="E154" i="1"/>
  <c r="F154" i="1"/>
  <c r="G154" i="1"/>
  <c r="B155" i="1"/>
  <c r="C155" i="1"/>
  <c r="D155" i="1"/>
  <c r="E155" i="1"/>
  <c r="F155" i="1"/>
  <c r="G155" i="1"/>
  <c r="B156" i="1"/>
  <c r="C156" i="1"/>
  <c r="D156" i="1"/>
  <c r="E156" i="1"/>
  <c r="F156" i="1"/>
  <c r="G156" i="1"/>
  <c r="B157" i="1"/>
  <c r="C157" i="1"/>
  <c r="D157" i="1"/>
  <c r="E157" i="1"/>
  <c r="F157" i="1"/>
  <c r="G157" i="1"/>
  <c r="B158" i="1"/>
  <c r="C158" i="1"/>
  <c r="D158" i="1"/>
  <c r="E158" i="1"/>
  <c r="F158" i="1"/>
  <c r="G158" i="1"/>
  <c r="B159" i="1"/>
  <c r="C159" i="1"/>
  <c r="D159" i="1"/>
  <c r="E159" i="1"/>
  <c r="F159" i="1"/>
  <c r="G159" i="1"/>
  <c r="B160" i="1"/>
  <c r="C160" i="1"/>
  <c r="D160" i="1"/>
  <c r="E160" i="1"/>
  <c r="F160" i="1"/>
  <c r="G160" i="1"/>
  <c r="B161" i="1"/>
  <c r="C161" i="1"/>
  <c r="D161" i="1"/>
  <c r="E161" i="1"/>
  <c r="F161" i="1"/>
  <c r="G161" i="1"/>
  <c r="B162" i="1"/>
  <c r="C162" i="1"/>
  <c r="D162" i="1"/>
  <c r="E162" i="1"/>
  <c r="F162" i="1"/>
  <c r="G162" i="1"/>
  <c r="A160" i="1"/>
  <c r="A161" i="1"/>
  <c r="A162" i="1"/>
  <c r="A156" i="1"/>
  <c r="A157" i="1"/>
  <c r="A158" i="1"/>
  <c r="A159" i="1"/>
  <c r="A151" i="1"/>
  <c r="A152" i="1"/>
  <c r="A153" i="1"/>
  <c r="A154" i="1"/>
  <c r="A155"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2" i="1"/>
  <c r="A150" i="1"/>
  <c r="Y147" i="1"/>
  <c r="Z147" i="1"/>
  <c r="Y148" i="1"/>
  <c r="Z148" i="1"/>
  <c r="Y149" i="1"/>
  <c r="Z149" i="1"/>
  <c r="W147" i="1"/>
  <c r="X147" i="1"/>
  <c r="W148" i="1"/>
  <c r="X148" i="1"/>
  <c r="W149" i="1"/>
  <c r="X149" i="1"/>
  <c r="U147" i="1"/>
  <c r="V147" i="1"/>
  <c r="U148" i="1"/>
  <c r="V148" i="1"/>
  <c r="U149" i="1"/>
  <c r="V149" i="1"/>
  <c r="S147" i="1"/>
  <c r="T147" i="1"/>
  <c r="S148" i="1"/>
  <c r="T148" i="1"/>
  <c r="S149" i="1"/>
  <c r="T149" i="1"/>
  <c r="R147" i="1"/>
  <c r="R148" i="1"/>
  <c r="R149" i="1"/>
  <c r="P147" i="1"/>
  <c r="Q147" i="1"/>
  <c r="P148" i="1"/>
  <c r="Q148" i="1"/>
  <c r="P149" i="1"/>
  <c r="Q149" i="1"/>
  <c r="O146" i="1"/>
  <c r="O147" i="1"/>
  <c r="O148" i="1"/>
  <c r="O149" i="1"/>
  <c r="M147" i="1"/>
  <c r="N147" i="1"/>
  <c r="M148" i="1"/>
  <c r="N148" i="1"/>
  <c r="M149" i="1"/>
  <c r="N149" i="1"/>
  <c r="K147" i="1"/>
  <c r="L147" i="1"/>
  <c r="K148" i="1"/>
  <c r="L148" i="1"/>
  <c r="K149" i="1"/>
  <c r="L149" i="1"/>
  <c r="J147" i="1"/>
  <c r="J148" i="1"/>
  <c r="J149" i="1"/>
  <c r="H147" i="1"/>
  <c r="I147" i="1"/>
  <c r="H148" i="1"/>
  <c r="I148" i="1"/>
  <c r="H149" i="1"/>
  <c r="I149" i="1"/>
  <c r="B147" i="1"/>
  <c r="C147" i="1"/>
  <c r="D147" i="1"/>
  <c r="E147" i="1"/>
  <c r="F147" i="1"/>
  <c r="G147" i="1"/>
  <c r="B148" i="1"/>
  <c r="C148" i="1"/>
  <c r="D148" i="1"/>
  <c r="E148" i="1"/>
  <c r="F148" i="1"/>
  <c r="G148" i="1"/>
  <c r="B149" i="1"/>
  <c r="C149" i="1"/>
  <c r="D149" i="1"/>
  <c r="E149" i="1"/>
  <c r="F149" i="1"/>
  <c r="G149" i="1"/>
  <c r="A147" i="1"/>
  <c r="A148" i="1"/>
  <c r="A149" i="1"/>
  <c r="Y146" i="1"/>
  <c r="Z146" i="1"/>
  <c r="W146" i="1"/>
  <c r="X146" i="1"/>
  <c r="U146" i="1"/>
  <c r="V146" i="1"/>
  <c r="S146" i="1"/>
  <c r="T146" i="1"/>
  <c r="R146" i="1"/>
  <c r="P146" i="1"/>
  <c r="Q146" i="1"/>
  <c r="L146" i="1"/>
  <c r="M146" i="1"/>
  <c r="N146" i="1"/>
  <c r="J146" i="1"/>
  <c r="K146" i="1"/>
  <c r="H146" i="1"/>
  <c r="I146" i="1"/>
  <c r="G146" i="1"/>
  <c r="E146" i="1"/>
  <c r="F146" i="1"/>
  <c r="B146" i="1"/>
  <c r="C146" i="1"/>
  <c r="D146" i="1"/>
  <c r="Z145" i="1"/>
  <c r="X145" i="1"/>
  <c r="Y145" i="1"/>
  <c r="V145" i="1"/>
  <c r="W145" i="1"/>
  <c r="T145" i="1"/>
  <c r="U145" i="1"/>
  <c r="R145" i="1"/>
  <c r="S145" i="1"/>
  <c r="P145" i="1"/>
  <c r="Q145" i="1"/>
  <c r="M145" i="1"/>
  <c r="N145" i="1"/>
  <c r="O145" i="1"/>
  <c r="K145" i="1"/>
  <c r="L145" i="1"/>
  <c r="J145" i="1"/>
  <c r="H145" i="1"/>
  <c r="I145" i="1"/>
  <c r="F145" i="1"/>
  <c r="G145" i="1"/>
  <c r="E145" i="1"/>
  <c r="D145" i="1"/>
  <c r="B145" i="1"/>
  <c r="C145" i="1"/>
  <c r="A146" i="1"/>
  <c r="A145" i="1"/>
  <c r="K143" i="1"/>
  <c r="G143" i="1"/>
  <c r="G144" i="1"/>
  <c r="Y143" i="1"/>
  <c r="Z143" i="1"/>
  <c r="Y144" i="1"/>
  <c r="Z144" i="1"/>
  <c r="V143" i="1"/>
  <c r="W143" i="1"/>
  <c r="X143" i="1"/>
  <c r="V144" i="1"/>
  <c r="W144" i="1"/>
  <c r="X144" i="1"/>
  <c r="T143" i="1"/>
  <c r="U143" i="1"/>
  <c r="T144" i="1"/>
  <c r="U144" i="1"/>
  <c r="R143" i="1"/>
  <c r="S143" i="1"/>
  <c r="R144" i="1"/>
  <c r="S144" i="1"/>
  <c r="N143" i="1"/>
  <c r="O143" i="1"/>
  <c r="N144" i="1"/>
  <c r="O144" i="1"/>
  <c r="L143" i="1"/>
  <c r="M143" i="1"/>
  <c r="K144" i="1"/>
  <c r="L144" i="1"/>
  <c r="M144" i="1"/>
  <c r="H143" i="1"/>
  <c r="I143" i="1"/>
  <c r="J143" i="1"/>
  <c r="H144" i="1"/>
  <c r="I144" i="1"/>
  <c r="J144" i="1"/>
  <c r="P143" i="1"/>
  <c r="P144" i="1"/>
  <c r="R142" i="1"/>
  <c r="Q143" i="1"/>
  <c r="Q144" i="1"/>
  <c r="B143" i="1"/>
  <c r="C143" i="1"/>
  <c r="D143" i="1"/>
  <c r="E143" i="1"/>
  <c r="F143" i="1"/>
  <c r="B144" i="1"/>
  <c r="C144" i="1"/>
  <c r="D144" i="1"/>
  <c r="E144" i="1"/>
  <c r="F144" i="1"/>
  <c r="A144" i="1"/>
  <c r="Y142" i="1"/>
  <c r="Z142" i="1"/>
  <c r="U142" i="1"/>
  <c r="V142" i="1"/>
  <c r="W142" i="1"/>
  <c r="X142" i="1"/>
  <c r="S142" i="1"/>
  <c r="T142" i="1"/>
  <c r="M142" i="1"/>
  <c r="N142" i="1"/>
  <c r="O142" i="1"/>
  <c r="P142" i="1"/>
  <c r="Q142" i="1"/>
  <c r="J142" i="1"/>
  <c r="K142" i="1"/>
  <c r="L142" i="1"/>
  <c r="G142" i="1"/>
  <c r="H142" i="1"/>
  <c r="I142" i="1"/>
  <c r="B142" i="1"/>
  <c r="C142" i="1"/>
  <c r="D142" i="1"/>
  <c r="E142" i="1"/>
  <c r="F142" i="1"/>
  <c r="Y141" i="1"/>
  <c r="Z141" i="1"/>
  <c r="U141" i="1"/>
  <c r="V141" i="1"/>
  <c r="W141" i="1"/>
  <c r="X141" i="1"/>
  <c r="R141" i="1"/>
  <c r="S141" i="1"/>
  <c r="T141" i="1"/>
  <c r="L141" i="1"/>
  <c r="M141" i="1"/>
  <c r="N141" i="1"/>
  <c r="O141" i="1"/>
  <c r="P141" i="1"/>
  <c r="Q141" i="1"/>
  <c r="J141" i="1"/>
  <c r="K141" i="1"/>
  <c r="G141" i="1"/>
  <c r="H141" i="1"/>
  <c r="I141" i="1"/>
  <c r="B141" i="1"/>
  <c r="C141" i="1"/>
  <c r="D141" i="1"/>
  <c r="E141" i="1"/>
  <c r="F141"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2" i="1"/>
  <c r="K60" i="1"/>
  <c r="K61" i="1"/>
  <c r="K62" i="1"/>
  <c r="K63" i="1"/>
  <c r="K64" i="1"/>
  <c r="K65" i="1"/>
  <c r="K66" i="1"/>
  <c r="X140" i="1"/>
  <c r="Y140" i="1"/>
  <c r="V140" i="1"/>
  <c r="W140" i="1"/>
  <c r="U140" i="1"/>
  <c r="Q140" i="1"/>
  <c r="R140" i="1"/>
  <c r="S140" i="1"/>
  <c r="T140" i="1"/>
  <c r="K140" i="1"/>
  <c r="L140" i="1"/>
  <c r="M140" i="1"/>
  <c r="N140" i="1"/>
  <c r="O140" i="1"/>
  <c r="P140" i="1"/>
  <c r="H140" i="1"/>
  <c r="I140" i="1"/>
  <c r="J140" i="1"/>
  <c r="G140" i="1"/>
  <c r="B140" i="1"/>
  <c r="C140" i="1"/>
  <c r="D140" i="1"/>
  <c r="E140" i="1"/>
  <c r="F140" i="1"/>
  <c r="X139" i="1"/>
  <c r="Y139" i="1"/>
  <c r="W139" i="1"/>
  <c r="V139" i="1"/>
  <c r="U139" i="1"/>
  <c r="T139" i="1"/>
  <c r="P139" i="1"/>
  <c r="Q139" i="1"/>
  <c r="R139" i="1"/>
  <c r="S139" i="1"/>
  <c r="L139" i="1"/>
  <c r="M139" i="1"/>
  <c r="N139" i="1"/>
  <c r="O139" i="1"/>
  <c r="K139" i="1"/>
  <c r="I139" i="1"/>
  <c r="J139" i="1"/>
  <c r="G139" i="1"/>
  <c r="H139" i="1"/>
  <c r="D139" i="1"/>
  <c r="E139" i="1"/>
  <c r="F139" i="1"/>
  <c r="B139" i="1"/>
  <c r="C139" i="1"/>
  <c r="X137" i="1"/>
  <c r="Y137" i="1"/>
  <c r="X138" i="1"/>
  <c r="Y138" i="1"/>
  <c r="W137" i="1"/>
  <c r="W138" i="1"/>
  <c r="V137" i="1"/>
  <c r="V138" i="1"/>
  <c r="U137" i="1"/>
  <c r="U138" i="1"/>
  <c r="T137" i="1"/>
  <c r="T138" i="1"/>
  <c r="R137" i="1"/>
  <c r="S137" i="1"/>
  <c r="R138" i="1"/>
  <c r="S138" i="1"/>
  <c r="M137" i="1"/>
  <c r="N137" i="1"/>
  <c r="O137" i="1"/>
  <c r="P137" i="1"/>
  <c r="Q137" i="1"/>
  <c r="M138" i="1"/>
  <c r="N138" i="1"/>
  <c r="O138" i="1"/>
  <c r="P138" i="1"/>
  <c r="Q138" i="1"/>
  <c r="L137" i="1"/>
  <c r="L138" i="1"/>
  <c r="I137" i="1"/>
  <c r="J137" i="1"/>
  <c r="K137" i="1"/>
  <c r="I138" i="1"/>
  <c r="J138" i="1"/>
  <c r="K138" i="1"/>
  <c r="G137" i="1"/>
  <c r="H137" i="1"/>
  <c r="G138" i="1"/>
  <c r="H138" i="1"/>
  <c r="C137" i="1"/>
  <c r="D137" i="1"/>
  <c r="E137" i="1"/>
  <c r="F137" i="1"/>
  <c r="C138" i="1"/>
  <c r="D138" i="1"/>
  <c r="E138" i="1"/>
  <c r="F138" i="1"/>
  <c r="B137" i="1"/>
  <c r="B138" i="1"/>
  <c r="A139" i="1"/>
  <c r="A140" i="1"/>
  <c r="A141" i="1"/>
  <c r="A142" i="1"/>
  <c r="A143" i="1"/>
  <c r="T136" i="1"/>
  <c r="X136" i="1"/>
  <c r="Y136" i="1"/>
  <c r="W136" i="1"/>
  <c r="V136" i="1"/>
  <c r="U136" i="1"/>
  <c r="R136" i="1"/>
  <c r="S136" i="1"/>
  <c r="N136" i="1"/>
  <c r="O136" i="1"/>
  <c r="P136" i="1"/>
  <c r="Q136" i="1"/>
  <c r="L136" i="1"/>
  <c r="M136" i="1"/>
  <c r="J136" i="1"/>
  <c r="K136" i="1"/>
  <c r="H136" i="1"/>
  <c r="I136" i="1"/>
  <c r="G136" i="1"/>
  <c r="D136" i="1"/>
  <c r="E136" i="1"/>
  <c r="F136" i="1"/>
  <c r="B136" i="1"/>
  <c r="C136" i="1"/>
  <c r="A137" i="1"/>
  <c r="A138" i="1"/>
  <c r="X121" i="1"/>
  <c r="Y121" i="1"/>
  <c r="X122" i="1"/>
  <c r="Y122" i="1"/>
  <c r="X123" i="1"/>
  <c r="Y123" i="1"/>
  <c r="X124" i="1"/>
  <c r="Y124" i="1"/>
  <c r="X125" i="1"/>
  <c r="Y125" i="1"/>
  <c r="X126" i="1"/>
  <c r="Y126" i="1"/>
  <c r="X127" i="1"/>
  <c r="Y127" i="1"/>
  <c r="X128" i="1"/>
  <c r="Y128" i="1"/>
  <c r="X129" i="1"/>
  <c r="Y129" i="1"/>
  <c r="X130" i="1"/>
  <c r="Y130" i="1"/>
  <c r="X131" i="1"/>
  <c r="Y131" i="1"/>
  <c r="X132" i="1"/>
  <c r="Y132" i="1"/>
  <c r="X133" i="1"/>
  <c r="Y133" i="1"/>
  <c r="X134" i="1"/>
  <c r="Y134" i="1"/>
  <c r="X135" i="1"/>
  <c r="Y135" i="1"/>
  <c r="W121" i="1"/>
  <c r="W122" i="1"/>
  <c r="W123" i="1"/>
  <c r="W124" i="1"/>
  <c r="W125" i="1"/>
  <c r="W126" i="1"/>
  <c r="W127" i="1"/>
  <c r="W128" i="1"/>
  <c r="W129" i="1"/>
  <c r="W130" i="1"/>
  <c r="W131" i="1"/>
  <c r="W132" i="1"/>
  <c r="W133" i="1"/>
  <c r="W134" i="1"/>
  <c r="W135" i="1"/>
  <c r="V121" i="1"/>
  <c r="V122" i="1"/>
  <c r="V123" i="1"/>
  <c r="V124" i="1"/>
  <c r="V125" i="1"/>
  <c r="V126" i="1"/>
  <c r="V127" i="1"/>
  <c r="V128" i="1"/>
  <c r="V129" i="1"/>
  <c r="V130" i="1"/>
  <c r="V131" i="1"/>
  <c r="V132" i="1"/>
  <c r="V133" i="1"/>
  <c r="V134" i="1"/>
  <c r="V135" i="1"/>
  <c r="U121" i="1"/>
  <c r="U122" i="1"/>
  <c r="U123" i="1"/>
  <c r="U124" i="1"/>
  <c r="U125" i="1"/>
  <c r="U126" i="1"/>
  <c r="U127" i="1"/>
  <c r="U128" i="1"/>
  <c r="U129" i="1"/>
  <c r="U130" i="1"/>
  <c r="U131" i="1"/>
  <c r="U132" i="1"/>
  <c r="U133" i="1"/>
  <c r="U134" i="1"/>
  <c r="U135" i="1"/>
  <c r="T121" i="1"/>
  <c r="T122" i="1"/>
  <c r="T123" i="1"/>
  <c r="T124" i="1"/>
  <c r="T125" i="1"/>
  <c r="T126" i="1"/>
  <c r="T127" i="1"/>
  <c r="T128" i="1"/>
  <c r="T129" i="1"/>
  <c r="T130" i="1"/>
  <c r="T131" i="1"/>
  <c r="T132" i="1"/>
  <c r="T133" i="1"/>
  <c r="T134" i="1"/>
  <c r="T135" i="1"/>
  <c r="Q121" i="1"/>
  <c r="R121" i="1"/>
  <c r="S121" i="1"/>
  <c r="Q122" i="1"/>
  <c r="R122" i="1"/>
  <c r="S122" i="1"/>
  <c r="Q123" i="1"/>
  <c r="R123" i="1"/>
  <c r="S123" i="1"/>
  <c r="Q124" i="1"/>
  <c r="R124" i="1"/>
  <c r="S124" i="1"/>
  <c r="Q125" i="1"/>
  <c r="R125" i="1"/>
  <c r="S125" i="1"/>
  <c r="Q126" i="1"/>
  <c r="R126" i="1"/>
  <c r="S126" i="1"/>
  <c r="Q127" i="1"/>
  <c r="R127" i="1"/>
  <c r="S127" i="1"/>
  <c r="Q128" i="1"/>
  <c r="R128" i="1"/>
  <c r="S128" i="1"/>
  <c r="Q129" i="1"/>
  <c r="R129" i="1"/>
  <c r="S129" i="1"/>
  <c r="Q130" i="1"/>
  <c r="R130" i="1"/>
  <c r="S130" i="1"/>
  <c r="Q131" i="1"/>
  <c r="R131" i="1"/>
  <c r="S131" i="1"/>
  <c r="Q132" i="1"/>
  <c r="R132" i="1"/>
  <c r="S132" i="1"/>
  <c r="Q133" i="1"/>
  <c r="R133" i="1"/>
  <c r="S133" i="1"/>
  <c r="Q134" i="1"/>
  <c r="R134" i="1"/>
  <c r="S134" i="1"/>
  <c r="Q135" i="1"/>
  <c r="R135" i="1"/>
  <c r="S135" i="1"/>
  <c r="L121" i="1"/>
  <c r="M121" i="1"/>
  <c r="N121" i="1"/>
  <c r="O121" i="1"/>
  <c r="P121" i="1"/>
  <c r="L122" i="1"/>
  <c r="M122" i="1"/>
  <c r="N122" i="1"/>
  <c r="O122" i="1"/>
  <c r="P122" i="1"/>
  <c r="L123" i="1"/>
  <c r="M123" i="1"/>
  <c r="N123" i="1"/>
  <c r="O123" i="1"/>
  <c r="P123" i="1"/>
  <c r="L124" i="1"/>
  <c r="M124" i="1"/>
  <c r="N124" i="1"/>
  <c r="O124" i="1"/>
  <c r="P124" i="1"/>
  <c r="L125" i="1"/>
  <c r="M125" i="1"/>
  <c r="N125" i="1"/>
  <c r="O125" i="1"/>
  <c r="P125" i="1"/>
  <c r="L126" i="1"/>
  <c r="M126" i="1"/>
  <c r="N126" i="1"/>
  <c r="O126" i="1"/>
  <c r="P126" i="1"/>
  <c r="L127" i="1"/>
  <c r="M127" i="1"/>
  <c r="N127" i="1"/>
  <c r="O127" i="1"/>
  <c r="P127" i="1"/>
  <c r="L128" i="1"/>
  <c r="M128" i="1"/>
  <c r="N128" i="1"/>
  <c r="O128" i="1"/>
  <c r="P128" i="1"/>
  <c r="L129" i="1"/>
  <c r="M129" i="1"/>
  <c r="N129" i="1"/>
  <c r="O129" i="1"/>
  <c r="P129" i="1"/>
  <c r="L130" i="1"/>
  <c r="M130" i="1"/>
  <c r="N130" i="1"/>
  <c r="O130" i="1"/>
  <c r="P130" i="1"/>
  <c r="L131" i="1"/>
  <c r="M131" i="1"/>
  <c r="N131" i="1"/>
  <c r="O131" i="1"/>
  <c r="P131" i="1"/>
  <c r="L132" i="1"/>
  <c r="M132" i="1"/>
  <c r="N132" i="1"/>
  <c r="O132" i="1"/>
  <c r="P132" i="1"/>
  <c r="L133" i="1"/>
  <c r="M133" i="1"/>
  <c r="N133" i="1"/>
  <c r="O133" i="1"/>
  <c r="P133" i="1"/>
  <c r="L134" i="1"/>
  <c r="M134" i="1"/>
  <c r="N134" i="1"/>
  <c r="O134" i="1"/>
  <c r="P134" i="1"/>
  <c r="L135" i="1"/>
  <c r="M135" i="1"/>
  <c r="N135" i="1"/>
  <c r="O135" i="1"/>
  <c r="P135"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I121" i="1"/>
  <c r="I122" i="1"/>
  <c r="I123" i="1"/>
  <c r="I124" i="1"/>
  <c r="I125" i="1"/>
  <c r="I126" i="1"/>
  <c r="I127" i="1"/>
  <c r="I128" i="1"/>
  <c r="I129" i="1"/>
  <c r="I130" i="1"/>
  <c r="I131" i="1"/>
  <c r="I132" i="1"/>
  <c r="I133" i="1"/>
  <c r="I134" i="1"/>
  <c r="I135" i="1"/>
  <c r="G121" i="1"/>
  <c r="H121" i="1"/>
  <c r="G122" i="1"/>
  <c r="H122" i="1"/>
  <c r="G123" i="1"/>
  <c r="H123" i="1"/>
  <c r="G124" i="1"/>
  <c r="H124" i="1"/>
  <c r="G125" i="1"/>
  <c r="H125" i="1"/>
  <c r="G126" i="1"/>
  <c r="H126" i="1"/>
  <c r="G127" i="1"/>
  <c r="H127" i="1"/>
  <c r="G128" i="1"/>
  <c r="H128" i="1"/>
  <c r="G129" i="1"/>
  <c r="H129" i="1"/>
  <c r="G130" i="1"/>
  <c r="H130" i="1"/>
  <c r="G131" i="1"/>
  <c r="H131" i="1"/>
  <c r="G132" i="1"/>
  <c r="H132" i="1"/>
  <c r="G133" i="1"/>
  <c r="H133" i="1"/>
  <c r="G134" i="1"/>
  <c r="H134" i="1"/>
  <c r="G135" i="1"/>
  <c r="H135"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D121" i="1"/>
  <c r="D122" i="1"/>
  <c r="D123" i="1"/>
  <c r="D124" i="1"/>
  <c r="D125" i="1"/>
  <c r="D126" i="1"/>
  <c r="D127" i="1"/>
  <c r="D128" i="1"/>
  <c r="D129" i="1"/>
  <c r="D130" i="1"/>
  <c r="D131" i="1"/>
  <c r="D132" i="1"/>
  <c r="D133" i="1"/>
  <c r="D134" i="1"/>
  <c r="D135" i="1"/>
  <c r="B122" i="1"/>
  <c r="B123" i="1"/>
  <c r="B124" i="1"/>
  <c r="B125" i="1"/>
  <c r="B126" i="1"/>
  <c r="B127" i="1"/>
  <c r="B128" i="1"/>
  <c r="B129" i="1"/>
  <c r="B130" i="1"/>
  <c r="B131" i="1"/>
  <c r="B132" i="1"/>
  <c r="B133" i="1"/>
  <c r="B134" i="1"/>
  <c r="B135" i="1"/>
  <c r="B121" i="1"/>
  <c r="B120" i="1"/>
  <c r="C121" i="1"/>
  <c r="C122" i="1"/>
  <c r="C123" i="1"/>
  <c r="C124" i="1"/>
  <c r="C125" i="1"/>
  <c r="C126" i="1"/>
  <c r="C127" i="1"/>
  <c r="C128" i="1"/>
  <c r="C129" i="1"/>
  <c r="C130" i="1"/>
  <c r="C131" i="1"/>
  <c r="C132" i="1"/>
  <c r="C133" i="1"/>
  <c r="C134" i="1"/>
  <c r="C135" i="1"/>
  <c r="A135" i="1"/>
  <c r="A136" i="1"/>
  <c r="A134" i="1"/>
  <c r="A133" i="1"/>
  <c r="A132" i="1"/>
  <c r="A129" i="1"/>
  <c r="A130" i="1"/>
  <c r="A131" i="1"/>
  <c r="A127" i="1"/>
  <c r="A128" i="1"/>
  <c r="A125" i="1"/>
  <c r="A126" i="1"/>
  <c r="A123" i="1"/>
  <c r="A124" i="1"/>
  <c r="A122" i="1"/>
  <c r="AJ6" i="31"/>
  <c r="AJ5" i="31"/>
  <c r="AJ7" i="31"/>
  <c r="AJ8" i="31"/>
  <c r="AJ4" i="31"/>
  <c r="X117" i="1"/>
  <c r="Y117" i="1"/>
  <c r="X118" i="1"/>
  <c r="Y118" i="1"/>
  <c r="X119" i="1"/>
  <c r="Y119" i="1"/>
  <c r="X120" i="1"/>
  <c r="Y120" i="1"/>
  <c r="W117" i="1"/>
  <c r="W118" i="1"/>
  <c r="W119" i="1"/>
  <c r="W120" i="1"/>
  <c r="V117" i="1"/>
  <c r="V118" i="1"/>
  <c r="V119" i="1"/>
  <c r="V120" i="1"/>
  <c r="U117" i="1"/>
  <c r="U118" i="1"/>
  <c r="U119" i="1"/>
  <c r="U120" i="1"/>
  <c r="T115" i="1"/>
  <c r="T116" i="1"/>
  <c r="T117" i="1"/>
  <c r="T118" i="1"/>
  <c r="T119" i="1"/>
  <c r="T120" i="1"/>
  <c r="N117" i="1"/>
  <c r="O117" i="1"/>
  <c r="P117" i="1"/>
  <c r="Q117" i="1"/>
  <c r="R117" i="1"/>
  <c r="S117" i="1"/>
  <c r="N118" i="1"/>
  <c r="O118" i="1"/>
  <c r="P118" i="1"/>
  <c r="Q118" i="1"/>
  <c r="R118" i="1"/>
  <c r="S118" i="1"/>
  <c r="N119" i="1"/>
  <c r="O119" i="1"/>
  <c r="P119" i="1"/>
  <c r="Q119" i="1"/>
  <c r="R119" i="1"/>
  <c r="S119" i="1"/>
  <c r="N120" i="1"/>
  <c r="O120" i="1"/>
  <c r="P120" i="1"/>
  <c r="Q120" i="1"/>
  <c r="R120" i="1"/>
  <c r="S120" i="1"/>
  <c r="K117" i="1"/>
  <c r="L117" i="1"/>
  <c r="M117" i="1"/>
  <c r="K118" i="1"/>
  <c r="L118" i="1"/>
  <c r="M118" i="1"/>
  <c r="K119" i="1"/>
  <c r="L119" i="1"/>
  <c r="M119" i="1"/>
  <c r="K120" i="1"/>
  <c r="L120" i="1"/>
  <c r="M120" i="1"/>
  <c r="H117" i="1"/>
  <c r="I117" i="1"/>
  <c r="J117" i="1"/>
  <c r="H118" i="1"/>
  <c r="I118" i="1"/>
  <c r="J118" i="1"/>
  <c r="H119" i="1"/>
  <c r="I119" i="1"/>
  <c r="J119" i="1"/>
  <c r="H120" i="1"/>
  <c r="I120" i="1"/>
  <c r="J120" i="1"/>
  <c r="G117" i="1"/>
  <c r="G118" i="1"/>
  <c r="G119" i="1"/>
  <c r="G120" i="1"/>
  <c r="D117" i="1"/>
  <c r="E117" i="1"/>
  <c r="F117" i="1"/>
  <c r="D118" i="1"/>
  <c r="E118" i="1"/>
  <c r="F118" i="1"/>
  <c r="D119" i="1"/>
  <c r="E119" i="1"/>
  <c r="F119" i="1"/>
  <c r="D120" i="1"/>
  <c r="E120" i="1"/>
  <c r="F120" i="1"/>
  <c r="C117" i="1"/>
  <c r="C118" i="1"/>
  <c r="C119" i="1"/>
  <c r="C120" i="1"/>
  <c r="B117" i="1"/>
  <c r="B118" i="1"/>
  <c r="B119" i="1"/>
  <c r="A120" i="1"/>
  <c r="A121" i="1"/>
  <c r="A119" i="1"/>
  <c r="A118" i="1"/>
  <c r="X115" i="1"/>
  <c r="Y115" i="1"/>
  <c r="X116" i="1"/>
  <c r="Y116" i="1"/>
  <c r="W115" i="1"/>
  <c r="W116" i="1"/>
  <c r="V115" i="1"/>
  <c r="V116" i="1"/>
  <c r="U115" i="1"/>
  <c r="U116" i="1"/>
  <c r="R115" i="1"/>
  <c r="S115" i="1"/>
  <c r="R116" i="1"/>
  <c r="S116" i="1"/>
  <c r="P115" i="1"/>
  <c r="Q115" i="1"/>
  <c r="P116" i="1"/>
  <c r="Q116" i="1"/>
  <c r="L115" i="1"/>
  <c r="M115" i="1"/>
  <c r="N115" i="1"/>
  <c r="O115" i="1"/>
  <c r="L116" i="1"/>
  <c r="M116" i="1"/>
  <c r="N116" i="1"/>
  <c r="O116" i="1"/>
  <c r="H115" i="1"/>
  <c r="I115" i="1"/>
  <c r="J115" i="1"/>
  <c r="K115" i="1"/>
  <c r="H116" i="1"/>
  <c r="I116" i="1"/>
  <c r="J116" i="1"/>
  <c r="K116" i="1"/>
  <c r="G115" i="1"/>
  <c r="G116" i="1"/>
  <c r="D115" i="1"/>
  <c r="E115" i="1"/>
  <c r="F115" i="1"/>
  <c r="D116" i="1"/>
  <c r="E116" i="1"/>
  <c r="F116" i="1"/>
  <c r="C115" i="1"/>
  <c r="C116" i="1"/>
  <c r="B115" i="1"/>
  <c r="B116" i="1"/>
  <c r="A116" i="1"/>
  <c r="A117" i="1"/>
  <c r="S111" i="1"/>
  <c r="S112" i="1"/>
  <c r="S113" i="1"/>
  <c r="S114" i="1"/>
  <c r="Y111" i="1"/>
  <c r="Y112" i="1"/>
  <c r="Y113" i="1"/>
  <c r="Y114" i="1"/>
  <c r="X111" i="1"/>
  <c r="X112" i="1"/>
  <c r="X113" i="1"/>
  <c r="X114" i="1"/>
  <c r="W111" i="1"/>
  <c r="W112" i="1"/>
  <c r="W113" i="1"/>
  <c r="W114" i="1"/>
  <c r="V111" i="1"/>
  <c r="V112" i="1"/>
  <c r="V113" i="1"/>
  <c r="V114" i="1"/>
  <c r="U111" i="1"/>
  <c r="U112" i="1"/>
  <c r="U113" i="1"/>
  <c r="U114" i="1"/>
  <c r="T111" i="1"/>
  <c r="T112" i="1"/>
  <c r="T113" i="1"/>
  <c r="T114" i="1"/>
  <c r="R111" i="1"/>
  <c r="R112" i="1"/>
  <c r="R113" i="1"/>
  <c r="R114" i="1"/>
  <c r="P111" i="1"/>
  <c r="Q111" i="1"/>
  <c r="P112" i="1"/>
  <c r="Q112" i="1"/>
  <c r="P113" i="1"/>
  <c r="Q113" i="1"/>
  <c r="P114" i="1"/>
  <c r="Q114" i="1"/>
  <c r="N111" i="1"/>
  <c r="O111" i="1"/>
  <c r="N112" i="1"/>
  <c r="O112" i="1"/>
  <c r="N113" i="1"/>
  <c r="O113" i="1"/>
  <c r="N114" i="1"/>
  <c r="O114" i="1"/>
  <c r="M111" i="1"/>
  <c r="M112" i="1"/>
  <c r="M113" i="1"/>
  <c r="M114" i="1"/>
  <c r="L111" i="1"/>
  <c r="L112" i="1"/>
  <c r="L113" i="1"/>
  <c r="L114" i="1"/>
  <c r="K111" i="1"/>
  <c r="K112" i="1"/>
  <c r="K113" i="1"/>
  <c r="K114" i="1"/>
  <c r="J111" i="1"/>
  <c r="J112" i="1"/>
  <c r="J113" i="1"/>
  <c r="J114" i="1"/>
  <c r="I111" i="1"/>
  <c r="I112" i="1"/>
  <c r="I113" i="1"/>
  <c r="I114" i="1"/>
  <c r="H111" i="1"/>
  <c r="H112" i="1"/>
  <c r="H113" i="1"/>
  <c r="H114" i="1"/>
  <c r="G111" i="1"/>
  <c r="G112" i="1"/>
  <c r="G113" i="1"/>
  <c r="G114" i="1"/>
  <c r="E111" i="1"/>
  <c r="F111" i="1"/>
  <c r="E112" i="1"/>
  <c r="F112" i="1"/>
  <c r="E113" i="1"/>
  <c r="F113" i="1"/>
  <c r="E114" i="1"/>
  <c r="F114" i="1"/>
  <c r="D111" i="1"/>
  <c r="D112" i="1"/>
  <c r="D113" i="1"/>
  <c r="D114" i="1"/>
  <c r="C112" i="1"/>
  <c r="C113" i="1"/>
  <c r="C114" i="1"/>
  <c r="C111" i="1"/>
  <c r="B111" i="1"/>
  <c r="B112" i="1"/>
  <c r="B113" i="1"/>
  <c r="B114" i="1"/>
  <c r="A115" i="1"/>
  <c r="A114" i="1"/>
  <c r="A113" i="1"/>
  <c r="A112" i="1"/>
  <c r="Y110" i="1"/>
  <c r="W110" i="1"/>
  <c r="X110" i="1"/>
  <c r="V110" i="1"/>
  <c r="T110" i="1"/>
  <c r="U110" i="1"/>
  <c r="R110" i="1"/>
  <c r="S110" i="1"/>
  <c r="L110" i="1"/>
  <c r="M110" i="1"/>
  <c r="N110" i="1"/>
  <c r="O110" i="1"/>
  <c r="P110" i="1"/>
  <c r="Q110" i="1"/>
  <c r="I110" i="1"/>
  <c r="J110" i="1"/>
  <c r="K110" i="1"/>
  <c r="G110" i="1"/>
  <c r="H110" i="1"/>
  <c r="E110" i="1"/>
  <c r="F110" i="1"/>
  <c r="D110" i="1"/>
  <c r="C110" i="1"/>
  <c r="B110" i="1"/>
  <c r="A111" i="1"/>
  <c r="X108" i="1" l="1"/>
  <c r="Y108" i="1"/>
  <c r="X109" i="1"/>
  <c r="Y109" i="1"/>
  <c r="W108" i="1"/>
  <c r="W109" i="1"/>
  <c r="V108" i="1"/>
  <c r="V109" i="1"/>
  <c r="U108" i="1"/>
  <c r="U109" i="1"/>
  <c r="O108" i="1"/>
  <c r="P108" i="1"/>
  <c r="Q108" i="1"/>
  <c r="O109" i="1"/>
  <c r="P109" i="1"/>
  <c r="Q109" i="1"/>
  <c r="H108" i="1"/>
  <c r="I108" i="1"/>
  <c r="H109" i="1"/>
  <c r="I109" i="1"/>
  <c r="N108" i="1"/>
  <c r="N109" i="1"/>
  <c r="L108" i="1"/>
  <c r="M108" i="1"/>
  <c r="L109" i="1"/>
  <c r="M109" i="1"/>
  <c r="J108" i="1"/>
  <c r="K108" i="1"/>
  <c r="J109" i="1"/>
  <c r="K109" i="1"/>
  <c r="G108" i="1"/>
  <c r="G109" i="1"/>
  <c r="E108" i="1"/>
  <c r="F108" i="1"/>
  <c r="E109" i="1"/>
  <c r="F109" i="1"/>
  <c r="T108" i="1"/>
  <c r="T109" i="1"/>
  <c r="S108" i="1"/>
  <c r="S109" i="1"/>
  <c r="R108" i="1"/>
  <c r="R109" i="1"/>
  <c r="D108" i="1"/>
  <c r="D109" i="1"/>
  <c r="B108" i="1"/>
  <c r="C108" i="1"/>
  <c r="B109" i="1"/>
  <c r="C109" i="1"/>
  <c r="A110" i="1"/>
  <c r="A109" i="1"/>
  <c r="Y101" i="1"/>
  <c r="Y102" i="1"/>
  <c r="Y103" i="1"/>
  <c r="Y104" i="1"/>
  <c r="Y105" i="1"/>
  <c r="Y106" i="1"/>
  <c r="Y107" i="1"/>
  <c r="X101" i="1"/>
  <c r="X102" i="1"/>
  <c r="X103" i="1"/>
  <c r="X104" i="1"/>
  <c r="X105" i="1"/>
  <c r="X106" i="1"/>
  <c r="X107" i="1"/>
  <c r="W101" i="1"/>
  <c r="W102" i="1"/>
  <c r="W103" i="1"/>
  <c r="W104" i="1"/>
  <c r="W105" i="1"/>
  <c r="W106" i="1"/>
  <c r="W107" i="1"/>
  <c r="V101" i="1"/>
  <c r="V102" i="1"/>
  <c r="V103" i="1"/>
  <c r="V104" i="1"/>
  <c r="V105" i="1"/>
  <c r="V106" i="1"/>
  <c r="V107" i="1"/>
  <c r="U101" i="1"/>
  <c r="U102" i="1"/>
  <c r="U103" i="1"/>
  <c r="U104" i="1"/>
  <c r="U105" i="1"/>
  <c r="U106" i="1"/>
  <c r="U107" i="1"/>
  <c r="T101" i="1"/>
  <c r="T102" i="1"/>
  <c r="T103" i="1"/>
  <c r="T104" i="1"/>
  <c r="T105" i="1"/>
  <c r="T106" i="1"/>
  <c r="T107" i="1"/>
  <c r="S101" i="1"/>
  <c r="S102" i="1"/>
  <c r="S103" i="1"/>
  <c r="S104" i="1"/>
  <c r="S105" i="1"/>
  <c r="S106" i="1"/>
  <c r="S107" i="1"/>
  <c r="R101" i="1"/>
  <c r="R102" i="1"/>
  <c r="R103" i="1"/>
  <c r="R104" i="1"/>
  <c r="R105" i="1"/>
  <c r="R106" i="1"/>
  <c r="R107" i="1"/>
  <c r="O101" i="1"/>
  <c r="P101" i="1"/>
  <c r="Q101" i="1"/>
  <c r="O102" i="1"/>
  <c r="P102" i="1"/>
  <c r="Q102" i="1"/>
  <c r="O103" i="1"/>
  <c r="P103" i="1"/>
  <c r="Q103" i="1"/>
  <c r="O104" i="1"/>
  <c r="P104" i="1"/>
  <c r="Q104" i="1"/>
  <c r="O105" i="1"/>
  <c r="P105" i="1"/>
  <c r="Q105" i="1"/>
  <c r="O106" i="1"/>
  <c r="P106" i="1"/>
  <c r="Q106" i="1"/>
  <c r="O107" i="1"/>
  <c r="P107" i="1"/>
  <c r="Q107" i="1"/>
  <c r="L101" i="1"/>
  <c r="M101" i="1"/>
  <c r="N101" i="1"/>
  <c r="L102" i="1"/>
  <c r="M102" i="1"/>
  <c r="N102" i="1"/>
  <c r="L103" i="1"/>
  <c r="M103" i="1"/>
  <c r="N103" i="1"/>
  <c r="L104" i="1"/>
  <c r="M104" i="1"/>
  <c r="N104" i="1"/>
  <c r="L105" i="1"/>
  <c r="M105" i="1"/>
  <c r="N105" i="1"/>
  <c r="L106" i="1"/>
  <c r="M106" i="1"/>
  <c r="N106" i="1"/>
  <c r="L107" i="1"/>
  <c r="M107" i="1"/>
  <c r="N107" i="1"/>
  <c r="K101" i="1"/>
  <c r="K102" i="1"/>
  <c r="K103" i="1"/>
  <c r="K104" i="1"/>
  <c r="K105" i="1"/>
  <c r="K106" i="1"/>
  <c r="K107" i="1"/>
  <c r="I101" i="1"/>
  <c r="J101" i="1"/>
  <c r="I102" i="1"/>
  <c r="J102" i="1"/>
  <c r="I103" i="1"/>
  <c r="J103" i="1"/>
  <c r="I104" i="1"/>
  <c r="J104" i="1"/>
  <c r="I105" i="1"/>
  <c r="J105" i="1"/>
  <c r="I106" i="1"/>
  <c r="J106" i="1"/>
  <c r="I107" i="1"/>
  <c r="J107" i="1"/>
  <c r="H101" i="1"/>
  <c r="H102" i="1"/>
  <c r="H103" i="1"/>
  <c r="H104" i="1"/>
  <c r="H105" i="1"/>
  <c r="H106" i="1"/>
  <c r="H107" i="1"/>
  <c r="G101" i="1"/>
  <c r="G102" i="1"/>
  <c r="G103" i="1"/>
  <c r="G104" i="1"/>
  <c r="G105" i="1"/>
  <c r="G106" i="1"/>
  <c r="G107" i="1"/>
  <c r="F103" i="1"/>
  <c r="F104" i="1"/>
  <c r="F105" i="1"/>
  <c r="F106" i="1"/>
  <c r="F107" i="1"/>
  <c r="D103" i="1"/>
  <c r="E103" i="1"/>
  <c r="D104" i="1"/>
  <c r="E104" i="1"/>
  <c r="D105" i="1"/>
  <c r="E105" i="1"/>
  <c r="D106" i="1"/>
  <c r="E106" i="1"/>
  <c r="D107" i="1"/>
  <c r="E107" i="1"/>
  <c r="C103" i="1"/>
  <c r="C104" i="1"/>
  <c r="C105" i="1"/>
  <c r="C106" i="1"/>
  <c r="C107" i="1"/>
  <c r="B104" i="1"/>
  <c r="B105" i="1"/>
  <c r="B106" i="1"/>
  <c r="B107" i="1"/>
  <c r="A108" i="1"/>
  <c r="A106" i="1"/>
  <c r="A107" i="1"/>
  <c r="A105" i="1"/>
  <c r="A104" i="1"/>
  <c r="B103" i="1"/>
  <c r="E101" i="1"/>
  <c r="E102" i="1"/>
  <c r="D101" i="1"/>
  <c r="D102" i="1"/>
  <c r="B101" i="1"/>
  <c r="C101" i="1"/>
  <c r="B102" i="1"/>
  <c r="C102" i="1"/>
  <c r="F101" i="1"/>
  <c r="F102" i="1"/>
  <c r="A103" i="1"/>
  <c r="A102" i="1"/>
  <c r="X99" i="1"/>
  <c r="Y99" i="1"/>
  <c r="X100" i="1"/>
  <c r="Y100" i="1"/>
  <c r="W99" i="1"/>
  <c r="W100" i="1"/>
  <c r="V99" i="1"/>
  <c r="V100" i="1"/>
  <c r="U99" i="1"/>
  <c r="U100" i="1"/>
  <c r="T100" i="1"/>
  <c r="T99" i="1"/>
  <c r="R99" i="1"/>
  <c r="S99" i="1"/>
  <c r="R100" i="1"/>
  <c r="S100" i="1"/>
  <c r="O99" i="1"/>
  <c r="P99" i="1"/>
  <c r="Q99" i="1"/>
  <c r="O100" i="1"/>
  <c r="P100" i="1"/>
  <c r="Q100" i="1"/>
  <c r="N99" i="1"/>
  <c r="N100" i="1"/>
  <c r="M99" i="1"/>
  <c r="M100" i="1"/>
  <c r="K99" i="1"/>
  <c r="L99" i="1"/>
  <c r="K100" i="1"/>
  <c r="L100" i="1"/>
  <c r="J99" i="1"/>
  <c r="J100" i="1"/>
  <c r="H99" i="1"/>
  <c r="I99" i="1"/>
  <c r="H100" i="1"/>
  <c r="I100" i="1"/>
  <c r="G99" i="1"/>
  <c r="G100" i="1"/>
  <c r="E100" i="1"/>
  <c r="F100" i="1"/>
  <c r="E99" i="1"/>
  <c r="F99" i="1"/>
  <c r="D99" i="1"/>
  <c r="D100" i="1"/>
  <c r="C99" i="1"/>
  <c r="C100" i="1"/>
  <c r="A101" i="1"/>
  <c r="B99" i="1"/>
  <c r="B100" i="1"/>
  <c r="AI15" i="34"/>
  <c r="W98" i="1" l="1"/>
  <c r="X98" i="1"/>
  <c r="Y98" i="1"/>
  <c r="U98" i="1"/>
  <c r="V98" i="1"/>
  <c r="R98" i="1"/>
  <c r="S98" i="1"/>
  <c r="T98" i="1"/>
  <c r="L98" i="1"/>
  <c r="M98" i="1"/>
  <c r="N98" i="1"/>
  <c r="O98" i="1"/>
  <c r="P98" i="1"/>
  <c r="Q98" i="1"/>
  <c r="H98" i="1"/>
  <c r="I98" i="1"/>
  <c r="J98" i="1"/>
  <c r="K98" i="1"/>
  <c r="G98" i="1"/>
  <c r="F98" i="1"/>
  <c r="E98" i="1"/>
  <c r="D98" i="1"/>
  <c r="C98" i="1"/>
  <c r="B98" i="1"/>
  <c r="F97" i="1"/>
  <c r="E97" i="1"/>
  <c r="D97" i="1"/>
  <c r="C97" i="1"/>
  <c r="B97" i="1"/>
  <c r="G97" i="1"/>
  <c r="H97" i="1"/>
  <c r="I97" i="1"/>
  <c r="J97" i="1"/>
  <c r="K97" i="1"/>
  <c r="L97" i="1"/>
  <c r="M97" i="1"/>
  <c r="N97" i="1"/>
  <c r="O97" i="1"/>
  <c r="P97" i="1"/>
  <c r="Q97" i="1"/>
  <c r="R97" i="1"/>
  <c r="S97" i="1"/>
  <c r="T97" i="1"/>
  <c r="U97" i="1"/>
  <c r="V97" i="1"/>
  <c r="W97" i="1"/>
  <c r="X97" i="1"/>
  <c r="Y97" i="1"/>
  <c r="B96" i="1"/>
  <c r="C96" i="1"/>
  <c r="D96" i="1"/>
  <c r="E96" i="1"/>
  <c r="F96" i="1"/>
  <c r="G96" i="1"/>
  <c r="H96" i="1"/>
  <c r="I96" i="1"/>
  <c r="J96" i="1"/>
  <c r="K96" i="1"/>
  <c r="L96" i="1"/>
  <c r="M96" i="1"/>
  <c r="N96" i="1"/>
  <c r="O96" i="1"/>
  <c r="P96" i="1"/>
  <c r="Q96" i="1"/>
  <c r="R96" i="1"/>
  <c r="S96" i="1"/>
  <c r="T96" i="1"/>
  <c r="U96" i="1"/>
  <c r="V96" i="1"/>
  <c r="W96" i="1"/>
  <c r="X96" i="1"/>
  <c r="Y96" i="1"/>
  <c r="B95" i="1"/>
  <c r="C95" i="1"/>
  <c r="D95" i="1"/>
  <c r="E95" i="1"/>
  <c r="F95" i="1"/>
  <c r="G95" i="1"/>
  <c r="H95" i="1"/>
  <c r="I95" i="1"/>
  <c r="J95" i="1"/>
  <c r="K95" i="1"/>
  <c r="L95" i="1"/>
  <c r="M95" i="1"/>
  <c r="N95" i="1"/>
  <c r="O95" i="1"/>
  <c r="P95" i="1"/>
  <c r="Q95" i="1"/>
  <c r="R95" i="1"/>
  <c r="S95" i="1"/>
  <c r="T95" i="1"/>
  <c r="U95" i="1"/>
  <c r="V95" i="1"/>
  <c r="W95" i="1"/>
  <c r="X95" i="1"/>
  <c r="Y95" i="1"/>
  <c r="B93" i="1"/>
  <c r="C93" i="1"/>
  <c r="D93" i="1"/>
  <c r="E93" i="1"/>
  <c r="F93" i="1"/>
  <c r="G93" i="1"/>
  <c r="H93" i="1"/>
  <c r="I93" i="1"/>
  <c r="J93" i="1"/>
  <c r="K93" i="1"/>
  <c r="L93" i="1"/>
  <c r="M93" i="1"/>
  <c r="N93" i="1"/>
  <c r="O93" i="1"/>
  <c r="P93" i="1"/>
  <c r="Q93" i="1"/>
  <c r="R93" i="1"/>
  <c r="S93" i="1"/>
  <c r="T93" i="1"/>
  <c r="U93" i="1"/>
  <c r="V93" i="1"/>
  <c r="W93" i="1"/>
  <c r="X93" i="1"/>
  <c r="Y93" i="1"/>
  <c r="B94" i="1"/>
  <c r="C94" i="1"/>
  <c r="D94" i="1"/>
  <c r="E94" i="1"/>
  <c r="F94" i="1"/>
  <c r="G94" i="1"/>
  <c r="H94" i="1"/>
  <c r="I94" i="1"/>
  <c r="J94" i="1"/>
  <c r="K94" i="1"/>
  <c r="L94" i="1"/>
  <c r="M94" i="1"/>
  <c r="N94" i="1"/>
  <c r="O94" i="1"/>
  <c r="P94" i="1"/>
  <c r="Q94" i="1"/>
  <c r="R94" i="1"/>
  <c r="S94" i="1"/>
  <c r="T94" i="1"/>
  <c r="U94" i="1"/>
  <c r="V94" i="1"/>
  <c r="W94" i="1"/>
  <c r="X94" i="1"/>
  <c r="Y94" i="1"/>
  <c r="B92" i="1"/>
  <c r="C92" i="1"/>
  <c r="D92" i="1"/>
  <c r="E92" i="1"/>
  <c r="F92" i="1"/>
  <c r="G92" i="1"/>
  <c r="H92" i="1"/>
  <c r="I92" i="1"/>
  <c r="J92" i="1"/>
  <c r="K92" i="1"/>
  <c r="L92" i="1"/>
  <c r="M92" i="1"/>
  <c r="N92" i="1"/>
  <c r="O92" i="1"/>
  <c r="P92" i="1"/>
  <c r="Q92" i="1"/>
  <c r="R92" i="1"/>
  <c r="S92" i="1"/>
  <c r="T92" i="1"/>
  <c r="U92" i="1"/>
  <c r="V92" i="1"/>
  <c r="W92" i="1"/>
  <c r="X92" i="1"/>
  <c r="Y92" i="1"/>
  <c r="B90" i="1"/>
  <c r="C90" i="1"/>
  <c r="D90" i="1"/>
  <c r="E90" i="1"/>
  <c r="F90" i="1"/>
  <c r="G90" i="1"/>
  <c r="H90" i="1"/>
  <c r="I90" i="1"/>
  <c r="J90" i="1"/>
  <c r="K90" i="1"/>
  <c r="L90" i="1"/>
  <c r="M90" i="1"/>
  <c r="N90" i="1"/>
  <c r="O90" i="1"/>
  <c r="P90" i="1"/>
  <c r="Q90" i="1"/>
  <c r="R90" i="1"/>
  <c r="S90" i="1"/>
  <c r="T90" i="1"/>
  <c r="U90" i="1"/>
  <c r="V90" i="1"/>
  <c r="W90" i="1"/>
  <c r="X90" i="1"/>
  <c r="Y90" i="1"/>
  <c r="B91" i="1"/>
  <c r="C91" i="1"/>
  <c r="D91" i="1"/>
  <c r="E91" i="1"/>
  <c r="F91" i="1"/>
  <c r="G91" i="1"/>
  <c r="H91" i="1"/>
  <c r="I91" i="1"/>
  <c r="J91" i="1"/>
  <c r="K91" i="1"/>
  <c r="L91" i="1"/>
  <c r="M91" i="1"/>
  <c r="N91" i="1"/>
  <c r="O91" i="1"/>
  <c r="P91" i="1"/>
  <c r="Q91" i="1"/>
  <c r="R91" i="1"/>
  <c r="S91" i="1"/>
  <c r="T91" i="1"/>
  <c r="U91" i="1"/>
  <c r="V91" i="1"/>
  <c r="W91" i="1"/>
  <c r="X91" i="1"/>
  <c r="Y91" i="1"/>
  <c r="BG6" i="33"/>
  <c r="B87" i="1"/>
  <c r="C87" i="1"/>
  <c r="D87" i="1"/>
  <c r="E87" i="1"/>
  <c r="F87" i="1"/>
  <c r="G87" i="1"/>
  <c r="H87" i="1"/>
  <c r="I87" i="1"/>
  <c r="J87" i="1"/>
  <c r="K87" i="1"/>
  <c r="L87" i="1"/>
  <c r="M87" i="1"/>
  <c r="N87" i="1"/>
  <c r="O87" i="1"/>
  <c r="P87" i="1"/>
  <c r="Q87" i="1"/>
  <c r="R87" i="1"/>
  <c r="S87" i="1"/>
  <c r="T87" i="1"/>
  <c r="U87" i="1"/>
  <c r="V87" i="1"/>
  <c r="W87" i="1"/>
  <c r="X87" i="1"/>
  <c r="Y87" i="1"/>
  <c r="B88" i="1"/>
  <c r="C88" i="1"/>
  <c r="D88" i="1"/>
  <c r="E88" i="1"/>
  <c r="F88" i="1"/>
  <c r="G88" i="1"/>
  <c r="H88" i="1"/>
  <c r="I88" i="1"/>
  <c r="J88" i="1"/>
  <c r="K88" i="1"/>
  <c r="L88" i="1"/>
  <c r="M88" i="1"/>
  <c r="N88" i="1"/>
  <c r="O88" i="1"/>
  <c r="P88" i="1"/>
  <c r="Q88" i="1"/>
  <c r="R88" i="1"/>
  <c r="S88" i="1"/>
  <c r="T88" i="1"/>
  <c r="U88" i="1"/>
  <c r="V88" i="1"/>
  <c r="W88" i="1"/>
  <c r="X88" i="1"/>
  <c r="Y88" i="1"/>
  <c r="B89" i="1"/>
  <c r="C89" i="1"/>
  <c r="D89" i="1"/>
  <c r="E89" i="1"/>
  <c r="F89" i="1"/>
  <c r="G89" i="1"/>
  <c r="H89" i="1"/>
  <c r="I89" i="1"/>
  <c r="J89" i="1"/>
  <c r="K89" i="1"/>
  <c r="L89" i="1"/>
  <c r="M89" i="1"/>
  <c r="N89" i="1"/>
  <c r="O89" i="1"/>
  <c r="P89" i="1"/>
  <c r="Q89" i="1"/>
  <c r="R89" i="1"/>
  <c r="S89" i="1"/>
  <c r="T89" i="1"/>
  <c r="U89" i="1"/>
  <c r="V89" i="1"/>
  <c r="W89" i="1"/>
  <c r="X89" i="1"/>
  <c r="Y89" i="1"/>
  <c r="C85" i="1"/>
  <c r="D85" i="1"/>
  <c r="E85" i="1"/>
  <c r="F85" i="1"/>
  <c r="G85" i="1"/>
  <c r="H85" i="1"/>
  <c r="I85" i="1"/>
  <c r="J85" i="1"/>
  <c r="K85" i="1"/>
  <c r="L85" i="1"/>
  <c r="M85" i="1"/>
  <c r="N85" i="1"/>
  <c r="O85" i="1"/>
  <c r="P85" i="1"/>
  <c r="Q85" i="1"/>
  <c r="R85" i="1"/>
  <c r="S85" i="1"/>
  <c r="T85" i="1"/>
  <c r="U85" i="1"/>
  <c r="V85" i="1"/>
  <c r="W85" i="1"/>
  <c r="X85" i="1"/>
  <c r="Y85" i="1"/>
  <c r="C86" i="1"/>
  <c r="D86" i="1"/>
  <c r="E86" i="1"/>
  <c r="F86" i="1"/>
  <c r="G86" i="1"/>
  <c r="H86" i="1"/>
  <c r="I86" i="1"/>
  <c r="J86" i="1"/>
  <c r="K86" i="1"/>
  <c r="L86" i="1"/>
  <c r="M86" i="1"/>
  <c r="N86" i="1"/>
  <c r="O86" i="1"/>
  <c r="P86" i="1"/>
  <c r="Q86" i="1"/>
  <c r="R86" i="1"/>
  <c r="S86" i="1"/>
  <c r="T86" i="1"/>
  <c r="U86" i="1"/>
  <c r="V86" i="1"/>
  <c r="W86" i="1"/>
  <c r="X86" i="1"/>
  <c r="Y86" i="1"/>
  <c r="B85" i="1"/>
  <c r="B86" i="1"/>
  <c r="C84" i="1"/>
  <c r="D84" i="1"/>
  <c r="E84" i="1"/>
  <c r="F84" i="1"/>
  <c r="G84" i="1"/>
  <c r="H84" i="1"/>
  <c r="I84" i="1"/>
  <c r="J84" i="1"/>
  <c r="K84" i="1"/>
  <c r="L84" i="1"/>
  <c r="M84" i="1"/>
  <c r="N84" i="1"/>
  <c r="O84" i="1"/>
  <c r="P84" i="1"/>
  <c r="Q84" i="1"/>
  <c r="R84" i="1"/>
  <c r="S84" i="1"/>
  <c r="T84" i="1"/>
  <c r="U84" i="1"/>
  <c r="V84" i="1"/>
  <c r="W84" i="1"/>
  <c r="X84" i="1"/>
  <c r="Y84" i="1"/>
  <c r="B84" i="1"/>
  <c r="A88" i="1"/>
  <c r="A89" i="1"/>
  <c r="A90" i="1"/>
  <c r="A91" i="1"/>
  <c r="A92" i="1"/>
  <c r="A93" i="1"/>
  <c r="A94" i="1"/>
  <c r="A95" i="1"/>
  <c r="A96" i="1"/>
  <c r="A97" i="1"/>
  <c r="A98" i="1"/>
  <c r="A99" i="1"/>
  <c r="A100" i="1"/>
  <c r="A85" i="1"/>
  <c r="A86" i="1"/>
  <c r="A87" i="1"/>
  <c r="A2" i="1"/>
  <c r="B2" i="1"/>
  <c r="C2" i="1"/>
  <c r="D2" i="1"/>
  <c r="E2" i="1"/>
  <c r="F2" i="1"/>
  <c r="G2" i="1"/>
  <c r="H2" i="1"/>
  <c r="I2" i="1"/>
  <c r="J2" i="1"/>
  <c r="K2" i="1"/>
  <c r="L2" i="1"/>
  <c r="M2" i="1"/>
  <c r="N2" i="1"/>
  <c r="O2" i="1"/>
  <c r="P2" i="1"/>
  <c r="Q2" i="1"/>
  <c r="R2" i="1"/>
  <c r="S2" i="1"/>
  <c r="T2" i="1"/>
  <c r="U2" i="1"/>
  <c r="V2" i="1"/>
  <c r="W2" i="1"/>
  <c r="X2" i="1"/>
  <c r="Y2" i="1"/>
  <c r="A3" i="1"/>
  <c r="B3" i="1"/>
  <c r="C3" i="1"/>
  <c r="D3" i="1"/>
  <c r="E3" i="1"/>
  <c r="F3" i="1"/>
  <c r="G3" i="1"/>
  <c r="H3" i="1"/>
  <c r="I3" i="1"/>
  <c r="J3" i="1"/>
  <c r="K3" i="1"/>
  <c r="L3" i="1"/>
  <c r="M3" i="1"/>
  <c r="N3" i="1"/>
  <c r="O3" i="1"/>
  <c r="P3" i="1"/>
  <c r="Q3" i="1"/>
  <c r="R3" i="1"/>
  <c r="S3" i="1"/>
  <c r="T3" i="1"/>
  <c r="U3" i="1"/>
  <c r="V3" i="1"/>
  <c r="W3" i="1"/>
  <c r="X3" i="1"/>
  <c r="Y3" i="1"/>
  <c r="A4" i="1"/>
  <c r="B4" i="1"/>
  <c r="C4" i="1"/>
  <c r="D4" i="1"/>
  <c r="E4" i="1"/>
  <c r="F4" i="1"/>
  <c r="G4" i="1"/>
  <c r="H4" i="1"/>
  <c r="I4" i="1"/>
  <c r="J4" i="1"/>
  <c r="K4" i="1"/>
  <c r="L4" i="1"/>
  <c r="M4" i="1"/>
  <c r="N4" i="1"/>
  <c r="O4" i="1"/>
  <c r="P4" i="1"/>
  <c r="Q4" i="1"/>
  <c r="S4" i="1"/>
  <c r="T4" i="1"/>
  <c r="U4" i="1"/>
  <c r="V4" i="1"/>
  <c r="W4" i="1"/>
  <c r="X4" i="1"/>
  <c r="Y4" i="1"/>
  <c r="A5" i="1"/>
  <c r="B5" i="1"/>
  <c r="C5" i="1"/>
  <c r="D5" i="1"/>
  <c r="E5" i="1"/>
  <c r="F5" i="1"/>
  <c r="G5" i="1"/>
  <c r="H5" i="1"/>
  <c r="I5" i="1"/>
  <c r="J5" i="1"/>
  <c r="K5" i="1"/>
  <c r="L5" i="1"/>
  <c r="M5" i="1"/>
  <c r="N5" i="1"/>
  <c r="O5" i="1"/>
  <c r="P5" i="1"/>
  <c r="Q5" i="1"/>
  <c r="R5" i="1"/>
  <c r="S5" i="1"/>
  <c r="T5" i="1"/>
  <c r="U5" i="1"/>
  <c r="V5" i="1"/>
  <c r="W5" i="1"/>
  <c r="X5" i="1"/>
  <c r="Y5" i="1"/>
  <c r="A6" i="1"/>
  <c r="B6" i="1"/>
  <c r="C6" i="1"/>
  <c r="D6" i="1"/>
  <c r="E6" i="1"/>
  <c r="F6" i="1"/>
  <c r="G6" i="1"/>
  <c r="H6" i="1"/>
  <c r="I6" i="1"/>
  <c r="J6" i="1"/>
  <c r="K6" i="1"/>
  <c r="L6" i="1"/>
  <c r="M6" i="1"/>
  <c r="N6" i="1"/>
  <c r="O6" i="1"/>
  <c r="P6" i="1"/>
  <c r="Q6" i="1"/>
  <c r="R6" i="1"/>
  <c r="S6" i="1"/>
  <c r="T6" i="1"/>
  <c r="U6" i="1"/>
  <c r="V6" i="1"/>
  <c r="W6" i="1"/>
  <c r="X6" i="1"/>
  <c r="Y6" i="1"/>
  <c r="A7" i="1"/>
  <c r="B7" i="1"/>
  <c r="C7" i="1"/>
  <c r="D7" i="1"/>
  <c r="E7" i="1"/>
  <c r="F7" i="1"/>
  <c r="G7" i="1"/>
  <c r="H7" i="1"/>
  <c r="I7" i="1"/>
  <c r="J7" i="1"/>
  <c r="K7" i="1"/>
  <c r="L7" i="1"/>
  <c r="M7" i="1"/>
  <c r="N7" i="1"/>
  <c r="O7" i="1"/>
  <c r="P7" i="1"/>
  <c r="Q7" i="1"/>
  <c r="R7" i="1"/>
  <c r="S7" i="1"/>
  <c r="T7" i="1"/>
  <c r="U7" i="1"/>
  <c r="V7" i="1"/>
  <c r="W7" i="1"/>
  <c r="X7" i="1"/>
  <c r="Y7" i="1"/>
  <c r="A8" i="1"/>
  <c r="B8" i="1"/>
  <c r="C8" i="1"/>
  <c r="D8" i="1"/>
  <c r="E8" i="1"/>
  <c r="F8" i="1"/>
  <c r="G8" i="1"/>
  <c r="H8" i="1"/>
  <c r="I8" i="1"/>
  <c r="J8" i="1"/>
  <c r="K8" i="1"/>
  <c r="L8" i="1"/>
  <c r="M8" i="1"/>
  <c r="N8" i="1"/>
  <c r="O8" i="1"/>
  <c r="P8" i="1"/>
  <c r="Q8" i="1"/>
  <c r="R8" i="1"/>
  <c r="S8" i="1"/>
  <c r="T8" i="1"/>
  <c r="U8" i="1"/>
  <c r="V8" i="1"/>
  <c r="W8" i="1"/>
  <c r="X8" i="1"/>
  <c r="Y8" i="1"/>
  <c r="A9" i="1"/>
  <c r="B9" i="1"/>
  <c r="C9" i="1"/>
  <c r="D9" i="1"/>
  <c r="E9" i="1"/>
  <c r="F9" i="1"/>
  <c r="G9" i="1"/>
  <c r="H9" i="1"/>
  <c r="I9" i="1"/>
  <c r="J9" i="1"/>
  <c r="K9" i="1"/>
  <c r="L9" i="1"/>
  <c r="M9" i="1"/>
  <c r="N9" i="1"/>
  <c r="O9" i="1"/>
  <c r="P9" i="1"/>
  <c r="Q9" i="1"/>
  <c r="R9" i="1"/>
  <c r="S9" i="1"/>
  <c r="T9" i="1"/>
  <c r="U9" i="1"/>
  <c r="V9" i="1"/>
  <c r="W9" i="1"/>
  <c r="X9" i="1"/>
  <c r="Y9" i="1"/>
  <c r="A10" i="1"/>
  <c r="B10" i="1"/>
  <c r="C10" i="1"/>
  <c r="D10" i="1"/>
  <c r="E10" i="1"/>
  <c r="F10" i="1"/>
  <c r="G10" i="1"/>
  <c r="H10" i="1"/>
  <c r="I10" i="1"/>
  <c r="J10" i="1"/>
  <c r="K10" i="1"/>
  <c r="L10" i="1"/>
  <c r="M10" i="1"/>
  <c r="N10" i="1"/>
  <c r="O10" i="1"/>
  <c r="P10" i="1"/>
  <c r="Q10" i="1"/>
  <c r="R10" i="1"/>
  <c r="S10" i="1"/>
  <c r="T10" i="1"/>
  <c r="U10" i="1"/>
  <c r="V10" i="1"/>
  <c r="W10" i="1"/>
  <c r="X10" i="1"/>
  <c r="Y10" i="1"/>
  <c r="A11" i="1"/>
  <c r="B11" i="1"/>
  <c r="C11" i="1"/>
  <c r="D11" i="1"/>
  <c r="E11" i="1"/>
  <c r="F11" i="1"/>
  <c r="G11" i="1"/>
  <c r="H11" i="1"/>
  <c r="I11" i="1"/>
  <c r="J11" i="1"/>
  <c r="K11" i="1"/>
  <c r="L11" i="1"/>
  <c r="M11" i="1"/>
  <c r="N11" i="1"/>
  <c r="O11" i="1"/>
  <c r="P11" i="1"/>
  <c r="Q11" i="1"/>
  <c r="R11" i="1"/>
  <c r="S11" i="1"/>
  <c r="T11" i="1"/>
  <c r="U11" i="1"/>
  <c r="V11" i="1"/>
  <c r="W11" i="1"/>
  <c r="X11" i="1"/>
  <c r="Y11" i="1"/>
  <c r="A12" i="1"/>
  <c r="B12" i="1"/>
  <c r="C12" i="1"/>
  <c r="D12" i="1"/>
  <c r="E12" i="1"/>
  <c r="F12" i="1"/>
  <c r="G12" i="1"/>
  <c r="H12" i="1"/>
  <c r="I12" i="1"/>
  <c r="J12" i="1"/>
  <c r="K12" i="1"/>
  <c r="L12" i="1"/>
  <c r="M12" i="1"/>
  <c r="N12" i="1"/>
  <c r="O12" i="1"/>
  <c r="P12" i="1"/>
  <c r="Q12" i="1"/>
  <c r="R12" i="1"/>
  <c r="S12" i="1"/>
  <c r="T12" i="1"/>
  <c r="U12" i="1"/>
  <c r="V12" i="1"/>
  <c r="W12" i="1"/>
  <c r="X12" i="1"/>
  <c r="Y12" i="1"/>
  <c r="A13" i="1"/>
  <c r="B13" i="1"/>
  <c r="C13" i="1"/>
  <c r="D13" i="1"/>
  <c r="E13" i="1"/>
  <c r="F13" i="1"/>
  <c r="G13" i="1"/>
  <c r="H13" i="1"/>
  <c r="I13" i="1"/>
  <c r="J13" i="1"/>
  <c r="K13" i="1"/>
  <c r="L13" i="1"/>
  <c r="M13" i="1"/>
  <c r="N13" i="1"/>
  <c r="O13" i="1"/>
  <c r="P13" i="1"/>
  <c r="Q13" i="1"/>
  <c r="R13" i="1"/>
  <c r="S13" i="1"/>
  <c r="T13" i="1"/>
  <c r="U13" i="1"/>
  <c r="V13" i="1"/>
  <c r="W13" i="1"/>
  <c r="X13" i="1"/>
  <c r="Y13" i="1"/>
  <c r="A14" i="1"/>
  <c r="B14" i="1"/>
  <c r="C14" i="1"/>
  <c r="D14" i="1"/>
  <c r="E14" i="1"/>
  <c r="F14" i="1"/>
  <c r="G14" i="1"/>
  <c r="H14" i="1"/>
  <c r="I14" i="1"/>
  <c r="J14" i="1"/>
  <c r="K14" i="1"/>
  <c r="L14" i="1"/>
  <c r="M14" i="1"/>
  <c r="N14" i="1"/>
  <c r="O14" i="1"/>
  <c r="P14" i="1"/>
  <c r="Q14" i="1"/>
  <c r="R14" i="1"/>
  <c r="S14" i="1"/>
  <c r="T14" i="1"/>
  <c r="U14" i="1"/>
  <c r="V14" i="1"/>
  <c r="W14" i="1"/>
  <c r="X14" i="1"/>
  <c r="Y14" i="1"/>
  <c r="A15" i="1"/>
  <c r="B15" i="1"/>
  <c r="C15" i="1"/>
  <c r="D15" i="1"/>
  <c r="E15" i="1"/>
  <c r="F15" i="1"/>
  <c r="G15" i="1"/>
  <c r="H15" i="1"/>
  <c r="I15" i="1"/>
  <c r="J15" i="1"/>
  <c r="K15" i="1"/>
  <c r="L15" i="1"/>
  <c r="M15" i="1"/>
  <c r="N15" i="1"/>
  <c r="O15" i="1"/>
  <c r="P15" i="1"/>
  <c r="Q15" i="1"/>
  <c r="R15" i="1"/>
  <c r="S15" i="1"/>
  <c r="T15" i="1"/>
  <c r="U15" i="1"/>
  <c r="V15" i="1"/>
  <c r="W15" i="1"/>
  <c r="X15" i="1"/>
  <c r="Y15" i="1"/>
  <c r="A16" i="1"/>
  <c r="B16" i="1"/>
  <c r="C16" i="1"/>
  <c r="D16" i="1"/>
  <c r="E16" i="1"/>
  <c r="F16" i="1"/>
  <c r="G16" i="1"/>
  <c r="H16" i="1"/>
  <c r="I16" i="1"/>
  <c r="J16" i="1"/>
  <c r="K16" i="1"/>
  <c r="L16" i="1"/>
  <c r="M16" i="1"/>
  <c r="N16" i="1"/>
  <c r="O16" i="1"/>
  <c r="P16" i="1"/>
  <c r="Q16" i="1"/>
  <c r="R16" i="1"/>
  <c r="S16" i="1"/>
  <c r="T16" i="1"/>
  <c r="U16" i="1"/>
  <c r="V16" i="1"/>
  <c r="W16" i="1"/>
  <c r="X16" i="1"/>
  <c r="Y16" i="1"/>
  <c r="A17" i="1"/>
  <c r="B17" i="1"/>
  <c r="C17" i="1"/>
  <c r="D17" i="1"/>
  <c r="E17" i="1"/>
  <c r="F17" i="1"/>
  <c r="G17" i="1"/>
  <c r="H17" i="1"/>
  <c r="I17" i="1"/>
  <c r="J17" i="1"/>
  <c r="K17" i="1"/>
  <c r="L17" i="1"/>
  <c r="M17" i="1"/>
  <c r="N17" i="1"/>
  <c r="O17" i="1"/>
  <c r="P17" i="1"/>
  <c r="Q17" i="1"/>
  <c r="R17" i="1"/>
  <c r="S17" i="1"/>
  <c r="T17" i="1"/>
  <c r="U17" i="1"/>
  <c r="V17" i="1"/>
  <c r="W17" i="1"/>
  <c r="X17" i="1"/>
  <c r="Y17" i="1"/>
  <c r="A18" i="1"/>
  <c r="B18" i="1"/>
  <c r="C18" i="1"/>
  <c r="D18" i="1"/>
  <c r="E18" i="1"/>
  <c r="F18" i="1"/>
  <c r="G18" i="1"/>
  <c r="H18" i="1"/>
  <c r="I18" i="1"/>
  <c r="J18" i="1"/>
  <c r="K18" i="1"/>
  <c r="L18" i="1"/>
  <c r="M18" i="1"/>
  <c r="N18" i="1"/>
  <c r="O18" i="1"/>
  <c r="P18" i="1"/>
  <c r="Q18" i="1"/>
  <c r="R18" i="1"/>
  <c r="S18" i="1"/>
  <c r="T18" i="1"/>
  <c r="U18" i="1"/>
  <c r="V18" i="1"/>
  <c r="W18" i="1"/>
  <c r="X18" i="1"/>
  <c r="Y18" i="1"/>
  <c r="A19" i="1"/>
  <c r="B19" i="1"/>
  <c r="C19" i="1"/>
  <c r="D19" i="1"/>
  <c r="E19" i="1"/>
  <c r="F19" i="1"/>
  <c r="G19" i="1"/>
  <c r="H19" i="1"/>
  <c r="I19" i="1"/>
  <c r="J19" i="1"/>
  <c r="K19" i="1"/>
  <c r="L19" i="1"/>
  <c r="M19" i="1"/>
  <c r="N19" i="1"/>
  <c r="O19" i="1"/>
  <c r="P19" i="1"/>
  <c r="Q19" i="1"/>
  <c r="R19" i="1"/>
  <c r="S19" i="1"/>
  <c r="T19" i="1"/>
  <c r="U19" i="1"/>
  <c r="V19" i="1"/>
  <c r="W19" i="1"/>
  <c r="X19" i="1"/>
  <c r="Y19" i="1"/>
  <c r="A20" i="1"/>
  <c r="B20" i="1"/>
  <c r="C20" i="1"/>
  <c r="D20" i="1"/>
  <c r="E20" i="1"/>
  <c r="F20" i="1"/>
  <c r="G20" i="1"/>
  <c r="H20" i="1"/>
  <c r="I20" i="1"/>
  <c r="J20" i="1"/>
  <c r="K20" i="1"/>
  <c r="L20" i="1"/>
  <c r="M20" i="1"/>
  <c r="N20" i="1"/>
  <c r="O20" i="1"/>
  <c r="P20" i="1"/>
  <c r="Q20" i="1"/>
  <c r="R20" i="1"/>
  <c r="S20" i="1"/>
  <c r="T20" i="1"/>
  <c r="U20" i="1"/>
  <c r="V20" i="1"/>
  <c r="W20" i="1"/>
  <c r="X20" i="1"/>
  <c r="Y20" i="1"/>
  <c r="A21" i="1"/>
  <c r="B21" i="1"/>
  <c r="C21" i="1"/>
  <c r="D21" i="1"/>
  <c r="E21" i="1"/>
  <c r="F21" i="1"/>
  <c r="G21" i="1"/>
  <c r="H21" i="1"/>
  <c r="I21" i="1"/>
  <c r="J21" i="1"/>
  <c r="K21" i="1"/>
  <c r="L21" i="1"/>
  <c r="M21" i="1"/>
  <c r="N21" i="1"/>
  <c r="O21" i="1"/>
  <c r="P21" i="1"/>
  <c r="Q21" i="1"/>
  <c r="R21" i="1"/>
  <c r="S21" i="1"/>
  <c r="T21" i="1"/>
  <c r="U21" i="1"/>
  <c r="V21" i="1"/>
  <c r="W21" i="1"/>
  <c r="X21" i="1"/>
  <c r="Y21" i="1"/>
  <c r="A22" i="1"/>
  <c r="B22" i="1"/>
  <c r="C22" i="1"/>
  <c r="D22" i="1"/>
  <c r="E22" i="1"/>
  <c r="F22" i="1"/>
  <c r="G22" i="1"/>
  <c r="H22" i="1"/>
  <c r="I22" i="1"/>
  <c r="J22" i="1"/>
  <c r="K22" i="1"/>
  <c r="L22" i="1"/>
  <c r="M22" i="1"/>
  <c r="N22" i="1"/>
  <c r="O22" i="1"/>
  <c r="P22" i="1"/>
  <c r="Q22" i="1"/>
  <c r="R22" i="1"/>
  <c r="S22" i="1"/>
  <c r="T22" i="1"/>
  <c r="U22" i="1"/>
  <c r="V22" i="1"/>
  <c r="W22" i="1"/>
  <c r="X22" i="1"/>
  <c r="Y22" i="1"/>
  <c r="A23" i="1"/>
  <c r="B23" i="1"/>
  <c r="C23" i="1"/>
  <c r="D23" i="1"/>
  <c r="E23" i="1"/>
  <c r="F23" i="1"/>
  <c r="G23" i="1"/>
  <c r="H23" i="1"/>
  <c r="I23" i="1"/>
  <c r="J23" i="1"/>
  <c r="K23" i="1"/>
  <c r="L23" i="1"/>
  <c r="M23" i="1"/>
  <c r="N23" i="1"/>
  <c r="O23" i="1"/>
  <c r="P23" i="1"/>
  <c r="Q23" i="1"/>
  <c r="R23" i="1"/>
  <c r="S23" i="1"/>
  <c r="T23" i="1"/>
  <c r="U23" i="1"/>
  <c r="V23" i="1"/>
  <c r="W23" i="1"/>
  <c r="X23" i="1"/>
  <c r="Y23" i="1"/>
  <c r="A24" i="1"/>
  <c r="B24" i="1"/>
  <c r="C24" i="1"/>
  <c r="D24" i="1"/>
  <c r="E24" i="1"/>
  <c r="F24" i="1"/>
  <c r="G24" i="1"/>
  <c r="H24" i="1"/>
  <c r="I24" i="1"/>
  <c r="J24" i="1"/>
  <c r="K24" i="1"/>
  <c r="L24" i="1"/>
  <c r="M24" i="1"/>
  <c r="N24" i="1"/>
  <c r="O24" i="1"/>
  <c r="P24" i="1"/>
  <c r="Q24" i="1"/>
  <c r="R24" i="1"/>
  <c r="S24" i="1"/>
  <c r="T24" i="1"/>
  <c r="U24" i="1"/>
  <c r="V24" i="1"/>
  <c r="W24" i="1"/>
  <c r="X24" i="1"/>
  <c r="Y24" i="1"/>
  <c r="A25" i="1"/>
  <c r="B25" i="1"/>
  <c r="C25" i="1"/>
  <c r="D25" i="1"/>
  <c r="E25" i="1"/>
  <c r="F25" i="1"/>
  <c r="G25" i="1"/>
  <c r="H25" i="1"/>
  <c r="I25" i="1"/>
  <c r="J25" i="1"/>
  <c r="K25" i="1"/>
  <c r="L25" i="1"/>
  <c r="M25" i="1"/>
  <c r="N25" i="1"/>
  <c r="O25" i="1"/>
  <c r="P25" i="1"/>
  <c r="Q25" i="1"/>
  <c r="R25" i="1"/>
  <c r="S25" i="1"/>
  <c r="T25" i="1"/>
  <c r="U25" i="1"/>
  <c r="V25" i="1"/>
  <c r="W25" i="1"/>
  <c r="X25" i="1"/>
  <c r="Y25" i="1"/>
  <c r="A26" i="1"/>
  <c r="B26" i="1"/>
  <c r="C26" i="1"/>
  <c r="D26" i="1"/>
  <c r="E26" i="1"/>
  <c r="F26" i="1"/>
  <c r="G26" i="1"/>
  <c r="H26" i="1"/>
  <c r="I26" i="1"/>
  <c r="J26" i="1"/>
  <c r="K26" i="1"/>
  <c r="L26" i="1"/>
  <c r="M26" i="1"/>
  <c r="N26" i="1"/>
  <c r="O26" i="1"/>
  <c r="P26" i="1"/>
  <c r="Q26" i="1"/>
  <c r="R26" i="1"/>
  <c r="S26" i="1"/>
  <c r="T26" i="1"/>
  <c r="U26" i="1"/>
  <c r="V26" i="1"/>
  <c r="W26" i="1"/>
  <c r="X26" i="1"/>
  <c r="Y26" i="1"/>
  <c r="A27" i="1"/>
  <c r="B27" i="1"/>
  <c r="C27" i="1"/>
  <c r="D27" i="1"/>
  <c r="E27" i="1"/>
  <c r="F27" i="1"/>
  <c r="G27" i="1"/>
  <c r="H27" i="1"/>
  <c r="I27" i="1"/>
  <c r="J27" i="1"/>
  <c r="K27" i="1"/>
  <c r="L27" i="1"/>
  <c r="M27" i="1"/>
  <c r="N27" i="1"/>
  <c r="O27" i="1"/>
  <c r="P27" i="1"/>
  <c r="Q27" i="1"/>
  <c r="R27" i="1"/>
  <c r="S27" i="1"/>
  <c r="T27" i="1"/>
  <c r="U27" i="1"/>
  <c r="V27" i="1"/>
  <c r="W27" i="1"/>
  <c r="X27" i="1"/>
  <c r="Y27" i="1"/>
  <c r="A28" i="1"/>
  <c r="B28" i="1"/>
  <c r="C28" i="1"/>
  <c r="D28" i="1"/>
  <c r="E28" i="1"/>
  <c r="F28" i="1"/>
  <c r="G28" i="1"/>
  <c r="H28" i="1"/>
  <c r="I28" i="1"/>
  <c r="J28" i="1"/>
  <c r="K28" i="1"/>
  <c r="L28" i="1"/>
  <c r="M28" i="1"/>
  <c r="N28" i="1"/>
  <c r="O28" i="1"/>
  <c r="P28" i="1"/>
  <c r="Q28" i="1"/>
  <c r="R28" i="1"/>
  <c r="S28" i="1"/>
  <c r="T28" i="1"/>
  <c r="U28" i="1"/>
  <c r="V28" i="1"/>
  <c r="W28" i="1"/>
  <c r="X28" i="1"/>
  <c r="Y28" i="1"/>
  <c r="A29" i="1"/>
  <c r="B29" i="1"/>
  <c r="C29" i="1"/>
  <c r="D29" i="1"/>
  <c r="E29" i="1"/>
  <c r="F29" i="1"/>
  <c r="G29" i="1"/>
  <c r="H29" i="1"/>
  <c r="I29" i="1"/>
  <c r="J29" i="1"/>
  <c r="K29" i="1"/>
  <c r="L29" i="1"/>
  <c r="M29" i="1"/>
  <c r="N29" i="1"/>
  <c r="O29" i="1"/>
  <c r="P29" i="1"/>
  <c r="Q29" i="1"/>
  <c r="R29" i="1"/>
  <c r="S29" i="1"/>
  <c r="T29" i="1"/>
  <c r="U29" i="1"/>
  <c r="V29" i="1"/>
  <c r="W29" i="1"/>
  <c r="X29" i="1"/>
  <c r="Y29" i="1"/>
  <c r="A30" i="1"/>
  <c r="B30" i="1"/>
  <c r="C30" i="1"/>
  <c r="D30" i="1"/>
  <c r="E30" i="1"/>
  <c r="F30" i="1"/>
  <c r="G30" i="1"/>
  <c r="H30" i="1"/>
  <c r="I30" i="1"/>
  <c r="J30" i="1"/>
  <c r="K30" i="1"/>
  <c r="L30" i="1"/>
  <c r="M30" i="1"/>
  <c r="N30" i="1"/>
  <c r="O30" i="1"/>
  <c r="P30" i="1"/>
  <c r="Q30" i="1"/>
  <c r="R30" i="1"/>
  <c r="S30" i="1"/>
  <c r="T30" i="1"/>
  <c r="U30" i="1"/>
  <c r="V30" i="1"/>
  <c r="W30" i="1"/>
  <c r="X30" i="1"/>
  <c r="Y30" i="1"/>
  <c r="A31" i="1"/>
  <c r="B31" i="1"/>
  <c r="C31" i="1"/>
  <c r="D31" i="1"/>
  <c r="E31" i="1"/>
  <c r="F31" i="1"/>
  <c r="G31" i="1"/>
  <c r="H31" i="1"/>
  <c r="I31" i="1"/>
  <c r="J31" i="1"/>
  <c r="K31" i="1"/>
  <c r="L31" i="1"/>
  <c r="M31" i="1"/>
  <c r="N31" i="1"/>
  <c r="O31" i="1"/>
  <c r="P31" i="1"/>
  <c r="Q31" i="1"/>
  <c r="R31" i="1"/>
  <c r="S31" i="1"/>
  <c r="T31" i="1"/>
  <c r="U31" i="1"/>
  <c r="V31" i="1"/>
  <c r="W31" i="1"/>
  <c r="X31" i="1"/>
  <c r="Y31" i="1"/>
  <c r="A32" i="1"/>
  <c r="B32" i="1"/>
  <c r="C32" i="1"/>
  <c r="D32" i="1"/>
  <c r="E32" i="1"/>
  <c r="F32" i="1"/>
  <c r="G32" i="1"/>
  <c r="H32" i="1"/>
  <c r="I32" i="1"/>
  <c r="J32" i="1"/>
  <c r="K32" i="1"/>
  <c r="L32" i="1"/>
  <c r="M32" i="1"/>
  <c r="N32" i="1"/>
  <c r="O32" i="1"/>
  <c r="P32" i="1"/>
  <c r="Q32" i="1"/>
  <c r="R32" i="1"/>
  <c r="S32" i="1"/>
  <c r="T32" i="1"/>
  <c r="U32" i="1"/>
  <c r="V32" i="1"/>
  <c r="W32" i="1"/>
  <c r="X32" i="1"/>
  <c r="Y32" i="1"/>
  <c r="A33" i="1"/>
  <c r="B33" i="1"/>
  <c r="C33" i="1"/>
  <c r="D33" i="1"/>
  <c r="E33" i="1"/>
  <c r="F33" i="1"/>
  <c r="G33" i="1"/>
  <c r="H33" i="1"/>
  <c r="I33" i="1"/>
  <c r="J33" i="1"/>
  <c r="K33" i="1"/>
  <c r="L33" i="1"/>
  <c r="M33" i="1"/>
  <c r="N33" i="1"/>
  <c r="O33" i="1"/>
  <c r="P33" i="1"/>
  <c r="Q33" i="1"/>
  <c r="R33" i="1"/>
  <c r="S33" i="1"/>
  <c r="T33" i="1"/>
  <c r="U33" i="1"/>
  <c r="V33" i="1"/>
  <c r="W33" i="1"/>
  <c r="X33" i="1"/>
  <c r="Y33" i="1"/>
  <c r="A34" i="1"/>
  <c r="B34" i="1"/>
  <c r="C34" i="1"/>
  <c r="D34" i="1"/>
  <c r="E34" i="1"/>
  <c r="F34" i="1"/>
  <c r="G34" i="1"/>
  <c r="H34" i="1"/>
  <c r="I34" i="1"/>
  <c r="J34" i="1"/>
  <c r="K34" i="1"/>
  <c r="L34" i="1"/>
  <c r="M34" i="1"/>
  <c r="N34" i="1"/>
  <c r="O34" i="1"/>
  <c r="P34" i="1"/>
  <c r="Q34" i="1"/>
  <c r="R34" i="1"/>
  <c r="S34" i="1"/>
  <c r="T34" i="1"/>
  <c r="U34" i="1"/>
  <c r="V34" i="1"/>
  <c r="W34" i="1"/>
  <c r="X34" i="1"/>
  <c r="Y34" i="1"/>
  <c r="A35" i="1"/>
  <c r="B35" i="1"/>
  <c r="C35" i="1"/>
  <c r="D35" i="1"/>
  <c r="E35" i="1"/>
  <c r="F35" i="1"/>
  <c r="G35" i="1"/>
  <c r="H35" i="1"/>
  <c r="I35" i="1"/>
  <c r="J35" i="1"/>
  <c r="K35" i="1"/>
  <c r="L35" i="1"/>
  <c r="M35" i="1"/>
  <c r="N35" i="1"/>
  <c r="O35" i="1"/>
  <c r="P35" i="1"/>
  <c r="Q35" i="1"/>
  <c r="R35" i="1"/>
  <c r="S35" i="1"/>
  <c r="T35" i="1"/>
  <c r="U35" i="1"/>
  <c r="V35" i="1"/>
  <c r="W35" i="1"/>
  <c r="X35" i="1"/>
  <c r="Y35" i="1"/>
  <c r="A36" i="1"/>
  <c r="B36" i="1"/>
  <c r="C36" i="1"/>
  <c r="D36" i="1"/>
  <c r="E36" i="1"/>
  <c r="F36" i="1"/>
  <c r="G36" i="1"/>
  <c r="H36" i="1"/>
  <c r="I36" i="1"/>
  <c r="J36" i="1"/>
  <c r="K36" i="1"/>
  <c r="L36" i="1"/>
  <c r="M36" i="1"/>
  <c r="N36" i="1"/>
  <c r="O36" i="1"/>
  <c r="P36" i="1"/>
  <c r="Q36" i="1"/>
  <c r="R36" i="1"/>
  <c r="S36" i="1"/>
  <c r="T36" i="1"/>
  <c r="U36" i="1"/>
  <c r="V36" i="1"/>
  <c r="W36" i="1"/>
  <c r="X36" i="1"/>
  <c r="Y36" i="1"/>
  <c r="A37" i="1"/>
  <c r="B37" i="1"/>
  <c r="C37" i="1"/>
  <c r="D37" i="1"/>
  <c r="E37" i="1"/>
  <c r="F37" i="1"/>
  <c r="G37" i="1"/>
  <c r="H37" i="1"/>
  <c r="I37" i="1"/>
  <c r="J37" i="1"/>
  <c r="K37" i="1"/>
  <c r="L37" i="1"/>
  <c r="M37" i="1"/>
  <c r="N37" i="1"/>
  <c r="O37" i="1"/>
  <c r="P37" i="1"/>
  <c r="Q37" i="1"/>
  <c r="R37" i="1"/>
  <c r="S37" i="1"/>
  <c r="T37" i="1"/>
  <c r="U37" i="1"/>
  <c r="V37" i="1"/>
  <c r="W37" i="1"/>
  <c r="X37" i="1"/>
  <c r="Y37" i="1"/>
  <c r="R38" i="1"/>
  <c r="R39" i="1"/>
  <c r="R40" i="1"/>
  <c r="R41" i="1"/>
  <c r="R42" i="1"/>
  <c r="R43" i="1"/>
  <c r="R44" i="1"/>
  <c r="R45" i="1"/>
  <c r="R46" i="1"/>
  <c r="A38" i="1"/>
  <c r="B38" i="1"/>
  <c r="C38" i="1"/>
  <c r="D38" i="1"/>
  <c r="E38" i="1"/>
  <c r="F38" i="1"/>
  <c r="G38" i="1"/>
  <c r="H38" i="1"/>
  <c r="I38" i="1"/>
  <c r="J38" i="1"/>
  <c r="K38" i="1"/>
  <c r="L38" i="1"/>
  <c r="M38" i="1"/>
  <c r="N38" i="1"/>
  <c r="O38" i="1"/>
  <c r="P38" i="1"/>
  <c r="Q38" i="1"/>
  <c r="S38" i="1"/>
  <c r="T38" i="1"/>
  <c r="U38" i="1"/>
  <c r="V38" i="1"/>
  <c r="W38" i="1"/>
  <c r="X38" i="1"/>
  <c r="Y38" i="1"/>
  <c r="A39" i="1"/>
  <c r="B39" i="1"/>
  <c r="C39" i="1"/>
  <c r="D39" i="1"/>
  <c r="E39" i="1"/>
  <c r="F39" i="1"/>
  <c r="G39" i="1"/>
  <c r="H39" i="1"/>
  <c r="I39" i="1"/>
  <c r="J39" i="1"/>
  <c r="K39" i="1"/>
  <c r="L39" i="1"/>
  <c r="M39" i="1"/>
  <c r="N39" i="1"/>
  <c r="O39" i="1"/>
  <c r="P39" i="1"/>
  <c r="Q39" i="1"/>
  <c r="S39" i="1"/>
  <c r="T39" i="1"/>
  <c r="U39" i="1"/>
  <c r="V39" i="1"/>
  <c r="W39" i="1"/>
  <c r="X39" i="1"/>
  <c r="Y39" i="1"/>
  <c r="A40" i="1"/>
  <c r="B40" i="1"/>
  <c r="C40" i="1"/>
  <c r="D40" i="1"/>
  <c r="E40" i="1"/>
  <c r="F40" i="1"/>
  <c r="G40" i="1"/>
  <c r="H40" i="1"/>
  <c r="I40" i="1"/>
  <c r="J40" i="1"/>
  <c r="K40" i="1"/>
  <c r="L40" i="1"/>
  <c r="M40" i="1"/>
  <c r="N40" i="1"/>
  <c r="O40" i="1"/>
  <c r="P40" i="1"/>
  <c r="Q40" i="1"/>
  <c r="S40" i="1"/>
  <c r="T40" i="1"/>
  <c r="U40" i="1"/>
  <c r="V40" i="1"/>
  <c r="W40" i="1"/>
  <c r="X40" i="1"/>
  <c r="Y40" i="1"/>
  <c r="A41" i="1"/>
  <c r="B41" i="1"/>
  <c r="C41" i="1"/>
  <c r="D41" i="1"/>
  <c r="E41" i="1"/>
  <c r="F41" i="1"/>
  <c r="G41" i="1"/>
  <c r="H41" i="1"/>
  <c r="I41" i="1"/>
  <c r="J41" i="1"/>
  <c r="K41" i="1"/>
  <c r="L41" i="1"/>
  <c r="M41" i="1"/>
  <c r="N41" i="1"/>
  <c r="O41" i="1"/>
  <c r="P41" i="1"/>
  <c r="Q41" i="1"/>
  <c r="S41" i="1"/>
  <c r="T41" i="1"/>
  <c r="U41" i="1"/>
  <c r="V41" i="1"/>
  <c r="W41" i="1"/>
  <c r="X41" i="1"/>
  <c r="Y41" i="1"/>
  <c r="A42" i="1"/>
  <c r="B42" i="1"/>
  <c r="C42" i="1"/>
  <c r="D42" i="1"/>
  <c r="E42" i="1"/>
  <c r="F42" i="1"/>
  <c r="G42" i="1"/>
  <c r="H42" i="1"/>
  <c r="I42" i="1"/>
  <c r="J42" i="1"/>
  <c r="K42" i="1"/>
  <c r="L42" i="1"/>
  <c r="M42" i="1"/>
  <c r="N42" i="1"/>
  <c r="O42" i="1"/>
  <c r="P42" i="1"/>
  <c r="Q42" i="1"/>
  <c r="S42" i="1"/>
  <c r="T42" i="1"/>
  <c r="U42" i="1"/>
  <c r="V42" i="1"/>
  <c r="W42" i="1"/>
  <c r="X42" i="1"/>
  <c r="Y42" i="1"/>
  <c r="A43" i="1"/>
  <c r="B43" i="1"/>
  <c r="C43" i="1"/>
  <c r="D43" i="1"/>
  <c r="E43" i="1"/>
  <c r="F43" i="1"/>
  <c r="G43" i="1"/>
  <c r="H43" i="1"/>
  <c r="I43" i="1"/>
  <c r="J43" i="1"/>
  <c r="K43" i="1"/>
  <c r="L43" i="1"/>
  <c r="M43" i="1"/>
  <c r="N43" i="1"/>
  <c r="O43" i="1"/>
  <c r="P43" i="1"/>
  <c r="Q43" i="1"/>
  <c r="S43" i="1"/>
  <c r="T43" i="1"/>
  <c r="U43" i="1"/>
  <c r="V43" i="1"/>
  <c r="W43" i="1"/>
  <c r="X43" i="1"/>
  <c r="Y43" i="1"/>
  <c r="A44" i="1"/>
  <c r="B44" i="1"/>
  <c r="C44" i="1"/>
  <c r="D44" i="1"/>
  <c r="E44" i="1"/>
  <c r="F44" i="1"/>
  <c r="G44" i="1"/>
  <c r="H44" i="1"/>
  <c r="I44" i="1"/>
  <c r="J44" i="1"/>
  <c r="K44" i="1"/>
  <c r="L44" i="1"/>
  <c r="M44" i="1"/>
  <c r="N44" i="1"/>
  <c r="O44" i="1"/>
  <c r="P44" i="1"/>
  <c r="Q44" i="1"/>
  <c r="S44" i="1"/>
  <c r="T44" i="1"/>
  <c r="U44" i="1"/>
  <c r="V44" i="1"/>
  <c r="W44" i="1"/>
  <c r="X44" i="1"/>
  <c r="Y44" i="1"/>
  <c r="A45" i="1"/>
  <c r="B45" i="1"/>
  <c r="C45" i="1"/>
  <c r="D45" i="1"/>
  <c r="E45" i="1"/>
  <c r="F45" i="1"/>
  <c r="G45" i="1"/>
  <c r="H45" i="1"/>
  <c r="I45" i="1"/>
  <c r="J45" i="1"/>
  <c r="K45" i="1"/>
  <c r="L45" i="1"/>
  <c r="M45" i="1"/>
  <c r="N45" i="1"/>
  <c r="O45" i="1"/>
  <c r="P45" i="1"/>
  <c r="Q45" i="1"/>
  <c r="S45" i="1"/>
  <c r="T45" i="1"/>
  <c r="U45" i="1"/>
  <c r="V45" i="1"/>
  <c r="W45" i="1"/>
  <c r="X45" i="1"/>
  <c r="Y45" i="1"/>
  <c r="A46" i="1"/>
  <c r="B46" i="1"/>
  <c r="C46" i="1"/>
  <c r="D46" i="1"/>
  <c r="E46" i="1"/>
  <c r="F46" i="1"/>
  <c r="G46" i="1"/>
  <c r="H46" i="1"/>
  <c r="I46" i="1"/>
  <c r="J46" i="1"/>
  <c r="K46" i="1"/>
  <c r="L46" i="1"/>
  <c r="M46" i="1"/>
  <c r="N46" i="1"/>
  <c r="O46" i="1"/>
  <c r="P46" i="1"/>
  <c r="Q46" i="1"/>
  <c r="S46" i="1"/>
  <c r="T46" i="1"/>
  <c r="U46" i="1"/>
  <c r="V46" i="1"/>
  <c r="W46" i="1"/>
  <c r="X46" i="1"/>
  <c r="Y46" i="1"/>
  <c r="A47" i="1"/>
  <c r="B47" i="1"/>
  <c r="C47" i="1"/>
  <c r="D47" i="1"/>
  <c r="E47" i="1"/>
  <c r="F47" i="1"/>
  <c r="G47" i="1"/>
  <c r="H47" i="1"/>
  <c r="I47" i="1"/>
  <c r="J47" i="1"/>
  <c r="K47" i="1"/>
  <c r="L47" i="1"/>
  <c r="M47" i="1"/>
  <c r="N47" i="1"/>
  <c r="O47" i="1"/>
  <c r="P47" i="1"/>
  <c r="Q47" i="1"/>
  <c r="R47" i="1"/>
  <c r="S47" i="1"/>
  <c r="T47" i="1"/>
  <c r="U47" i="1"/>
  <c r="V47" i="1"/>
  <c r="W47" i="1"/>
  <c r="X47" i="1"/>
  <c r="Y47" i="1"/>
  <c r="A48" i="1"/>
  <c r="B48" i="1"/>
  <c r="C48" i="1"/>
  <c r="D48" i="1"/>
  <c r="E48" i="1"/>
  <c r="F48" i="1"/>
  <c r="G48" i="1"/>
  <c r="H48" i="1"/>
  <c r="I48" i="1"/>
  <c r="J48" i="1"/>
  <c r="K48" i="1"/>
  <c r="L48" i="1"/>
  <c r="M48" i="1"/>
  <c r="N48" i="1"/>
  <c r="O48" i="1"/>
  <c r="P48" i="1"/>
  <c r="Q48" i="1"/>
  <c r="R48" i="1"/>
  <c r="S48" i="1"/>
  <c r="T48" i="1"/>
  <c r="U48" i="1"/>
  <c r="V48" i="1"/>
  <c r="W48" i="1"/>
  <c r="X48" i="1"/>
  <c r="Y48" i="1"/>
  <c r="A49" i="1"/>
  <c r="B49" i="1"/>
  <c r="C49" i="1"/>
  <c r="D49" i="1"/>
  <c r="E49" i="1"/>
  <c r="F49" i="1"/>
  <c r="G49" i="1"/>
  <c r="H49" i="1"/>
  <c r="I49" i="1"/>
  <c r="J49" i="1"/>
  <c r="K49" i="1"/>
  <c r="L49" i="1"/>
  <c r="M49" i="1"/>
  <c r="N49" i="1"/>
  <c r="O49" i="1"/>
  <c r="P49" i="1"/>
  <c r="Q49" i="1"/>
  <c r="R49" i="1"/>
  <c r="S49" i="1"/>
  <c r="T49" i="1"/>
  <c r="U49" i="1"/>
  <c r="V49" i="1"/>
  <c r="W49" i="1"/>
  <c r="X49" i="1"/>
  <c r="Y49" i="1"/>
  <c r="A50" i="1"/>
  <c r="B50" i="1"/>
  <c r="C50" i="1"/>
  <c r="D50" i="1"/>
  <c r="E50" i="1"/>
  <c r="F50" i="1"/>
  <c r="G50" i="1"/>
  <c r="H50" i="1"/>
  <c r="I50" i="1"/>
  <c r="J50" i="1"/>
  <c r="K50" i="1"/>
  <c r="L50" i="1"/>
  <c r="M50" i="1"/>
  <c r="N50" i="1"/>
  <c r="O50" i="1"/>
  <c r="P50" i="1"/>
  <c r="Q50" i="1"/>
  <c r="R50" i="1"/>
  <c r="S50" i="1"/>
  <c r="T50" i="1"/>
  <c r="U50" i="1"/>
  <c r="V50" i="1"/>
  <c r="W50" i="1"/>
  <c r="X50" i="1"/>
  <c r="Y50" i="1"/>
  <c r="A51" i="1"/>
  <c r="B51" i="1"/>
  <c r="C51" i="1"/>
  <c r="D51" i="1"/>
  <c r="E51" i="1"/>
  <c r="F51" i="1"/>
  <c r="G51" i="1"/>
  <c r="H51" i="1"/>
  <c r="I51" i="1"/>
  <c r="J51" i="1"/>
  <c r="K51" i="1"/>
  <c r="L51" i="1"/>
  <c r="M51" i="1"/>
  <c r="N51" i="1"/>
  <c r="O51" i="1"/>
  <c r="P51" i="1"/>
  <c r="Q51" i="1"/>
  <c r="R51" i="1"/>
  <c r="S51" i="1"/>
  <c r="T51" i="1"/>
  <c r="U51" i="1"/>
  <c r="V51" i="1"/>
  <c r="W51" i="1"/>
  <c r="X51" i="1"/>
  <c r="Y51" i="1"/>
  <c r="A52" i="1"/>
  <c r="B52" i="1"/>
  <c r="C52" i="1"/>
  <c r="D52" i="1"/>
  <c r="E52" i="1"/>
  <c r="F52" i="1"/>
  <c r="G52" i="1"/>
  <c r="H52" i="1"/>
  <c r="I52" i="1"/>
  <c r="J52" i="1"/>
  <c r="K52" i="1"/>
  <c r="L52" i="1"/>
  <c r="M52" i="1"/>
  <c r="N52" i="1"/>
  <c r="O52" i="1"/>
  <c r="P52" i="1"/>
  <c r="Q52" i="1"/>
  <c r="R52" i="1"/>
  <c r="S52" i="1"/>
  <c r="T52" i="1"/>
  <c r="U52" i="1"/>
  <c r="V52" i="1"/>
  <c r="W52" i="1"/>
  <c r="X52" i="1"/>
  <c r="Y52" i="1"/>
  <c r="A53" i="1"/>
  <c r="B53" i="1"/>
  <c r="C53" i="1"/>
  <c r="D53" i="1"/>
  <c r="E53" i="1"/>
  <c r="F53" i="1"/>
  <c r="G53" i="1"/>
  <c r="H53" i="1"/>
  <c r="I53" i="1"/>
  <c r="J53" i="1"/>
  <c r="K53" i="1"/>
  <c r="L53" i="1"/>
  <c r="M53" i="1"/>
  <c r="N53" i="1"/>
  <c r="O53" i="1"/>
  <c r="P53" i="1"/>
  <c r="Q53" i="1"/>
  <c r="R53" i="1"/>
  <c r="S53" i="1"/>
  <c r="T53" i="1"/>
  <c r="U53" i="1"/>
  <c r="V53" i="1"/>
  <c r="W53" i="1"/>
  <c r="X53" i="1"/>
  <c r="Y53" i="1"/>
  <c r="A54" i="1"/>
  <c r="B54" i="1"/>
  <c r="C54" i="1"/>
  <c r="D54" i="1"/>
  <c r="E54" i="1"/>
  <c r="F54" i="1"/>
  <c r="G54" i="1"/>
  <c r="H54" i="1"/>
  <c r="I54" i="1"/>
  <c r="J54" i="1"/>
  <c r="K54" i="1"/>
  <c r="L54" i="1"/>
  <c r="M54" i="1"/>
  <c r="N54" i="1"/>
  <c r="O54" i="1"/>
  <c r="P54" i="1"/>
  <c r="Q54" i="1"/>
  <c r="R54" i="1"/>
  <c r="S54" i="1"/>
  <c r="T54" i="1"/>
  <c r="U54" i="1"/>
  <c r="V54" i="1"/>
  <c r="W54" i="1"/>
  <c r="X54" i="1"/>
  <c r="Y54" i="1"/>
  <c r="A55" i="1"/>
  <c r="B55" i="1"/>
  <c r="C55" i="1"/>
  <c r="D55" i="1"/>
  <c r="E55" i="1"/>
  <c r="F55" i="1"/>
  <c r="G55" i="1"/>
  <c r="H55" i="1"/>
  <c r="I55" i="1"/>
  <c r="J55" i="1"/>
  <c r="K55" i="1"/>
  <c r="L55" i="1"/>
  <c r="M55" i="1"/>
  <c r="N55" i="1"/>
  <c r="O55" i="1"/>
  <c r="P55" i="1"/>
  <c r="Q55" i="1"/>
  <c r="R55" i="1"/>
  <c r="S55" i="1"/>
  <c r="T55" i="1"/>
  <c r="U55" i="1"/>
  <c r="V55" i="1"/>
  <c r="W55" i="1"/>
  <c r="X55" i="1"/>
  <c r="Y55" i="1"/>
  <c r="A56" i="1"/>
  <c r="B56" i="1"/>
  <c r="C56" i="1"/>
  <c r="D56" i="1"/>
  <c r="E56" i="1"/>
  <c r="F56" i="1"/>
  <c r="G56" i="1"/>
  <c r="H56" i="1"/>
  <c r="I56" i="1"/>
  <c r="J56" i="1"/>
  <c r="K56" i="1"/>
  <c r="L56" i="1"/>
  <c r="M56" i="1"/>
  <c r="N56" i="1"/>
  <c r="O56" i="1"/>
  <c r="P56" i="1"/>
  <c r="Q56" i="1"/>
  <c r="R56" i="1"/>
  <c r="S56" i="1"/>
  <c r="T56" i="1"/>
  <c r="U56" i="1"/>
  <c r="V56" i="1"/>
  <c r="W56" i="1"/>
  <c r="X56" i="1"/>
  <c r="Y56" i="1"/>
  <c r="A57" i="1"/>
  <c r="B57" i="1"/>
  <c r="C57" i="1"/>
  <c r="D57" i="1"/>
  <c r="E57" i="1"/>
  <c r="F57" i="1"/>
  <c r="G57" i="1"/>
  <c r="H57" i="1"/>
  <c r="I57" i="1"/>
  <c r="J57" i="1"/>
  <c r="K57" i="1"/>
  <c r="L57" i="1"/>
  <c r="M57" i="1"/>
  <c r="N57" i="1"/>
  <c r="O57" i="1"/>
  <c r="P57" i="1"/>
  <c r="Q57" i="1"/>
  <c r="R57" i="1"/>
  <c r="S57" i="1"/>
  <c r="T57" i="1"/>
  <c r="U57" i="1"/>
  <c r="V57" i="1"/>
  <c r="W57" i="1"/>
  <c r="X57" i="1"/>
  <c r="Y57" i="1"/>
  <c r="A58" i="1"/>
  <c r="B58" i="1"/>
  <c r="C58" i="1"/>
  <c r="D58" i="1"/>
  <c r="E58" i="1"/>
  <c r="F58" i="1"/>
  <c r="G58" i="1"/>
  <c r="H58" i="1"/>
  <c r="I58" i="1"/>
  <c r="J58" i="1"/>
  <c r="K58" i="1"/>
  <c r="L58" i="1"/>
  <c r="M58" i="1"/>
  <c r="N58" i="1"/>
  <c r="O58" i="1"/>
  <c r="P58" i="1"/>
  <c r="Q58" i="1"/>
  <c r="R58" i="1"/>
  <c r="S58" i="1"/>
  <c r="T58" i="1"/>
  <c r="U58" i="1"/>
  <c r="V58" i="1"/>
  <c r="W58" i="1"/>
  <c r="X58" i="1"/>
  <c r="Y58" i="1"/>
  <c r="A59" i="1"/>
  <c r="B59" i="1"/>
  <c r="C59" i="1"/>
  <c r="D59" i="1"/>
  <c r="E59" i="1"/>
  <c r="F59" i="1"/>
  <c r="G59" i="1"/>
  <c r="H59" i="1"/>
  <c r="I59" i="1"/>
  <c r="J59" i="1"/>
  <c r="K59" i="1"/>
  <c r="L59" i="1"/>
  <c r="M59" i="1"/>
  <c r="N59" i="1"/>
  <c r="O59" i="1"/>
  <c r="P59" i="1"/>
  <c r="Q59" i="1"/>
  <c r="R59" i="1"/>
  <c r="S59" i="1"/>
  <c r="T59" i="1"/>
  <c r="U59" i="1"/>
  <c r="V59" i="1"/>
  <c r="W59" i="1"/>
  <c r="X59" i="1"/>
  <c r="Y59" i="1"/>
  <c r="A60" i="1"/>
  <c r="B60" i="1"/>
  <c r="C60" i="1"/>
  <c r="D60" i="1"/>
  <c r="E60" i="1"/>
  <c r="F60" i="1"/>
  <c r="G60" i="1"/>
  <c r="H60" i="1"/>
  <c r="I60" i="1"/>
  <c r="J60" i="1"/>
  <c r="L60" i="1"/>
  <c r="M60" i="1"/>
  <c r="N60" i="1"/>
  <c r="O60" i="1"/>
  <c r="P60" i="1"/>
  <c r="Q60" i="1"/>
  <c r="R60" i="1"/>
  <c r="S60" i="1"/>
  <c r="T60" i="1"/>
  <c r="U60" i="1"/>
  <c r="V60" i="1"/>
  <c r="W60" i="1"/>
  <c r="X60" i="1"/>
  <c r="Y60" i="1"/>
  <c r="A61" i="1"/>
  <c r="B61" i="1"/>
  <c r="C61" i="1"/>
  <c r="D61" i="1"/>
  <c r="E61" i="1"/>
  <c r="F61" i="1"/>
  <c r="G61" i="1"/>
  <c r="H61" i="1"/>
  <c r="I61" i="1"/>
  <c r="J61" i="1"/>
  <c r="L61" i="1"/>
  <c r="M61" i="1"/>
  <c r="N61" i="1"/>
  <c r="O61" i="1"/>
  <c r="P61" i="1"/>
  <c r="Q61" i="1"/>
  <c r="R61" i="1"/>
  <c r="S61" i="1"/>
  <c r="T61" i="1"/>
  <c r="U61" i="1"/>
  <c r="V61" i="1"/>
  <c r="W61" i="1"/>
  <c r="X61" i="1"/>
  <c r="Y61" i="1"/>
  <c r="A62" i="1"/>
  <c r="B62" i="1"/>
  <c r="C62" i="1"/>
  <c r="D62" i="1"/>
  <c r="E62" i="1"/>
  <c r="F62" i="1"/>
  <c r="G62" i="1"/>
  <c r="H62" i="1"/>
  <c r="I62" i="1"/>
  <c r="J62" i="1"/>
  <c r="L62" i="1"/>
  <c r="M62" i="1"/>
  <c r="N62" i="1"/>
  <c r="O62" i="1"/>
  <c r="P62" i="1"/>
  <c r="Q62" i="1"/>
  <c r="R62" i="1"/>
  <c r="S62" i="1"/>
  <c r="T62" i="1"/>
  <c r="U62" i="1"/>
  <c r="V62" i="1"/>
  <c r="W62" i="1"/>
  <c r="X62" i="1"/>
  <c r="Y62" i="1"/>
  <c r="A63" i="1"/>
  <c r="B63" i="1"/>
  <c r="C63" i="1"/>
  <c r="D63" i="1"/>
  <c r="E63" i="1"/>
  <c r="F63" i="1"/>
  <c r="G63" i="1"/>
  <c r="H63" i="1"/>
  <c r="I63" i="1"/>
  <c r="J63" i="1"/>
  <c r="L63" i="1"/>
  <c r="M63" i="1"/>
  <c r="N63" i="1"/>
  <c r="O63" i="1"/>
  <c r="P63" i="1"/>
  <c r="Q63" i="1"/>
  <c r="R63" i="1"/>
  <c r="S63" i="1"/>
  <c r="T63" i="1"/>
  <c r="U63" i="1"/>
  <c r="V63" i="1"/>
  <c r="W63" i="1"/>
  <c r="X63" i="1"/>
  <c r="Y63" i="1"/>
  <c r="A64" i="1"/>
  <c r="B64" i="1"/>
  <c r="C64" i="1"/>
  <c r="D64" i="1"/>
  <c r="E64" i="1"/>
  <c r="F64" i="1"/>
  <c r="G64" i="1"/>
  <c r="H64" i="1"/>
  <c r="I64" i="1"/>
  <c r="J64" i="1"/>
  <c r="L64" i="1"/>
  <c r="M64" i="1"/>
  <c r="N64" i="1"/>
  <c r="O64" i="1"/>
  <c r="P64" i="1"/>
  <c r="Q64" i="1"/>
  <c r="R64" i="1"/>
  <c r="S64" i="1"/>
  <c r="T64" i="1"/>
  <c r="U64" i="1"/>
  <c r="V64" i="1"/>
  <c r="W64" i="1"/>
  <c r="X64" i="1"/>
  <c r="Y64" i="1"/>
  <c r="A65" i="1"/>
  <c r="B65" i="1"/>
  <c r="C65" i="1"/>
  <c r="D65" i="1"/>
  <c r="E65" i="1"/>
  <c r="F65" i="1"/>
  <c r="G65" i="1"/>
  <c r="H65" i="1"/>
  <c r="I65" i="1"/>
  <c r="J65" i="1"/>
  <c r="L65" i="1"/>
  <c r="M65" i="1"/>
  <c r="N65" i="1"/>
  <c r="O65" i="1"/>
  <c r="P65" i="1"/>
  <c r="Q65" i="1"/>
  <c r="R65" i="1"/>
  <c r="S65" i="1"/>
  <c r="T65" i="1"/>
  <c r="U65" i="1"/>
  <c r="V65" i="1"/>
  <c r="W65" i="1"/>
  <c r="X65" i="1"/>
  <c r="Y65" i="1"/>
  <c r="A66" i="1"/>
  <c r="B66" i="1"/>
  <c r="C66" i="1"/>
  <c r="D66" i="1"/>
  <c r="E66" i="1"/>
  <c r="F66" i="1"/>
  <c r="G66" i="1"/>
  <c r="H66" i="1"/>
  <c r="I66" i="1"/>
  <c r="J66" i="1"/>
  <c r="L66" i="1"/>
  <c r="M66" i="1"/>
  <c r="N66" i="1"/>
  <c r="O66" i="1"/>
  <c r="P66" i="1"/>
  <c r="Q66" i="1"/>
  <c r="R66" i="1"/>
  <c r="S66" i="1"/>
  <c r="T66" i="1"/>
  <c r="U66" i="1"/>
  <c r="V66" i="1"/>
  <c r="W66" i="1"/>
  <c r="X66" i="1"/>
  <c r="Y66" i="1"/>
  <c r="A67" i="1"/>
  <c r="B67" i="1"/>
  <c r="C67" i="1"/>
  <c r="D67" i="1"/>
  <c r="E67" i="1"/>
  <c r="F67" i="1"/>
  <c r="G67" i="1"/>
  <c r="H67" i="1"/>
  <c r="I67" i="1"/>
  <c r="J67" i="1"/>
  <c r="K67" i="1"/>
  <c r="L67" i="1"/>
  <c r="M67" i="1"/>
  <c r="N67" i="1"/>
  <c r="O67" i="1"/>
  <c r="P67" i="1"/>
  <c r="Q67" i="1"/>
  <c r="R67" i="1"/>
  <c r="S67" i="1"/>
  <c r="T67" i="1"/>
  <c r="U67" i="1"/>
  <c r="V67" i="1"/>
  <c r="W67" i="1"/>
  <c r="X67" i="1"/>
  <c r="Y67" i="1"/>
  <c r="A68" i="1"/>
  <c r="B68" i="1"/>
  <c r="C68" i="1"/>
  <c r="D68" i="1"/>
  <c r="E68" i="1"/>
  <c r="F68" i="1"/>
  <c r="G68" i="1"/>
  <c r="H68" i="1"/>
  <c r="I68" i="1"/>
  <c r="J68" i="1"/>
  <c r="K68" i="1"/>
  <c r="L68" i="1"/>
  <c r="M68" i="1"/>
  <c r="N68" i="1"/>
  <c r="O68" i="1"/>
  <c r="P68" i="1"/>
  <c r="Q68" i="1"/>
  <c r="R68" i="1"/>
  <c r="S68" i="1"/>
  <c r="T68" i="1"/>
  <c r="U68" i="1"/>
  <c r="V68" i="1"/>
  <c r="W68" i="1"/>
  <c r="X68" i="1"/>
  <c r="Y68" i="1"/>
  <c r="A69" i="1"/>
  <c r="B69" i="1"/>
  <c r="C69" i="1"/>
  <c r="D69" i="1"/>
  <c r="E69" i="1"/>
  <c r="F69" i="1"/>
  <c r="G69" i="1"/>
  <c r="H69" i="1"/>
  <c r="I69" i="1"/>
  <c r="J69" i="1"/>
  <c r="K69" i="1"/>
  <c r="L69" i="1"/>
  <c r="M69" i="1"/>
  <c r="N69" i="1"/>
  <c r="O69" i="1"/>
  <c r="P69" i="1"/>
  <c r="Q69" i="1"/>
  <c r="R69" i="1"/>
  <c r="S69" i="1"/>
  <c r="T69" i="1"/>
  <c r="U69" i="1"/>
  <c r="V69" i="1"/>
  <c r="W69" i="1"/>
  <c r="X69" i="1"/>
  <c r="Y69" i="1"/>
  <c r="A70" i="1"/>
  <c r="B70" i="1"/>
  <c r="C70" i="1"/>
  <c r="D70" i="1"/>
  <c r="E70" i="1"/>
  <c r="F70" i="1"/>
  <c r="G70" i="1"/>
  <c r="H70" i="1"/>
  <c r="I70" i="1"/>
  <c r="J70" i="1"/>
  <c r="K70" i="1"/>
  <c r="L70" i="1"/>
  <c r="M70" i="1"/>
  <c r="N70" i="1"/>
  <c r="O70" i="1"/>
  <c r="P70" i="1"/>
  <c r="Q70" i="1"/>
  <c r="R70" i="1"/>
  <c r="S70" i="1"/>
  <c r="T70" i="1"/>
  <c r="U70" i="1"/>
  <c r="V70" i="1"/>
  <c r="W70" i="1"/>
  <c r="X70" i="1"/>
  <c r="Y70" i="1"/>
  <c r="A71" i="1"/>
  <c r="B71" i="1"/>
  <c r="C71" i="1"/>
  <c r="D71" i="1"/>
  <c r="E71" i="1"/>
  <c r="F71" i="1"/>
  <c r="G71" i="1"/>
  <c r="H71" i="1"/>
  <c r="I71" i="1"/>
  <c r="J71" i="1"/>
  <c r="K71" i="1"/>
  <c r="L71" i="1"/>
  <c r="M71" i="1"/>
  <c r="N71" i="1"/>
  <c r="O71" i="1"/>
  <c r="P71" i="1"/>
  <c r="Q71" i="1"/>
  <c r="R71" i="1"/>
  <c r="S71" i="1"/>
  <c r="T71" i="1"/>
  <c r="U71" i="1"/>
  <c r="V71" i="1"/>
  <c r="W71" i="1"/>
  <c r="X71" i="1"/>
  <c r="Y71" i="1"/>
  <c r="A72" i="1"/>
  <c r="B72" i="1"/>
  <c r="C72" i="1"/>
  <c r="D72" i="1"/>
  <c r="E72" i="1"/>
  <c r="F72" i="1"/>
  <c r="G72" i="1"/>
  <c r="H72" i="1"/>
  <c r="I72" i="1"/>
  <c r="J72" i="1"/>
  <c r="K72" i="1"/>
  <c r="M72" i="1"/>
  <c r="N72" i="1"/>
  <c r="O72" i="1"/>
  <c r="P72" i="1"/>
  <c r="Q72" i="1"/>
  <c r="R72" i="1"/>
  <c r="S72" i="1"/>
  <c r="T72" i="1"/>
  <c r="U72" i="1"/>
  <c r="V72" i="1"/>
  <c r="W72" i="1"/>
  <c r="X72" i="1"/>
  <c r="Y72" i="1"/>
  <c r="A73" i="1"/>
  <c r="B73" i="1"/>
  <c r="C73" i="1"/>
  <c r="D73" i="1"/>
  <c r="E73" i="1"/>
  <c r="F73" i="1"/>
  <c r="G73" i="1"/>
  <c r="H73" i="1"/>
  <c r="I73" i="1"/>
  <c r="J73" i="1"/>
  <c r="K73" i="1"/>
  <c r="L73" i="1"/>
  <c r="M73" i="1"/>
  <c r="N73" i="1"/>
  <c r="O73" i="1"/>
  <c r="P73" i="1"/>
  <c r="Q73" i="1"/>
  <c r="R73" i="1"/>
  <c r="S73" i="1"/>
  <c r="T73" i="1"/>
  <c r="U73" i="1"/>
  <c r="V73" i="1"/>
  <c r="W73" i="1"/>
  <c r="X73" i="1"/>
  <c r="Y73" i="1"/>
  <c r="A74" i="1"/>
  <c r="B74" i="1"/>
  <c r="C74" i="1"/>
  <c r="D74" i="1"/>
  <c r="E74" i="1"/>
  <c r="F74" i="1"/>
  <c r="G74" i="1"/>
  <c r="H74" i="1"/>
  <c r="I74" i="1"/>
  <c r="J74" i="1"/>
  <c r="K74" i="1"/>
  <c r="L74" i="1"/>
  <c r="M74" i="1"/>
  <c r="N74" i="1"/>
  <c r="O74" i="1"/>
  <c r="P74" i="1"/>
  <c r="Q74" i="1"/>
  <c r="R74" i="1"/>
  <c r="S74" i="1"/>
  <c r="T74" i="1"/>
  <c r="U74" i="1"/>
  <c r="V74" i="1"/>
  <c r="W74" i="1"/>
  <c r="X74" i="1"/>
  <c r="Y74" i="1"/>
  <c r="A75" i="1"/>
  <c r="B75" i="1"/>
  <c r="C75" i="1"/>
  <c r="D75" i="1"/>
  <c r="E75" i="1"/>
  <c r="F75" i="1"/>
  <c r="G75" i="1"/>
  <c r="H75" i="1"/>
  <c r="I75" i="1"/>
  <c r="J75" i="1"/>
  <c r="K75" i="1"/>
  <c r="L75" i="1"/>
  <c r="M75" i="1"/>
  <c r="N75" i="1"/>
  <c r="O75" i="1"/>
  <c r="P75" i="1"/>
  <c r="Q75" i="1"/>
  <c r="R75" i="1"/>
  <c r="S75" i="1"/>
  <c r="T75" i="1"/>
  <c r="U75" i="1"/>
  <c r="V75" i="1"/>
  <c r="W75" i="1"/>
  <c r="X75" i="1"/>
  <c r="Y75" i="1"/>
  <c r="A76" i="1"/>
  <c r="B76" i="1"/>
  <c r="C76" i="1"/>
  <c r="D76" i="1"/>
  <c r="E76" i="1"/>
  <c r="F76" i="1"/>
  <c r="G76" i="1"/>
  <c r="H76" i="1"/>
  <c r="I76" i="1"/>
  <c r="J76" i="1"/>
  <c r="K76" i="1"/>
  <c r="L76" i="1"/>
  <c r="M76" i="1"/>
  <c r="N76" i="1"/>
  <c r="O76" i="1"/>
  <c r="P76" i="1"/>
  <c r="Q76" i="1"/>
  <c r="R76" i="1"/>
  <c r="S76" i="1"/>
  <c r="T76" i="1"/>
  <c r="U76" i="1"/>
  <c r="V76" i="1"/>
  <c r="W76" i="1"/>
  <c r="X76" i="1"/>
  <c r="Y76" i="1"/>
  <c r="A77" i="1"/>
  <c r="B77" i="1"/>
  <c r="C77" i="1"/>
  <c r="D77" i="1"/>
  <c r="E77" i="1"/>
  <c r="F77" i="1"/>
  <c r="G77" i="1"/>
  <c r="H77" i="1"/>
  <c r="I77" i="1"/>
  <c r="J77" i="1"/>
  <c r="K77" i="1"/>
  <c r="L77" i="1"/>
  <c r="M77" i="1"/>
  <c r="N77" i="1"/>
  <c r="O77" i="1"/>
  <c r="P77" i="1"/>
  <c r="Q77" i="1"/>
  <c r="R77" i="1"/>
  <c r="S77" i="1"/>
  <c r="T77" i="1"/>
  <c r="U77" i="1"/>
  <c r="V77" i="1"/>
  <c r="W77" i="1"/>
  <c r="X77" i="1"/>
  <c r="Y77" i="1"/>
  <c r="A78" i="1"/>
  <c r="B78" i="1"/>
  <c r="C78" i="1"/>
  <c r="D78" i="1"/>
  <c r="E78" i="1"/>
  <c r="F78" i="1"/>
  <c r="G78" i="1"/>
  <c r="H78" i="1"/>
  <c r="I78" i="1"/>
  <c r="J78" i="1"/>
  <c r="K78" i="1"/>
  <c r="L78" i="1"/>
  <c r="M78" i="1"/>
  <c r="N78" i="1"/>
  <c r="O78" i="1"/>
  <c r="P78" i="1"/>
  <c r="Q78" i="1"/>
  <c r="R78" i="1"/>
  <c r="S78" i="1"/>
  <c r="T78" i="1"/>
  <c r="U78" i="1"/>
  <c r="V78" i="1"/>
  <c r="W78" i="1"/>
  <c r="X78" i="1"/>
  <c r="Y78" i="1"/>
  <c r="A79" i="1"/>
  <c r="B79" i="1"/>
  <c r="C79" i="1"/>
  <c r="D79" i="1"/>
  <c r="E79" i="1"/>
  <c r="F79" i="1"/>
  <c r="G79" i="1"/>
  <c r="H79" i="1"/>
  <c r="I79" i="1"/>
  <c r="J79" i="1"/>
  <c r="K79" i="1"/>
  <c r="L79" i="1"/>
  <c r="M79" i="1"/>
  <c r="N79" i="1"/>
  <c r="O79" i="1"/>
  <c r="P79" i="1"/>
  <c r="Q79" i="1"/>
  <c r="R79" i="1"/>
  <c r="S79" i="1"/>
  <c r="T79" i="1"/>
  <c r="U79" i="1"/>
  <c r="V79" i="1"/>
  <c r="W79" i="1"/>
  <c r="X79" i="1"/>
  <c r="Y79" i="1"/>
  <c r="A80" i="1"/>
  <c r="B80" i="1"/>
  <c r="C80" i="1"/>
  <c r="D80" i="1"/>
  <c r="E80" i="1"/>
  <c r="F80" i="1"/>
  <c r="G80" i="1"/>
  <c r="H80" i="1"/>
  <c r="I80" i="1"/>
  <c r="J80" i="1"/>
  <c r="K80" i="1"/>
  <c r="L80" i="1"/>
  <c r="M80" i="1"/>
  <c r="N80" i="1"/>
  <c r="O80" i="1"/>
  <c r="P80" i="1"/>
  <c r="Q80" i="1"/>
  <c r="R80" i="1"/>
  <c r="S80" i="1"/>
  <c r="T80" i="1"/>
  <c r="U80" i="1"/>
  <c r="V80" i="1"/>
  <c r="W80" i="1"/>
  <c r="X80" i="1"/>
  <c r="Y80" i="1"/>
  <c r="A81" i="1"/>
  <c r="B81" i="1"/>
  <c r="C81" i="1"/>
  <c r="D81" i="1"/>
  <c r="E81" i="1"/>
  <c r="F81" i="1"/>
  <c r="G81" i="1"/>
  <c r="H81" i="1"/>
  <c r="I81" i="1"/>
  <c r="J81" i="1"/>
  <c r="K81" i="1"/>
  <c r="L81" i="1"/>
  <c r="M81" i="1"/>
  <c r="N81" i="1"/>
  <c r="O81" i="1"/>
  <c r="P81" i="1"/>
  <c r="Q81" i="1"/>
  <c r="R81" i="1"/>
  <c r="S81" i="1"/>
  <c r="T81" i="1"/>
  <c r="U81" i="1"/>
  <c r="V81" i="1"/>
  <c r="W81" i="1"/>
  <c r="X81" i="1"/>
  <c r="Y81" i="1"/>
  <c r="A82" i="1"/>
  <c r="B82" i="1"/>
  <c r="C82" i="1"/>
  <c r="D82" i="1"/>
  <c r="E82" i="1"/>
  <c r="F82" i="1"/>
  <c r="G82" i="1"/>
  <c r="H82" i="1"/>
  <c r="I82" i="1"/>
  <c r="J82" i="1"/>
  <c r="K82" i="1"/>
  <c r="L82" i="1"/>
  <c r="M82" i="1"/>
  <c r="N82" i="1"/>
  <c r="O82" i="1"/>
  <c r="P82" i="1"/>
  <c r="Q82" i="1"/>
  <c r="R82" i="1"/>
  <c r="S82" i="1"/>
  <c r="T82" i="1"/>
  <c r="U82" i="1"/>
  <c r="V82" i="1"/>
  <c r="W82" i="1"/>
  <c r="X82" i="1"/>
  <c r="Y82" i="1"/>
  <c r="A83" i="1"/>
  <c r="B83" i="1"/>
  <c r="C83" i="1"/>
  <c r="D83" i="1"/>
  <c r="E83" i="1"/>
  <c r="F83" i="1"/>
  <c r="G83" i="1"/>
  <c r="H83" i="1"/>
  <c r="I83" i="1"/>
  <c r="J83" i="1"/>
  <c r="K83" i="1"/>
  <c r="L83" i="1"/>
  <c r="M83" i="1"/>
  <c r="N83" i="1"/>
  <c r="O83" i="1"/>
  <c r="P83" i="1"/>
  <c r="Q83" i="1"/>
  <c r="R83" i="1"/>
  <c r="S83" i="1"/>
  <c r="T83" i="1"/>
  <c r="U83" i="1"/>
  <c r="V83" i="1"/>
  <c r="W83" i="1"/>
  <c r="X83" i="1"/>
  <c r="Y83" i="1"/>
  <c r="A84" i="1"/>
  <c r="AJ6" i="33"/>
  <c r="AJ8" i="33"/>
  <c r="AJ9" i="22" l="1"/>
  <c r="AJ14" i="22"/>
  <c r="A16" i="22"/>
  <c r="B16" i="22"/>
  <c r="C16"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17" i="22"/>
  <c r="B17"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18" i="22"/>
  <c r="B18"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19" i="22"/>
  <c r="B19"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20" i="22"/>
  <c r="B20" i="22"/>
  <c r="C20"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21"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22" i="22"/>
  <c r="B22" i="22"/>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23" i="22"/>
  <c r="B23" i="22"/>
  <c r="C23"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24" i="22"/>
  <c r="B24" i="22"/>
  <c r="C24"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25" i="22"/>
  <c r="B25" i="22"/>
  <c r="C25"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26" i="22"/>
  <c r="B26" i="22"/>
  <c r="C26"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27" i="22"/>
  <c r="B27" i="22"/>
  <c r="C27"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28" i="22"/>
  <c r="B28" i="22"/>
  <c r="C28"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29" i="22"/>
  <c r="B29" i="22"/>
  <c r="C29"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30" i="22"/>
  <c r="B30" i="22"/>
  <c r="C30"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Q1" authorId="0" shapeId="0" xr:uid="{EA168E3F-A395-44B6-A196-B08778A10ECE}">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<sst xmlns="http://schemas.openxmlformats.org/spreadsheetml/2006/main" count="7656" uniqueCount="2587">
  <si>
    <t>Estimación por complejidad</t>
  </si>
  <si>
    <t>días calendario</t>
  </si>
  <si>
    <t>Alta</t>
  </si>
  <si>
    <t>Media</t>
  </si>
  <si>
    <t>Baja</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</si>
  <si>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</si>
  <si>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</si>
  <si>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</si>
  <si>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</si>
  <si>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</si>
  <si>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</si>
  <si>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</si>
  <si>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</si>
  <si>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</si>
  <si>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</si>
  <si>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</si>
  <si>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IT BP</t>
  </si>
  <si>
    <t>Fecha de entrega requerida</t>
  </si>
  <si>
    <t>Proyecto SPO</t>
  </si>
  <si>
    <t>Workstream del proyecto SPO</t>
  </si>
  <si>
    <t>ID SPO</t>
  </si>
  <si>
    <t>Tipo de iniciativa</t>
  </si>
  <si>
    <t>Descripción del problema o desafío</t>
  </si>
  <si>
    <t>Situación deseada</t>
  </si>
  <si>
    <t>Procesos y áreas impactadas</t>
  </si>
  <si>
    <t>Usuarios beneficiados1</t>
  </si>
  <si>
    <t>Pilar estratégico</t>
  </si>
  <si>
    <t>Forma parte de la estabilización de procesos  SIS</t>
  </si>
  <si>
    <t>Beneficio cuantitativo (anual)</t>
  </si>
  <si>
    <t>Beneficios cualitativos</t>
  </si>
  <si>
    <t>Adjuntar ppt de la iniciativa</t>
  </si>
  <si>
    <t>Puntaje sugerido</t>
  </si>
  <si>
    <t>Puntaje Sugerido</t>
  </si>
  <si>
    <t>Líder de Dominio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</si>
  <si>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</si>
  <si>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</si>
  <si>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</si>
  <si>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</si>
  <si>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</si>
  <si>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</si>
  <si>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</si>
  <si>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</si>
  <si>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</si>
  <si>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</si>
  <si>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</si>
  <si>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</si>
  <si>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</si>
  <si>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</si>
  <si>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</si>
  <si>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</si>
  <si>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</si>
  <si>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</si>
  <si>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CORPORATIVO</t>
  </si>
  <si>
    <t>Martin Fienkeng - CISO/CIO Corp</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</si>
  <si>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</si>
  <si>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203.pdf</t>
  </si>
  <si>
    <t>Ninguno</t>
  </si>
  <si>
    <t>No</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</si>
  <si>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</si>
  <si>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</si>
  <si>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</si>
  <si>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 xml:space="preserve">Aplicaciones y Sistemas - Soluciones LMS y Otros Servicios Académicos
Aplicaciones en alcance:
- Smile UPN
- Smile UPC
</t>
  </si>
  <si>
    <t>Todos</t>
  </si>
  <si>
    <t>Excelencia operativa</t>
  </si>
  <si>
    <t>Mayor a S/500,000.00</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</si>
  <si>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</si>
  <si>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</si>
  <si>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Carlos Quenema</t>
  </si>
  <si>
    <t>AM</t>
  </si>
  <si>
    <t>Incompleto</t>
  </si>
  <si>
    <t>04/06: Se tuvo reunión con Seguridad y se acordó que nos compartirán el plan de trabajo. Sin esto no se puede estimar. No tenemos fecha de compromiso de entrega. Consultaremos.Aún en fechas</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</si>
  <si>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</si>
  <si>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</si>
  <si>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</si>
  <si>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</si>
  <si>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UPC</t>
  </si>
  <si>
    <t>Milagros Morgan - Rectorado UPC</t>
  </si>
  <si>
    <t>Diego Vega Casto - Sayan</t>
  </si>
  <si>
    <t>https://educorpperu-my.sharepoint.com/personal/diana_zapata_laureate_pe1/Documents/Aplicaciones/Microsoft%20Forms/REGISTRO%20DE%20INICIATIVAS%20-%20GESTI%C3%93N%20DE%20LA%20DEMANDA%20(2%201/Pregunta/Aprobaci%C3%B3n%20Miguel_Requerimientos%20SisAcaUPC_Davies%20Galdos%20Yactay%201.pdf</t>
  </si>
  <si>
    <t>Otro</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</si>
  <si>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</si>
  <si>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</si>
  <si>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Alumnos</t>
  </si>
  <si>
    <t>Si</t>
  </si>
  <si>
    <t>No cuantificado o S/0</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</si>
  <si>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</si>
  <si>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</si>
  <si>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04/06: Con la información compartida no es posible hacer una estimación.</t>
  </si>
  <si>
    <t>renzo.saenz@laureate.pe</t>
  </si>
  <si>
    <t>Renzo Sáenz Dávila</t>
  </si>
  <si>
    <t>[47] Finanzas: Proceso de reversas</t>
  </si>
  <si>
    <t>Alex Pendavis - VP Finanzas</t>
  </si>
  <si>
    <t>Rafael Andrade</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</si>
  <si>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</si>
  <si>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</si>
  <si>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</si>
  <si>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</si>
  <si>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Elmer Zapata</t>
  </si>
  <si>
    <t>04/06: Para poder estimar se necesita mayor detalle</t>
  </si>
  <si>
    <t>[281] Pago por crédito / curso (PxC)</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</si>
  <si>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</si>
  <si>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</si>
  <si>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</si>
  <si>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</si>
  <si>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</si>
  <si>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</si>
  <si>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</si>
  <si>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</si>
  <si>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</si>
  <si>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</si>
  <si>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</si>
  <si>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</si>
  <si>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</si>
  <si>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</si>
  <si>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</si>
  <si>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</si>
  <si>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</si>
  <si>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</si>
  <si>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Manuel Cortéz Fontcuberta</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</si>
  <si>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</si>
  <si>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</si>
  <si>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</si>
  <si>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Ana María Rojas</t>
  </si>
  <si>
    <t>04/06: Intervienen en la estimación: Digital Tech, Dominio Gestión Docente y Gestión Académica.
Se necesita mayor detalle de lo que se quiere mostrar en la página.</t>
  </si>
  <si>
    <t>carla.arias@laureate.pe</t>
  </si>
  <si>
    <t>Carla Arias Schreiber Ulloa</t>
  </si>
  <si>
    <t>[247] Registro de Horarios personalizado masivo (matricula)</t>
  </si>
  <si>
    <t>Miguel Chang</t>
  </si>
  <si>
    <t>https://educorpperu-my.sharepoint.com/personal/diana_zapata_laureate_pe1/Documents/Aplicaciones/Microsoft%20Forms/REGISTRO%20DE%20INICIATIVAS%20-%20GESTI%C3%93N%20DE%20LA%20DEMANDA%20(2%201/Pregunta/Aprobaci%C3%B3n%20Miguel_Requerimientos%20SisAcaUPC_Carla%20Arias%20Schreibe%206.pdf</t>
  </si>
  <si>
    <t>Ver archivo adjunto con información del requerimiento. Link: https://educorpperu.sharepoint.com/:x:/s/Repositorio_EquipoCentral/dit/portafoliosyp/IQBPjj-nPuoDQbtwySJjx2sbAR4Cx0FwHcOnpoZf6N5wGdw?e=Qxpak16</t>
  </si>
  <si>
    <t>Administrativos</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</si>
  <si>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</si>
  <si>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</si>
  <si>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Ana Vega</t>
  </si>
  <si>
    <t>04/06: Se ha tenido reunión con el usuario y no tienen claro el requerimiento. Es necesario se tenga mayor detalle del mismo para podr estimar.</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</si>
  <si>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</si>
  <si>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</si>
  <si>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</si>
  <si>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</si>
  <si>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nicolas.morales@laureate.pe</t>
  </si>
  <si>
    <t>Nicolas Morales Chumpitaz</t>
  </si>
  <si>
    <t>Mejora en el proceso de Matrícula WeTalk</t>
  </si>
  <si>
    <t>Necesitamos mejorar el proceso de Matrícula con reglas de negocio claras, a fin de tener agilidad del proceso mediante la simplificación y soporte de soluciones tecnológicas.</t>
  </si>
  <si>
    <t>Sara Miller</t>
  </si>
  <si>
    <t>https://educorpperu-my.sharepoint.com/personal/diana_zapata_laureate_pe1/Documents/Aplicaciones/Microsoft%20Forms/REGISTRO%20DE%20INICIATIVAS%20-%20GESTI%C3%93N%20DE%20LA%20DEMANDA%20(2%201/Pregunta/RE%20SPO%20Iniciativa%20Productividad%20WeTalk%20cLEAN_Nicolas%20Morales%20Chum%203.png</t>
  </si>
  <si>
    <t>G&amp;A</t>
  </si>
  <si>
    <t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t>
  </si>
  <si>
    <t>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t>
  </si>
  <si>
    <t>WeTalk UPC</t>
  </si>
  <si>
    <t>Menor a S/100,000.00</t>
  </si>
  <si>
    <t>Mejora en la experiencia del colaborador
Reducción de un tiempo operativo por demoras en tiempo de respuesta</t>
  </si>
  <si>
    <t>https://educorpperu-my.sharepoint.com/personal/diana_zapata_laureate_pe1/_layouts/15/Doc.aspx?sourcedoc=%7B8CDBE70E-7BB8-4804-AF04-26DEBBF272D7%7D&amp;file=LEAN%2BIA_Pitch%20TI_WeTALK%20(1)_Nicolas%20Morales%20Chum.pptx&amp;action=edit&amp;mobileredirect=true</t>
  </si>
  <si>
    <t>Nicolas Morales</t>
  </si>
  <si>
    <t>- 11/06: SPO debe información para el nuevo alcance.</t>
  </si>
  <si>
    <t>javier.santiago@laureate.pe</t>
  </si>
  <si>
    <t>Javier Santiago Modesto</t>
  </si>
  <si>
    <t>Implementación de una Api Banner para consultar los asesores de alumnos cachimbo - Onboarding Portal del Estudiante UPN</t>
  </si>
  <si>
    <t>Necesitamos mostrar a los alumnos cachimbos sus asesores designados, para garantizar la experiencia en Onboarding, logrando que el 100% de alumnos cachimbos esten informados correctamente acerca de sus clases en el primer periodo académico.</t>
  </si>
  <si>
    <t>UPN</t>
  </si>
  <si>
    <t>Mónica García - VP Operaciones Digitales y Online</t>
  </si>
  <si>
    <t xml:space="preserve">Janny Nicasio </t>
  </si>
  <si>
    <t>Carla Arias-Schreiber</t>
  </si>
  <si>
    <t>El proceso de solicitud de constancia de matricula se consultan cuatro distintas APIs para validar la información del estudiante solicitante, afectando la performance de la respuesta y generando errores de consistencia de datos.</t>
  </si>
  <si>
    <t>Tener una Api Banner (servicios web) para obtener los asesores de cachimbos mediante el codigo del estudiante.</t>
  </si>
  <si>
    <t>Onboarding del Portal del Estudiante</t>
  </si>
  <si>
    <t>Experiencia</t>
  </si>
  <si>
    <t>No cuantificado o S/0</t>
  </si>
  <si>
    <t>Mejora de experiencia del alumno en Onboarding</t>
  </si>
  <si>
    <t>1.15</t>
  </si>
  <si>
    <t>11/06: Necesitamos conocer en qué parte de Banner se visualiza el asesor asignado al estudiante</t>
  </si>
  <si>
    <t>Evidencia de la aprobación del VP o Director</t>
  </si>
  <si>
    <t xml:space="preserve"> Workstream del proyecto SPO</t>
  </si>
  <si>
    <t>Usuarios beneficiados</t>
  </si>
  <si>
    <t>Estabilización de procesos  SIS</t>
  </si>
  <si>
    <t>Adjuntos</t>
  </si>
  <si>
    <t>Costo total dolares</t>
  </si>
  <si>
    <t>Costo total Soles</t>
  </si>
  <si>
    <t>Supuestos</t>
  </si>
  <si>
    <t>Funcionalidad nueva (SI/NO)</t>
  </si>
  <si>
    <t>angela.lucano@laureate.pe</t>
  </si>
  <si>
    <t>Angela Lucano Carranza</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</si>
  <si>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</si>
  <si>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</si>
  <si>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</si>
  <si>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Ángela Lucano</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</si>
  <si>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</si>
  <si>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</si>
  <si>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</si>
  <si>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NO</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</si>
  <si>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</si>
  <si>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</si>
  <si>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En proceso</t>
  </si>
  <si>
    <t>11/06: Ya se tiene la stimación que es del lado de Aplicaciones y Sistemas, sin embargo, se tiene una dependencia con el área de Educación Virtual. Se consultará con EV la fecha de entrega.</t>
  </si>
  <si>
    <t>johnny.rodriguez@laureate.pe</t>
  </si>
  <si>
    <t>Johnny Rodríguez Godos</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</si>
  <si>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</si>
  <si>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</si>
  <si>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Humberto Marota - Tecnologías y transformación digital</t>
  </si>
  <si>
    <t>Franco Vera</t>
  </si>
  <si>
    <t>Jose Paredes</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</si>
  <si>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</si>
  <si>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</si>
  <si>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</si>
  <si>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Alto</t>
  </si>
  <si>
    <t>Carlos Quenema/Luis Calderón</t>
  </si>
  <si>
    <t>JR</t>
  </si>
  <si>
    <t xml:space="preserve">- La estimción debe contemplar el To Be de las integraciones de UPN.
- Se debe priorizar los componentes relacionados a pagos. </t>
  </si>
  <si>
    <t>Ambos</t>
  </si>
  <si>
    <t>Proyecto</t>
  </si>
  <si>
    <t>11/06: El tiempo y costo definido no es el final, ya que aún Arquitectura nos debe los diagramas de arquitectura propuesta de 4 mejoras. Estimamos que para el próximo jueves tengamos la estimación completa.
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</si>
  <si>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jorge.santacruz@laureate.pe</t>
  </si>
  <si>
    <t>Jorge Santa Cruz Espinoza</t>
  </si>
  <si>
    <t>Fase 2 Mis Procesos Goldenbelt</t>
  </si>
  <si>
    <t>Como parte de los acuerdos de continuidad para el proyecto de Mis Procesos Goldenbelt, en esta Fase 2 se requiere incorporar toda la documentación de procesos de Laureate Perú.</t>
  </si>
  <si>
    <t>LAUREATE</t>
  </si>
  <si>
    <t>Rossina Caballero - VP Legal</t>
  </si>
  <si>
    <t>Jorge Luis Santa Cruz Espinoza</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</si>
  <si>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</si>
  <si>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</si>
  <si>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</si>
  <si>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</si>
  <si>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</si>
  <si>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</si>
  <si>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Externos</t>
  </si>
  <si>
    <t>SI</t>
  </si>
  <si>
    <t>11/06: 1. Para la integración con HCM, el proveedor ha dado disponibilidad para la semana del 15/06. 2. La app móvil ya se configuró, pero aún presenta errores. 3. El enmascaramiento de ha desestimado.
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</si>
  <si>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franco.vera@laureate.pe</t>
  </si>
  <si>
    <t>Franco Manuel Vera Sanchez</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</si>
  <si>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</si>
  <si>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</si>
  <si>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Christian Quiroz</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</si>
  <si>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</si>
  <si>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</si>
  <si>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</si>
  <si>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</si>
  <si>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</si>
  <si>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</si>
  <si>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jose.herbozo@laureate.pe</t>
  </si>
  <si>
    <t>José Paredes Herbozo</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</si>
  <si>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</si>
  <si>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</si>
  <si>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Ivan Olivares - VP Marketing y Comercial</t>
  </si>
  <si>
    <t>Alejandro Tello</t>
  </si>
  <si>
    <t>https://educorpperu-my.sharepoint.com/personal/diana_zapata_laureate_pe1/Documents/Aplicaciones/Microsoft%20Forms/REGISTRO%20DE%20INICIATIVAS%20-%20GESTI%C3%93N%20DE%20LA%20DEMANDA%20(2%201/Pregunta/olk_GiZq5TaWKA_Jos%C3%A9%20Paredes%20Herbozo.png</t>
  </si>
  <si>
    <t>Digital &amp; IA</t>
  </si>
  <si>
    <t>Actualmente la operación manual dilata la venta.</t>
  </si>
  <si>
    <t>Se entregan todos los servicios solicitados y estos cumplen con la funcionalidad esperada</t>
  </si>
  <si>
    <t>Admisión, Marketing</t>
  </si>
  <si>
    <t>Crecimiento escalable</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</si>
  <si>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</si>
  <si>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</si>
  <si>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César Soplín</t>
  </si>
  <si>
    <t>Esta programada la estimación</t>
  </si>
  <si>
    <t>Pendiente</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</si>
  <si>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</si>
  <si>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</si>
  <si>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Daniel Ticona</t>
  </si>
  <si>
    <t>https://educorpperu-my.sharepoint.com/personal/diana_zapata_laureate_pe1/Documents/Aplicaciones/Microsoft%20Forms/REGISTRO%20DE%20INICIATIVAS%20-%20GESTI%C3%93N%20DE%20LA%20DEMANDA%20(2%201/Pregunta/RE_%20Requerimiento%20-%20Soporte%20para%20despliegue%20d_Angela%20Lucano%20Carran.pdf</t>
  </si>
  <si>
    <t>Gerson Vereau</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</si>
  <si>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</si>
  <si>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</si>
  <si>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</si>
  <si>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</si>
  <si>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</si>
  <si>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Lucia Vega</t>
  </si>
  <si>
    <t xml:space="preserve">
04/06: La estimación consiste en:
1. Validar si la nueva aplicación tiene SSO activo.
2. Desplegar aplicación en ambientes de UPC.
3. Involucrar a los dominios de Servicios Académicos (Carlos Q.)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</si>
  <si>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</si>
  <si>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</si>
  <si>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https://educorpperu-my.sharepoint.com/personal/diana_zapata_laureate_pe1/Documents/Aplicaciones/Microsoft%20Forms/REGISTRO%20DE%20INICIATIVAS%20-%20GESTI%C3%93N%20DE%20LA%20DEMANDA%20(2%201/Pregunta/RE_%20Requerimiento%20-%20Web%20SICA%202.0_Angela%20Lucano%20Carran.pdf</t>
  </si>
  <si>
    <t>Seguridad de la información</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</si>
  <si>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</si>
  <si>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</si>
  <si>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</si>
  <si>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</si>
  <si>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</si>
  <si>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Hugo Vega</t>
  </si>
  <si>
    <t>Es un proyecto nuevo</t>
  </si>
  <si>
    <t xml:space="preserve">Esta aplicación se tiene que re-hacer e incluir las nuevas funcionalidades solicitadas por el usuario </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</si>
  <si>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</si>
  <si>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</si>
  <si>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Álvaro Valdez - VP Operaciones</t>
  </si>
  <si>
    <t xml:space="preserve">Sharon Chou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</si>
  <si>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</si>
  <si>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</si>
  <si>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</si>
  <si>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</si>
  <si>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</si>
  <si>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</si>
  <si>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Ruddy Pereda</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</si>
  <si>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</si>
  <si>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</si>
  <si>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Lizbeth Bautista - Gerente de Canales Inbound</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</si>
  <si>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</si>
  <si>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</si>
  <si>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</si>
  <si>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</si>
  <si>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</si>
  <si>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</si>
  <si>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</si>
  <si>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</si>
  <si>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</si>
  <si>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</si>
  <si>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</si>
  <si>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</si>
  <si>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</si>
  <si>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</si>
  <si>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</si>
  <si>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</si>
  <si>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</si>
  <si>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</si>
  <si>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</si>
  <si>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</si>
  <si>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</si>
  <si>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</si>
  <si>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</si>
  <si>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</si>
  <si>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https://educorpperu-my.sharepoint.com/personal/diana_zapata_laureate_pe1/Documents/Aplicaciones/Microsoft%20Forms/REGISTRO%20DE%20INICIATIVAS%20-%20GESTI%C3%93N%20DE%20LA%20DEMANDA%20(2%201/Pregunta/Implementaci%C3%B3n%20Microsegmentaci%C3%B3n%20Illumio_Carlos%20Sanchez%20Rubio%204.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</si>
  <si>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</si>
  <si>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Infraestructura
Aplicaciones en alcance:
- Active Directories</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</si>
  <si>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</si>
  <si>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Johnnel Ayala</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</si>
  <si>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</si>
  <si>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</si>
  <si>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</si>
  <si>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Luis Calderon</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</si>
  <si>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</si>
  <si>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</si>
  <si>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</si>
  <si>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</si>
  <si>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</si>
  <si>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</si>
  <si>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</si>
  <si>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</si>
  <si>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</si>
  <si>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</si>
  <si>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</si>
  <si>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</si>
  <si>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</si>
  <si>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nancy.fernandez@laureate.pe</t>
  </si>
  <si>
    <t>Nancy Fernandez Ventosilla</t>
  </si>
  <si>
    <t>Conectar Sócrates con el nuevo Spring CIB</t>
  </si>
  <si>
    <t>Conectar Sócrates con el nuevo Spring CIB para que funcione como el modelo UPC</t>
  </si>
  <si>
    <t>CIB</t>
  </si>
  <si>
    <t>Danilo Nogueira Tauil</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</si>
  <si>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</si>
  <si>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</si>
  <si>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</si>
  <si>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</si>
  <si>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</si>
  <si>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</si>
  <si>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04/06: Es complejidad alta, pero conocemos la criticidad del caso por lo que trataremos de tener la estimación lo antes posible.</t>
  </si>
  <si>
    <t>Implementar FOCO y demás modalidades en Banner CIB</t>
  </si>
  <si>
    <t>Implementar FOCO y demás modalidades en Banner CIB para no depender de Socrates y puedan funcionar con Lego</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</si>
  <si>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</si>
  <si>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</si>
  <si>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</si>
  <si>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</si>
  <si>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</si>
  <si>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</si>
  <si>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</si>
  <si>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</si>
  <si>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</si>
  <si>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</si>
  <si>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</si>
  <si>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</si>
  <si>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</si>
  <si>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</si>
  <si>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</si>
  <si>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</si>
  <si>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</si>
  <si>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Docentes</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</si>
  <si>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</si>
  <si>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11/06: Este requerimiento se trata de hacer un nuevo trámite. Se coordinará con Digital Tech para ver cómo afrontaremos la estimación
10/06: En revision preliminar con el usuario deberia ser como el flujo de un tramite, por tanto deberia ser un tramite nuevo (Luego de la planificacion horaria masiva los programas solicitan cambios en la programacion horaria del algun NRC por ejemplo), esta solicitud deberia llegar aun grupo del equipo de Johnny Valera para que aprueben o no, para que despues ejecuten en banner si corresponde, Necesitan trazabailidad del cambio. Pendiente sesion con acelerador al ser tramite nuevo?</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</si>
  <si>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</si>
  <si>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</si>
  <si>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</si>
  <si>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</si>
  <si>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</si>
  <si>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</si>
  <si>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</si>
  <si>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</si>
  <si>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</si>
  <si>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</si>
  <si>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 - Director de Gestión del Conocimiento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</si>
  <si>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</si>
  <si>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</si>
  <si>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</si>
  <si>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</si>
  <si>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</si>
  <si>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</si>
  <si>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Nohelí Cabrera</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</si>
  <si>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</si>
  <si>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</si>
  <si>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Martín Santana - Rectorado UPN</t>
  </si>
  <si>
    <t>Luz Marina Flores</t>
  </si>
  <si>
    <t>https://educorpperu-my.sharepoint.com/personal/diana_zapata_laureate_pe1/Documents/Aplicaciones/Microsoft%20Forms/REGISTRO%20DE%20INICIATIVAS%20-%20GESTI%C3%93N%20DE%20LA%20DEMANDA%20(2%201/Pregunta/VB%20Direcci%C3%B3n%20de%20Operaciones%20Acad%C3%A9micas_Carla%20Arias%20Schreibe%201.png</t>
  </si>
  <si>
    <t>Normativa</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</si>
  <si>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</si>
  <si>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</si>
  <si>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</si>
  <si>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Excelencia académica</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</si>
  <si>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</si>
  <si>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</si>
  <si>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Finalizada</t>
  </si>
  <si>
    <t>11/06:  El dia de hoy se implanto en produccion el cambio (actualizar la logica de modulos para retiro de cursos para todo Pregrado - duracion del curso/modulo, antes solo aplicaba a Working Adult). Ya no aplica estimar.</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</si>
  <si>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</si>
  <si>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</si>
  <si>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Tairi Ruillier- VP Personas y Cultura</t>
  </si>
  <si>
    <t>Alfredo Ávalos</t>
  </si>
  <si>
    <t>https://educorpperu-my.sharepoint.com/personal/diana_zapata_laureate_pe1/Documents/Aplicaciones/Microsoft%20Forms/REGISTRO%20DE%20INICIATIVAS%20-%20GESTI%C3%93N%20DE%20LA%20DEMANDA%20(2%201/Pregunta/RE%20%5BSPO%5D%20Iniciativa%20Productividad%20GTH%20cLEAN+I_Nicolas%20Morales%20Chum.png</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</si>
  <si>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</si>
  <si>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</si>
  <si>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</si>
  <si>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Entre S/100,000.00 y S/500,000.00</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</si>
  <si>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</si>
  <si>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</si>
  <si>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</si>
  <si>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</si>
  <si>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</si>
  <si>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</si>
  <si>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</si>
  <si>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</si>
  <si>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</si>
  <si>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</si>
  <si>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</si>
  <si>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</si>
  <si>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</si>
  <si>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SARA MARIE MILLER</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</si>
  <si>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</si>
  <si>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</si>
  <si>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</si>
  <si>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</si>
  <si>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</si>
  <si>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</si>
  <si>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</si>
  <si>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</si>
  <si>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</si>
  <si>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</si>
  <si>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</si>
  <si>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</si>
  <si>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</si>
  <si>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</si>
  <si>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</si>
  <si>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</si>
  <si>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</si>
  <si>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</si>
  <si>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</si>
  <si>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</si>
  <si>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</si>
  <si>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</si>
  <si>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</si>
  <si>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</si>
  <si>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Actualización en tiempo real del campo "Monto a Pagar" del CRM</t>
  </si>
  <si>
    <t xml:space="preserve">Poder extraer este campo como parte de las vistas de "Matrícula" que se tiene desde CRM. </t>
  </si>
  <si>
    <t>Álvaro Verástegui</t>
  </si>
  <si>
    <t>https://educorpperu-my.sharepoint.com/personal/diana_zapata_laureate_pe1/Documents/Aplicaciones/Microsoft%20Forms/REGISTRO%20DE%20INICIATIVAS%20-%20GESTI%C3%93N%20DE%20LA%20DEMANDA%20(2%201/Pregunta/olk_tSJiqCRjNS_Jos%C3%A9%20Paredes%20Herbozo.png</t>
  </si>
  <si>
    <t>El campo "Monto a Pagar" del CRM no se actualiza en tiempo real, a pesar de que sí tiene conceptos asociados y visibles (DA/DI, PM, CM).
Esta lógica viene así desde hace tiempo pero últimamente este campo demora más en actualizar, no se sabe el motivo.</t>
  </si>
  <si>
    <t>Que el campo "Monto a Pagar" se actualiza en tiempo real de acuerdo a los montos de los conceptos que vayan llegando al CRM (DA/DI, PM, CM)</t>
  </si>
  <si>
    <t>- Funnel Comercial
- Admisión
- Ratio de ventas</t>
  </si>
  <si>
    <t>Tener la información a tiempo y poder tomar decisiones estratégicas desde el frente comercial.</t>
  </si>
  <si>
    <t>https://educorpperu-my.sharepoint.com/personal/diana_zapata_laureate_pe1/_layouts/15/Doc.aspx?sourcedoc=%7B0553A9B5-286C-4B66-9516-95B3B41E3BDA%7D&amp;file=Monto%20a%20Pagar%20en%20tiempo%20real_Jos%C3%A9%20Paredes%20Herbozo.pptx&amp;action=edit&amp;mobileredirect=true</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</si>
  <si>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</si>
  <si>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</si>
  <si>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https://educorpperu-my.sharepoint.com/personal/diana_zapata_laureate_pe1/Documents/Aplicaciones/Microsoft%20Forms/REGISTRO%20DE%20INICIATIVAS%20-%20GESTI%C3%93N%20DE%20LA%20DEMANDA%20(2%201/Pregunta/Director%20S.A._Carla%20Arias%20Schreibe.png</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</si>
  <si>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</si>
  <si>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</si>
  <si>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</si>
  <si>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</si>
  <si>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</si>
  <si>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julio.avalos@upc.pe</t>
  </si>
  <si>
    <t>Jeremy Avalos Chumpitaz</t>
  </si>
  <si>
    <t>Uso de iProyection en ambientes academicos</t>
  </si>
  <si>
    <t>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t>
  </si>
  <si>
    <t>Ambientes Academicos</t>
  </si>
  <si>
    <t>https://educorpperu-my.sharepoint.com/personal/diana_zapata_laureate_pe1/Documents/Aplicaciones/Microsoft%20Forms/REGISTRO%20DE%20INICIATIVAS%20-%20GESTI%C3%93N%20DE%20LA%20DEMANDA%20(2%201/Pregunta/Solicitud%20de%20aprobaci%C3%B3n%20para%20inicio%20de%20piloto_Jeremy%20Avalos%20Chumpi.pdf</t>
  </si>
  <si>
    <t>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t>
  </si>
  <si>
    <t>Se espera aprovechar las capacidades nativas de los proyectores Epson para la proyección inalámbrica de contenido, eliminando la necesidad de dispositivos Apple TV, optimizando recursos tecnológicos y reduciendo costos de operación y mantenimiento.</t>
  </si>
  <si>
    <t xml:space="preserve">Proyección de contenido en sesiones académicas
Area Academica
</t>
  </si>
  <si>
    <t>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t>
  </si>
  <si>
    <t>https://educorpperu-my.sharepoint.com/personal/diana_zapata_laureate_pe1/_layouts/15/Doc.aspx?sourcedoc=%7B78BF4257-5AC1-4164-89AA-8538FA4C3F76%7D&amp;file=Epson%20iProjection_Jeremy%20Avalos%20Chumpi.pptx&amp;action=edit&amp;mobileredirect=true</t>
  </si>
  <si>
    <t>José Carlos Martinez</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</si>
  <si>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</si>
  <si>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</si>
  <si>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</si>
  <si>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</si>
  <si>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</si>
  <si>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201.pdf</t>
  </si>
  <si>
    <t>Revenue Growth</t>
  </si>
  <si>
    <t>7541</t>
  </si>
  <si>
    <t>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t>
  </si>
  <si>
    <t>La solución permite cargar los documentos asociados a la convalidación (Recórd de notras u otro similar y el Resultado de Convalidación - RC)en GDO y consultar su estado de validación antes de realizar el registro correspondiente en Banner.</t>
  </si>
  <si>
    <t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t>
  </si>
  <si>
    <t xml:space="preserve">-Cargar documentación de sustento (sílabos, certificados de estudios, constancias) en GDO de manera automatizada
-Evaluación automatizada de estados de validación de los documentos
</t>
  </si>
  <si>
    <t>https://educorpperu-my.sharepoint.com/personal/diana_zapata_laureate_pe1/_layouts/15/Doc.aspx?sourcedoc=%7BB80B068F-D7C9-413C-9BD8-5469F5AD1C79%7D&amp;file=Solicitud%20de%20requerimientos%20Idea%20nueva%20y%20mejo_Alejandro%20Tello%20Llos%201.pptx&amp;action=edit&amp;mobileredirect=true</t>
  </si>
  <si>
    <t>ronald.benites@laureate.pe</t>
  </si>
  <si>
    <t>Ronald Benites Vilchez</t>
  </si>
  <si>
    <t xml:space="preserve"> Horacius integración con aplicativo UPC</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</si>
  <si>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</si>
  <si>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Henry Longa</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</si>
  <si>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</si>
  <si>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</si>
  <si>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</si>
  <si>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</si>
  <si>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Excelencia Operativa;Transformación Digital;Innovación y Crecimiento</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</si>
  <si>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</si>
  <si>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</si>
  <si>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Johnny Rodriguez</t>
  </si>
  <si>
    <t>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t>
  </si>
  <si>
    <t>Inclusión del nuevo nivel "SE - Segunda Especialización" en integración Banner-Portal EPEC</t>
  </si>
  <si>
    <t>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t>
  </si>
  <si>
    <t>William Cruzado</t>
  </si>
  <si>
    <t>https://educorpperu-my.sharepoint.com/personal/diana_zapata_laureate_pe1/Documents/Aplicaciones/Microsoft%20Forms/REGISTRO%20DE%20INICIATIVAS%20-%20GESTI%C3%93N%20DE%20LA%20DEMANDA%20(2%201/Pregunta/Director%20Acad%C3%A9mico%20EPEC_Carla%20Arias%20Schreibe.png</t>
  </si>
  <si>
    <t>El año pasado cuando se implementó la iniciativa, a solicitud del área Comercial, no se incluyó dentro del alcance la integración con portal EPEC; solamente integración con Portal Trámites.
Hoy, esta omisión está impactando los procesos académicos de la escuela.</t>
  </si>
  <si>
    <t>Que la integración Banner-Portal EPEC soporte la implementación de este nuevo producto, de manera bidireccional: Para que los estudiantes migran a Portal y las notas lleguen de retorno a Banner.</t>
  </si>
  <si>
    <t>Cierre de ciclo: registro de notas
Emisión de constancias académicas
Usuarios: Estudiantes y Academia EPEC</t>
  </si>
  <si>
    <t>Mitigar impacto actual a estudiantes.</t>
  </si>
  <si>
    <t>https://educorpperu-my.sharepoint.com/personal/diana_zapata_laureate_pe1/Documents/Aplicaciones/Microsoft%20Forms/REGISTRO%20DE%20INICIATIVAS%20-%20GESTI%C3%93N%20DE%20LA%20DEMANDA%20(2%201/Adjuntar%20sustentos%20que%20ayuden%20al%20entendimiento%20de/INC1338620_Carla%20Arias%20Schreibe.png</t>
  </si>
  <si>
    <t>Activación Copilot en CRM</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</si>
  <si>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</si>
  <si>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</si>
  <si>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</si>
  <si>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</si>
  <si>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</si>
  <si>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</si>
  <si>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</si>
  <si>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
  </si>
  <si>
    <t>Debe definirse los casos de uso para esta solicitudad. El AS-IS y el TO-BE. La documentación no indica. Según esto podria estimarse los tiempos de implementación y costos de licenciamiento.
11/06: Según lo aclarado hoy en la sesión con usuario y dominio, la necesidad es de exploración del alcance de la herramienta y especificación técnica. Se tendrá una sesión con el proveedor la próxima semana.</t>
  </si>
  <si>
    <t>Integración de Microsoft Teams con el CRM Institucional</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</si>
  <si>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</si>
  <si>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Lizbeth Bautista - Gerente Canales Inbound</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</si>
  <si>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</si>
  <si>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</si>
  <si>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</si>
  <si>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</si>
  <si>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</si>
  <si>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Motivo de Reestimación</t>
  </si>
  <si>
    <t>Complejidad</t>
  </si>
  <si>
    <t>Fecha de inicio reestimación</t>
  </si>
  <si>
    <t>Fecha fin reestimación</t>
  </si>
  <si>
    <t>Proyecto o Req. no catalogado</t>
  </si>
  <si>
    <t>Estatus Reestimación</t>
  </si>
  <si>
    <t>Estimación incompleta</t>
  </si>
  <si>
    <t>Ajuste del alcance</t>
  </si>
  <si>
    <t>Usuario - Gerencia, Área solicitante</t>
  </si>
  <si>
    <t>Gerente de BRM</t>
  </si>
  <si>
    <t>BRM UPC</t>
  </si>
  <si>
    <t>BRM CIB</t>
  </si>
  <si>
    <t>BRM UPN</t>
  </si>
  <si>
    <t>Para cuando se necesita?</t>
  </si>
  <si>
    <t>Presupuesto </t>
  </si>
  <si>
    <t>Seleccionar el workstream del proyecto SPO</t>
  </si>
  <si>
    <t>Iniciativa de seguridad de la información</t>
  </si>
  <si>
    <t>Procesos impactados</t>
  </si>
  <si>
    <t xml:space="preserve">Situación actual </t>
  </si>
  <si>
    <t>Origen - Causa Raiz</t>
  </si>
  <si>
    <t>Usuarios afectados</t>
  </si>
  <si>
    <t>Otros usuarios que deben ser considerados</t>
  </si>
  <si>
    <t>Impacto en el negocio</t>
  </si>
  <si>
    <t>Impacto SOX</t>
  </si>
  <si>
    <t>Beneficio cuantitativo</t>
  </si>
  <si>
    <t>Adjuntar sustentos que ayuden al entendimiento de la necesidad ( Correos de aprobación VP, Lineamientos Corporativos, Nuevas regulaciones , Cartas de aplicación de multas, informes SOX, etc)</t>
  </si>
  <si>
    <t>Moneda</t>
  </si>
  <si>
    <t>Costo estimado</t>
  </si>
  <si>
    <t xml:space="preserve"> Acción (Atender, desestimar o backlog)</t>
  </si>
  <si>
    <t>Priorización de atención (A, B, C)</t>
  </si>
  <si>
    <t>Comentarios BRM</t>
  </si>
  <si>
    <t>makarena.ramos@laureate.pe</t>
  </si>
  <si>
    <t>Makarena Ramos Aleman</t>
  </si>
  <si>
    <t>[SPO]Actualización de Reportes PF012 y AC006 -Penalidad por 4to curso repetido</t>
  </si>
  <si>
    <t>[SPO]Necesitamos la actualización de los reportes para que pueda incluir la Validación de carga de  las penalidades(PF012), Cierre de Campaña - AC006. Logrando que incluya la casuistica de las penalidades por 4ta en los controles SOX.</t>
  </si>
  <si>
    <t>Tairi Ruillier - VP Transformación</t>
  </si>
  <si>
    <t>Janeth Albujar Rodriguez -Dirección de Operaciones Academicas</t>
  </si>
  <si>
    <t>Kelly Wong</t>
  </si>
  <si>
    <t>Por Confirmar</t>
  </si>
  <si>
    <t>Actualmente los reportes no incluyen las penalidades por 4ta</t>
  </si>
  <si>
    <t>Creacion de campaña 
Cierre de Matricula</t>
  </si>
  <si>
    <t>Los reportes incluyan las penalidades y los cierres de campaña</t>
  </si>
  <si>
    <t>Reportes SOX (PF012), Cierre de Campaña - AC006</t>
  </si>
  <si>
    <t>Secretaria Academica 
Planeamiento Comercial</t>
  </si>
  <si>
    <t>TI</t>
  </si>
  <si>
    <t>Observaciones SOX</t>
  </si>
  <si>
    <t>Innovación y Crecimiento</t>
  </si>
  <si>
    <t>Por confirmar</t>
  </si>
  <si>
    <t>https://educorpperu-my.sharepoint.com/personal/diana_zapata_laureate_pe1/_layouts/15/Doc.aspx?sourcedoc=%7BA5A84171-075B-4674-B91E-F72A86A61703%7D&amp;file=Solicitud_Reportes%20incluyen%20reglas%20de%20c%20-%204ta_Makarena%20Ramos%20Alema.pptx&amp;action=edit&amp;mobileredirect=true</t>
  </si>
  <si>
    <t>- El reporte PF012 no necesita cambios.
El reporte AC006 sí necesita cambios.Se considera agregar entre 9 a 12 columnas.
- Aún está en estimación por el lado de BI. Faltan definiciones del negocio.</t>
  </si>
  <si>
    <t>Cinthya Perea</t>
  </si>
  <si>
    <t>Atender</t>
  </si>
  <si>
    <t>A</t>
  </si>
  <si>
    <t>jose.herbozo@upn.edu.pe</t>
  </si>
  <si>
    <t>Jose Paredes Herbozo</t>
  </si>
  <si>
    <t>Incorporar sección de "variable étnica" a la Ficha de Postulación y CRM</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</si>
  <si>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</si>
  <si>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Sandra Elena Chirinos Villavicencio</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</si>
  <si>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</si>
  <si>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</si>
  <si>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</si>
  <si>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 xml:space="preserve">Estos campos son nuevos. </t>
  </si>
  <si>
    <t>Que estos campos se puedan completar por los prospectos desde la ficha de postulación.</t>
  </si>
  <si>
    <t>Normativa SUNEDU</t>
  </si>
  <si>
    <t>Alumnos, UPN como institución.</t>
  </si>
  <si>
    <t>Legal, Secretaría Académica.</t>
  </si>
  <si>
    <t>No estar cumpliendo con la nueva predisposición de la normativa.</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</si>
  <si>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</si>
  <si>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</si>
  <si>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</si>
  <si>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</si>
  <si>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S/.</t>
  </si>
  <si>
    <t>El esfuerzo estimado considera a Desarrollo de TI (Nohelí Cabrera) y SDRELACIONAMIENTO (Cesar Soplin).
Se asume que CRM publica API de lectura y escritura para que GDO lea y escriba la información del campo VARIABLE ETNICA.</t>
  </si>
  <si>
    <t>Interno / Interno</t>
  </si>
  <si>
    <t>Nohelí Cabrera / César Soplín</t>
  </si>
  <si>
    <t>daniella.poppe@laureate.pe</t>
  </si>
  <si>
    <t>Daniella Poppe Medina</t>
  </si>
  <si>
    <t>Integración de modelo Lead Scoring a CRM</t>
  </si>
  <si>
    <t>Necesitamos integrar el Lead Scoring al CRM para que el equipo comercial pueda priorizar de manera más efectiva los leads que recibe para la venta logrando un ratio de conversión mayor.</t>
  </si>
  <si>
    <t>Daniella Poppe- Aceleradora Digital</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</si>
  <si>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</si>
  <si>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</si>
  <si>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</si>
  <si>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Hoy en día los ejecutivos de venta llaman a todos los leads sin priorizar, lo que pueda generar que pierdan venta</t>
  </si>
  <si>
    <t>El negocio necesita integrar el Lead Scoring al CRM para que el equipo comercial pueda:
Ver 5 campos de scoring en la ficha del prospecto (percentiles, fechas y comparación).
Tener esos mismos campos en el Excel/archivo plano descargable.</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</si>
  <si>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</si>
  <si>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</si>
  <si>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</si>
  <si>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Excelencia Operativa</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</si>
  <si>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</si>
  <si>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</si>
  <si>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</si>
  <si>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1.5</t>
  </si>
  <si>
    <t>$</t>
  </si>
  <si>
    <t>10564.39</t>
  </si>
  <si>
    <t>$6625 es desarrollor de la integración (1to1), $3939 es costo de servidor/año. Total: $10564. Estimación ya esta entregado a solicitante.</t>
  </si>
  <si>
    <t>Externo</t>
  </si>
  <si>
    <t>eduardo.paul@cibertec.pe</t>
  </si>
  <si>
    <t>Eduardo Paul Aguilar</t>
  </si>
  <si>
    <t>Extraccion de Datos Para retención.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</si>
  <si>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</si>
  <si>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Danilo Tauil - GM TecVoc</t>
  </si>
  <si>
    <t>Francis Siancas</t>
  </si>
  <si>
    <t>Eduardo Paul</t>
  </si>
  <si>
    <t>Frank Palomino</t>
  </si>
  <si>
    <t>0</t>
  </si>
  <si>
    <t xml:space="preserve">No se tiene identificado aquellos alumnos que podrian desertar y retirarse del curso. actualmente esto se identifica el proximo ciclo cuando el alumno ya perdió el ciclo anterior. </t>
  </si>
  <si>
    <t>Proceso de retención y proceso de matricula.</t>
  </si>
  <si>
    <t>Actualmente no se tiene información como la cantidad de veces que el alumno ingreso a blackboard, tampoco se tienen reportes consolidados de información.</t>
  </si>
  <si>
    <t>Acceso a la información de Blacboard, Avance Académico y Financiera los estudiante.</t>
  </si>
  <si>
    <t>Incremento del numero de alumnos que no se matriculan. identificandose que los alumnos abandonan los cursos y no ingresan.</t>
  </si>
  <si>
    <t xml:space="preserve">Equipo de Matricula
Equipo de Experiencia Estudiante CIbertec
</t>
  </si>
  <si>
    <t>Equipo de Finanzas / Cobranzas</t>
  </si>
  <si>
    <t>Al no identificar a los alumnos se pierde una cantidad importante de estudiantes siendo hasta el 20 % de la población.</t>
  </si>
  <si>
    <t>Se evaluara al identificar la información entregada, actualmente el impacto por deserción es aprox del 30% de la población</t>
  </si>
  <si>
    <t>Reducir esfuerzos posteriores, luego que el alumno a desertado.</t>
  </si>
  <si>
    <t>- BI tiene un acuerdo con Danilo para saber qué requerimiento entrarán en priorización mientras se obtienen los recursos para implementar.</t>
  </si>
  <si>
    <t>giancarlo.villacorta@upc.pe</t>
  </si>
  <si>
    <t>Giancarlo Villacorta Quiñones</t>
  </si>
  <si>
    <t>Implementación de un proceso automatizado en Banner para la generación de turnos de Planificación Horaria</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</si>
  <si>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</si>
  <si>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Miguel Chang - Dirección de operaciones académicas</t>
  </si>
  <si>
    <t>Eduardo Dávalos</t>
  </si>
  <si>
    <t>Giancarlo Villacorta</t>
  </si>
  <si>
    <t>No tiene</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</si>
  <si>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</si>
  <si>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</si>
  <si>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</si>
  <si>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</si>
  <si>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</si>
  <si>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UPC: Estudiantes, personal de Matrícula Regular, Comunicaciones, Aceleradora, Data BI, Estrategia Digital, Finanzas y Comité Ejecutivo, etc., que estén involucradas en el proceso de matrícula.
</t>
  </si>
  <si>
    <t xml:space="preserve">- Áreas: Matrícula Regular, Comunicaciones, Aceleradora, Data BI, Estrategia Digital, Finanzas y Comité Ejecutivo, etc. 
</t>
  </si>
  <si>
    <t xml:space="preserve">Reducción del 25% de reclamos de alumnos que no pudieron ingresar a la Planificación Horaria durante el proceso de matrícula del 2do Semestre 2025.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</si>
  <si>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</si>
  <si>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</si>
  <si>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</si>
  <si>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USD</t>
  </si>
  <si>
    <t>El front de la aplicación que permite dirigirte a la planificación debe ser hecha por La Aceleradora. La estimación sólo considera el esfuerzo para automatizar la generación de turnos para la planificación</t>
  </si>
  <si>
    <t>Lucía Vega / Janny Nicasio</t>
  </si>
  <si>
    <t>En Proceso</t>
  </si>
  <si>
    <t>B</t>
  </si>
  <si>
    <t>Remediación de Vulnerabilidades Banner UPN - Actualización Karaf</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</si>
  <si>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</si>
  <si>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Carlos Sanchez - Seguridad TI</t>
  </si>
  <si>
    <t>N/A</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</si>
  <si>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</si>
  <si>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</si>
  <si>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remediadas - Riesgo mitigado</t>
  </si>
  <si>
    <t>Vulnerabilidades identificadas en el servidor "sis-r1-mware20"</t>
  </si>
  <si>
    <t xml:space="preserve">Estudiantes y docentes cuya información personal puede verse expuesta o vulnerada si la vulnerabilidad en el sistema Banner no es remediada a tiempo. </t>
  </si>
  <si>
    <t>Los planteados en el punto 17</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</si>
  <si>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</si>
  <si>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</si>
  <si>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</si>
  <si>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</si>
  <si>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</si>
  <si>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35,122,84</t>
  </si>
  <si>
    <t>Al ser un proceso cross, se deben realizar pruebas integrales con distitnos frentes
CRM, Portal, Peoplesoft, cargas FTP, aprovisionamiento cuentas</t>
  </si>
  <si>
    <t>Externos e Internos</t>
  </si>
  <si>
    <t>Lucía Vega</t>
  </si>
  <si>
    <t>Certificaciones Modulares</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</si>
  <si>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</si>
  <si>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 xml:space="preserve">Alfredo Hoffmann, Pedro Berdejo - Dirección de Carrera de Administración y marketing) </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</si>
  <si>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</si>
  <si>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</si>
  <si>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Actualmente no existe un aplicativo para la emisión de certificaciones modulares. Se realizó un piloto con el equipo de automatización RPA.</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</si>
  <si>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</si>
  <si>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Lo requerido es un nuevo desarrollo de proceso RPA</t>
  </si>
  <si>
    <t xml:space="preserve">Toda carrera de UPC que la implemente, especialmente del programa EPE, y sus alumnos correspondientes. La universidad también por incremento de ingresos por retención y enrollment.
</t>
  </si>
  <si>
    <t xml:space="preserve">Registros Académicos, Alumnos de las carreras de UPC que lo implementen, Admisión y Retención (ambas áreas contarán con una herramienta mas para prospección o reducir la deserción).
</t>
  </si>
  <si>
    <t xml:space="preserve">Reducción de la deserción, sobre todo en carreras del programa EPE. Incremento del Enrollment, mejora del NPS por mayor valor otorgado por las carreras a los alumnos. Mayor detalle ver diapositiva 4, 5 y 6 de la ppt adjunta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</si>
  <si>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</si>
  <si>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</si>
  <si>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</si>
  <si>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</si>
  <si>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</si>
  <si>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Interno</t>
  </si>
  <si>
    <t>C</t>
  </si>
  <si>
    <t>daniel.cino@upc.pe</t>
  </si>
  <si>
    <t>Daniel Cino Barreda</t>
  </si>
  <si>
    <t>desplegable de fecha en el tramite de reprogramación de pruebas para deportistas destacadas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</si>
  <si>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</si>
  <si>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Javiera Alcazar - Vida Universitaria</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</si>
  <si>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</si>
  <si>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</si>
  <si>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</si>
  <si>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</si>
  <si>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</si>
  <si>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Actualmente el trámite no permite el registro de una fecha asociada al componente calificable que el estudiante deportista solicita reprogramar. Sin una fecha es imposible validar el cruce con los compromisos deportivos de los estudiantes.</t>
  </si>
  <si>
    <t xml:space="preserve">Los Deportistas Destacados (+700)
El equipo de Deportes UPC y de Registros Académicos
</t>
  </si>
  <si>
    <t>Los docentes que tienen a Deportistas Destacados en sus secciones</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</si>
  <si>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</si>
  <si>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</si>
  <si>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</si>
  <si>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</si>
  <si>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 Desarrollo que debe realizar BIT.
- Costo por hora USD 35
- Estimamos 30 horas</t>
  </si>
  <si>
    <t>Lucy Torres</t>
  </si>
  <si>
    <t>nohemi.marcelo@upc.pe</t>
  </si>
  <si>
    <t>Nohemi Estefani Marcelo Torres</t>
  </si>
  <si>
    <t xml:space="preserve">Sistema de integra de trayectoria y acompañamiento al estudiante becado </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</si>
  <si>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</si>
  <si>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Maria Cifuentes Ramseyer - Directora de Desarrollo Académico y Sostenibilidad</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</si>
  <si>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</si>
  <si>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</si>
  <si>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</si>
  <si>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</si>
  <si>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</si>
  <si>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</si>
  <si>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</si>
  <si>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Equipo We talk
Secretaria Académica
Finanzas (deudas)
Oficina de Gestión de trámites
Calidad Educativa
Grados Y títulos</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</si>
  <si>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</si>
  <si>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</si>
  <si>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</si>
  <si>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</si>
  <si>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</si>
  <si>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INDICADORES ACADEMICOS DE BLACKBOARD</t>
  </si>
  <si>
    <t>Mejorar la calidad de servicio de docentes hacia los alumnos, para poder medir la calidad del servicio académico y dar feedback a los docentes</t>
  </si>
  <si>
    <t>Paola Mora</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</si>
  <si>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</si>
  <si>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</si>
  <si>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Actualmente el proceso se realiza manualmente con 1 recurso haciendo las actividades.</t>
  </si>
  <si>
    <t xml:space="preserve">Generar un Dasboard delos indicadores por periodo academico tal cual como los reportes presentados en el detalle del requerimiento. </t>
  </si>
  <si>
    <t>El crecimiento estimado para este grupo de alumnos se espera se incremente de 3 Secciones en este modulo y pasarián a 330 seccion al final del 2026</t>
  </si>
  <si>
    <t>Alumnos, Docentes, coordinadores academicos</t>
  </si>
  <si>
    <t>Directores Academicos, Área de Retención.</t>
  </si>
  <si>
    <t xml:space="preserve">Impacto al seguimiento de la calidad Académica, experiencia del alumno y proceso de retención. En muestra se identifico que un 30 % de los docentes no estaban realizando correctamente esta actividad. </t>
  </si>
  <si>
    <t>Calidad Académica</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</si>
  <si>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</si>
  <si>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</si>
  <si>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</si>
  <si>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juan.nazario@upc.pe</t>
  </si>
  <si>
    <t>Juan Francisco Nazario Vargas</t>
  </si>
  <si>
    <t>Visualizar los Resultados Basados en Competencias en el dashboard para el sistema de Assessment</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</si>
  <si>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</si>
  <si>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Jorge Bossio - Dirección de Innovación Educativa y Emprendimiento</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</si>
  <si>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</si>
  <si>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</si>
  <si>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</si>
  <si>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</si>
  <si>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</si>
  <si>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</si>
  <si>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Directores, docentes y alumnos</t>
  </si>
  <si>
    <t>DADO, Calidad educativa</t>
  </si>
  <si>
    <t xml:space="preserve">Proceso institucional de assessment de competencias sin resultados para las carreras y estudiantes, lo cual afectaría el proceso de control que realiza SUNEDU y WASC/WSCUC </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</si>
  <si>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</si>
  <si>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</si>
  <si>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</si>
  <si>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</si>
  <si>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3.5 (14 semanas)</t>
  </si>
  <si>
    <t>92,035,25</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</si>
  <si>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</si>
  <si>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carlos.olivera@upn.edu.pe</t>
  </si>
  <si>
    <t>Carlos Rau Olivera Fatacioli</t>
  </si>
  <si>
    <t>Registro de matrícula en CRM Dynamics</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</si>
  <si>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</si>
  <si>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</si>
  <si>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</si>
  <si>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</si>
  <si>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</si>
  <si>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Actualmente:
Se busca identificar a los estudiantes nuevos reingresos a quienes se les ha registrado una matrícula proactiva.
Se genera un reporte consolidado validando el estado de matrículas uno a uno.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</si>
  <si>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</si>
  <si>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 xml:space="preserve">Esperar la consolidación del reporte general y la búsqueda de la matrícula a través de Banner toma más tiempo y genera menos eficiencia operativa.
</t>
  </si>
  <si>
    <t>Estudiantes nuevos reingresos de Carreras a distancia.
Admisión, Retención, Educación Virtual – Perfect Start</t>
  </si>
  <si>
    <t>Cobranzas</t>
  </si>
  <si>
    <t>Deserción académica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</si>
  <si>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</si>
  <si>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</si>
  <si>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</si>
  <si>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45000 +15000</t>
  </si>
  <si>
    <t>- Banner debe proveer información de matricula a CRM Dynamics (asumimos que este ETL iingresa la información en Dynamics)
- Las 3 semanas sólo consideran la implementación del servicio que expondrá la data de Banner.
- Definir donde ira este ETL. Si es un servidor dedicado los costos podrian subir</t>
  </si>
  <si>
    <t xml:space="preserve">Cesar Soplin/Lucía Vega </t>
  </si>
  <si>
    <t>Sincronización de notas del aula virtual con el sistema académico</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</si>
  <si>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</si>
  <si>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Jorge Bossio - Director de Innovación Educativa y Emprendimiento</t>
  </si>
  <si>
    <t>100,000 soles</t>
  </si>
  <si>
    <t>Registro de nota una sola vez en el aula virtual por parte del docente</t>
  </si>
  <si>
    <t>Registro de notas</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</si>
  <si>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</si>
  <si>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El profesor evalúa y califica en el aula virtual y en fechas específicas y reglas de negocio claras, viajarían al SIS o periférico determinado.</t>
  </si>
  <si>
    <t xml:space="preserve">Doble registro de nota por cada evaluación declarada en el sílabo, en el aula virtual y en uPlanner (períferico), donde se pueden producir errores de digitación </t>
  </si>
  <si>
    <t>Profesores y estudiantes</t>
  </si>
  <si>
    <t>Registros académicos</t>
  </si>
  <si>
    <t xml:space="preserve">Los profesores deben hacer un segundo registro de nota en el SIS o periférico determinado, lo cual induce a tener errores de digitación y atender solicitudes de cambio de nota.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</si>
  <si>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</si>
  <si>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</si>
  <si>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</si>
  <si>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</si>
  <si>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 xml:space="preserve">S/. </t>
  </si>
  <si>
    <t xml:space="preserve">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</si>
  <si>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carla.arias@upn.edu.pe</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</si>
  <si>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</si>
  <si>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</si>
  <si>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Cindy Chuco - Coordinador de Facturación, Beca y Descuentos</t>
  </si>
  <si>
    <t>NA</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</si>
  <si>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</si>
  <si>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</si>
  <si>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Se modificaron las marcas en Banner y Portal, pero es necesario que el ETL también incluya el cambio para que el proceso funcione.</t>
  </si>
  <si>
    <t>Que el ETL considere las nuevas nomenclaturas de marcas, para que el proceso de solicitud de descuentos funciones correctamente.</t>
  </si>
  <si>
    <t>Cuando se hizo el cambio en Banner y Portal no se identificó como parte del alcance de la solución la modificación del ETL. Estamos en falta con negocio, por una atención parcial a su requerimiento.</t>
  </si>
  <si>
    <t>Estudiantes que requieren descuentos
Finanzas</t>
  </si>
  <si>
    <t>Reclamos de estudiantes, a la fecha más de 170 impactados
Carga operativa en Finanzas (originada por una atención incompleta por parte de TI).</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</si>
  <si>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</si>
  <si>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</si>
  <si>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</si>
  <si>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Usuario - VP, Gerencia, Área solicitante  - NO UTILIZAR</t>
  </si>
  <si>
    <t>BRM   - NO UTILIZAR</t>
  </si>
  <si>
    <t>Nro de ticket de service now (RIT) - NO UTILIZAR</t>
  </si>
  <si>
    <t>Cuando se necesita  - NO UTILIZAR</t>
  </si>
  <si>
    <t>Indicar id del proyecto SPO - NO UTILIZAR</t>
  </si>
  <si>
    <t>Proyecto SPO (Oficina Proyectos Estrategicos) - NO UTILIZAR</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</si>
  <si>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</si>
  <si>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</si>
  <si>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</si>
  <si>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</si>
  <si>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</si>
  <si>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</si>
  <si>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</si>
  <si>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</si>
  <si>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Tenemos una cotización a alto nivel solo para Pregrado. Estamos asumiendo el doble considerando EPE.</t>
  </si>
  <si>
    <t>?</t>
  </si>
  <si>
    <t>luis.almeyda@upc.pe</t>
  </si>
  <si>
    <t>Luis Alberto Almeyda Porras</t>
  </si>
  <si>
    <t>Mejoras en SPRING - Facturación por nuevo registro de Ventas SIRE</t>
  </si>
  <si>
    <t>Karol Espinoza - Facturación UPC</t>
  </si>
  <si>
    <t xml:space="preserve">Luis Almeyda </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</si>
  <si>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</si>
  <si>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</si>
  <si>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</si>
  <si>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</si>
  <si>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</si>
  <si>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</si>
  <si>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</si>
  <si>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</si>
  <si>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</si>
  <si>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</si>
  <si>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</si>
  <si>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</si>
  <si>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</si>
  <si>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</si>
  <si>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</si>
  <si>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</si>
  <si>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 xml:space="preserve">We talk - Implementación del sistema de examen de validación de inglés B2 (Linguaskill) y nuevas reglas del Placement </t>
  </si>
  <si>
    <t>Fidel Llong - Dirección de operaciones académicas, Secretaría académica We talk /Regularización</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</si>
  <si>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</si>
  <si>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</si>
  <si>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</si>
  <si>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</si>
  <si>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</si>
  <si>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</si>
  <si>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</si>
  <si>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</si>
  <si>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</si>
  <si>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</si>
  <si>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</si>
  <si>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</si>
  <si>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</si>
  <si>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</si>
  <si>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</si>
  <si>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</si>
  <si>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</si>
  <si>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</si>
  <si>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</si>
  <si>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</si>
  <si>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</si>
  <si>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</si>
  <si>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</si>
  <si>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</si>
  <si>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</si>
  <si>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</si>
  <si>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</si>
  <si>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</si>
  <si>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</si>
  <si>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</si>
  <si>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</si>
  <si>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</si>
  <si>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</si>
  <si>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</si>
  <si>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</si>
  <si>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</si>
  <si>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</si>
  <si>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</si>
  <si>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</si>
  <si>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</si>
  <si>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</si>
  <si>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</si>
  <si>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</si>
  <si>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</si>
  <si>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</si>
  <si>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</si>
  <si>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</si>
  <si>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</si>
  <si>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</si>
  <si>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</si>
  <si>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</si>
  <si>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</si>
  <si>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</si>
  <si>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</si>
  <si>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</si>
  <si>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</si>
  <si>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</si>
  <si>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</si>
  <si>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</si>
  <si>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</si>
  <si>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</si>
  <si>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</si>
  <si>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</si>
  <si>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</si>
  <si>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</si>
  <si>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</si>
  <si>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</si>
  <si>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</si>
  <si>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</si>
  <si>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</si>
  <si>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</si>
  <si>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</si>
  <si>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</si>
  <si>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</si>
  <si>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</si>
  <si>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</si>
  <si>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</si>
  <si>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</si>
  <si>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</si>
  <si>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</si>
  <si>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</si>
  <si>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</si>
  <si>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</si>
  <si>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</si>
  <si>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</si>
  <si>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lucia.vega@laureate.pe</t>
  </si>
  <si>
    <t>Ana Vega Iparraguirre</t>
  </si>
  <si>
    <t>Upgrade Banner UPC</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</si>
  <si>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</si>
  <si>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</si>
  <si>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</si>
  <si>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</si>
  <si>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</si>
  <si>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</si>
  <si>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</si>
  <si>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</si>
  <si>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</si>
  <si>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</si>
  <si>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</si>
  <si>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Calidad Académica;Excelencia Operativa</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</si>
  <si>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</si>
  <si>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</si>
  <si>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</si>
  <si>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</si>
  <si>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</si>
  <si>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</si>
  <si>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</si>
  <si>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</si>
  <si>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</si>
  <si>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</si>
  <si>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</si>
  <si>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</si>
  <si>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</si>
  <si>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</si>
  <si>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</si>
  <si>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</si>
  <si>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</si>
  <si>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</si>
  <si>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</si>
  <si>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</si>
  <si>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</si>
  <si>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</si>
  <si>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</si>
  <si>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</si>
  <si>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</si>
  <si>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</si>
  <si>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</si>
  <si>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</si>
  <si>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</si>
  <si>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</si>
  <si>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</si>
  <si>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</si>
  <si>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</si>
  <si>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</si>
  <si>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</si>
  <si>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</si>
  <si>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</si>
  <si>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</si>
  <si>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</si>
  <si>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</si>
  <si>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</si>
  <si>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</si>
  <si>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</si>
  <si>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</si>
  <si>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</si>
  <si>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</si>
  <si>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</si>
  <si>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</si>
  <si>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</si>
  <si>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</si>
  <si>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</si>
  <si>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</si>
  <si>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</si>
  <si>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</si>
  <si>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</si>
  <si>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</si>
  <si>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</si>
  <si>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</si>
  <si>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</si>
  <si>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</si>
  <si>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</si>
  <si>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</si>
  <si>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</si>
  <si>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</si>
  <si>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</si>
  <si>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</si>
  <si>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</si>
  <si>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</si>
  <si>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</si>
  <si>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</si>
  <si>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</si>
  <si>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</si>
  <si>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</si>
  <si>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</si>
  <si>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</si>
  <si>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</si>
  <si>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</si>
  <si>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</si>
  <si>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</si>
  <si>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</si>
  <si>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</si>
  <si>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</si>
  <si>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</si>
  <si>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</si>
  <si>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</si>
  <si>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</si>
  <si>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</si>
  <si>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</si>
  <si>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</si>
  <si>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</si>
  <si>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</si>
  <si>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</si>
  <si>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</si>
  <si>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</si>
  <si>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</si>
  <si>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</si>
  <si>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</si>
  <si>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</si>
  <si>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</si>
  <si>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</si>
  <si>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</si>
  <si>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</si>
  <si>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</si>
  <si>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</si>
  <si>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</si>
  <si>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</si>
  <si>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</si>
  <si>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</si>
  <si>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</si>
  <si>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</si>
  <si>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</si>
  <si>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</si>
  <si>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</si>
  <si>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</si>
  <si>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</si>
  <si>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</si>
  <si>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</si>
  <si>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</si>
  <si>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</si>
  <si>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</si>
  <si>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</si>
  <si>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RITM0589243</t>
  </si>
  <si>
    <t>SCTASK1463216. Lo tiene el BRM CIB Eduardo</t>
  </si>
  <si>
    <t>CRM, SPRING, AD, Id Usuario, Banner</t>
  </si>
  <si>
    <t>Ecommerce UPC /Regularización</t>
  </si>
  <si>
    <t>RITM0589248</t>
  </si>
  <si>
    <t>SCTASK1463221. Mesa de ayuda lo cerro por falta de información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</si>
  <si>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</si>
  <si>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</si>
  <si>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</si>
  <si>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</si>
  <si>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</si>
  <si>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</si>
  <si>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</si>
  <si>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</si>
  <si>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</si>
  <si>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</si>
  <si>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</si>
  <si>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</si>
  <si>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</si>
  <si>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</si>
  <si>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</si>
  <si>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</si>
  <si>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</si>
  <si>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</si>
  <si>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</si>
  <si>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</si>
  <si>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[SPO]Modificación de MDUU de elegibles en Banner.</t>
  </si>
  <si>
    <t>Janeth Albujar Rodriguez - Dirección Operaciones Academicas (DOA)</t>
  </si>
  <si>
    <t>RITM0588325</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</si>
  <si>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</si>
  <si>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</si>
  <si>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</si>
  <si>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</si>
  <si>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</si>
  <si>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</si>
  <si>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</si>
  <si>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</si>
  <si>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</si>
  <si>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</si>
  <si>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</si>
  <si>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</si>
  <si>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</si>
  <si>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RITM0587015</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</si>
  <si>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</si>
  <si>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</si>
  <si>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</si>
  <si>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</si>
  <si>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</si>
  <si>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</si>
  <si>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</si>
  <si>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</si>
  <si>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</si>
  <si>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</si>
  <si>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</si>
  <si>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</si>
  <si>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</si>
  <si>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</si>
  <si>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</si>
  <si>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</si>
  <si>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</si>
  <si>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</si>
  <si>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</si>
  <si>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</si>
  <si>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</si>
  <si>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</si>
  <si>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</si>
  <si>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</si>
  <si>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</si>
  <si>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</si>
  <si>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</si>
  <si>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</si>
  <si>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</si>
  <si>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</si>
  <si>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</si>
  <si>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</si>
  <si>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</si>
  <si>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</si>
  <si>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</si>
  <si>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</si>
  <si>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</si>
  <si>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RITM0588307</t>
  </si>
  <si>
    <t>gerson.vereau@upn.edu.pe</t>
  </si>
  <si>
    <t>Gerson Vereau Rosas</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</si>
  <si>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</si>
  <si>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</si>
  <si>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</si>
  <si>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</si>
  <si>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</si>
  <si>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</si>
  <si>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</si>
  <si>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</si>
  <si>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</si>
  <si>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</si>
  <si>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</si>
  <si>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</si>
  <si>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</si>
  <si>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</si>
  <si>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</si>
  <si>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</si>
  <si>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</si>
  <si>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</si>
  <si>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</si>
  <si>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</si>
  <si>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</si>
  <si>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</si>
  <si>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</si>
  <si>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</si>
  <si>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</si>
  <si>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</si>
  <si>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</si>
  <si>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</si>
  <si>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RITM0590083</t>
  </si>
  <si>
    <t>Actualización en Gestión Docente sobre cambios realizados en Banner</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</si>
  <si>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</si>
  <si>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</si>
  <si>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</si>
  <si>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</si>
  <si>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</si>
  <si>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</si>
  <si>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</si>
  <si>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</si>
  <si>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</si>
  <si>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</si>
  <si>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</si>
  <si>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</si>
  <si>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</si>
  <si>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</si>
  <si>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</si>
  <si>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</si>
  <si>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</si>
  <si>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</si>
  <si>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</si>
  <si>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</si>
  <si>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</si>
  <si>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</si>
  <si>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</si>
  <si>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</si>
  <si>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</si>
  <si>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</si>
  <si>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</si>
  <si>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</si>
  <si>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</si>
  <si>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</si>
  <si>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</si>
  <si>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</si>
  <si>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</si>
  <si>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</si>
  <si>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</si>
  <si>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</si>
  <si>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</si>
  <si>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</si>
  <si>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</si>
  <si>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</si>
  <si>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</si>
  <si>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</si>
  <si>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</si>
  <si>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</si>
  <si>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</si>
  <si>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</si>
  <si>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</si>
  <si>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</si>
  <si>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</si>
  <si>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</si>
  <si>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</si>
  <si>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</si>
  <si>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</si>
  <si>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</si>
  <si>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</si>
  <si>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</si>
  <si>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</si>
  <si>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</si>
  <si>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</si>
  <si>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RITM0592516</t>
  </si>
  <si>
    <t>RITM0592554</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</si>
  <si>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</si>
  <si>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</si>
  <si>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</si>
  <si>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</si>
  <si>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</si>
  <si>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</si>
  <si>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</si>
  <si>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</si>
  <si>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</si>
  <si>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</si>
  <si>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</si>
  <si>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</si>
  <si>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Excelencia Operativa;Innovación y Crecimiento;Transformación Digital</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</si>
  <si>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</si>
  <si>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</si>
  <si>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</si>
  <si>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No se tiene el detalle del ticket RIT</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</si>
  <si>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</si>
  <si>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</si>
  <si>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</si>
  <si>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</si>
  <si>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</si>
  <si>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</si>
  <si>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</si>
  <si>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</si>
  <si>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</si>
  <si>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</si>
  <si>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</si>
  <si>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</si>
  <si>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</si>
  <si>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</si>
  <si>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</si>
  <si>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</si>
  <si>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RITM0595059</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</si>
  <si>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</si>
  <si>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</si>
  <si>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</si>
  <si>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</si>
  <si>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</si>
  <si>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</si>
  <si>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</si>
  <si>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</si>
  <si>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</si>
  <si>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</si>
  <si>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</si>
  <si>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</si>
  <si>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</si>
  <si>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</si>
  <si>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</si>
  <si>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</si>
  <si>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</si>
  <si>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RIT0736328   (REQ0736328)</t>
  </si>
  <si>
    <t>RITM0596395</t>
  </si>
  <si>
    <t>Implementación Horacius Fase II</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</si>
  <si>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</si>
  <si>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</si>
  <si>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</si>
  <si>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</si>
  <si>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</si>
  <si>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</si>
  <si>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</si>
  <si>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</si>
  <si>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</si>
  <si>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</si>
  <si>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</si>
  <si>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</si>
  <si>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</si>
  <si>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</si>
  <si>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</si>
  <si>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</si>
  <si>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</si>
  <si>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</si>
  <si>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</si>
  <si>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</si>
  <si>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</si>
  <si>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</si>
  <si>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</si>
  <si>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</si>
  <si>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</si>
  <si>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</si>
  <si>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</si>
  <si>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</si>
  <si>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</si>
  <si>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</si>
  <si>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</si>
  <si>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</si>
  <si>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</si>
  <si>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</si>
  <si>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</si>
  <si>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</si>
  <si>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</si>
  <si>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</si>
  <si>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</si>
  <si>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</si>
  <si>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</si>
  <si>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</si>
  <si>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</si>
  <si>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RITM0596481</t>
  </si>
  <si>
    <t>ricky.pareja@laureate.pe</t>
  </si>
  <si>
    <t>Ricky Pareja Medina</t>
  </si>
  <si>
    <t>Ecommerce CIB - Automatizar Matricula Venta - CRM, Socrates, Spring, etc</t>
  </si>
  <si>
    <t>Alejandra Begazo</t>
  </si>
  <si>
    <t>RITM0596110</t>
  </si>
  <si>
    <t>USD 5k Capex</t>
  </si>
  <si>
    <t>El proceso de matrícula venta se ejecuta de manera manual consumiendo tiempo de los equipos involucraos (ventas, facturación, etc).</t>
  </si>
  <si>
    <t>- Proceso de matrícula
- Proceso de facturación
- Proceso de conciliación
- Proceso de cobranza
- Proceso de generación de accesos y credenciales
Otros</t>
  </si>
  <si>
    <t>Cuando el usuario pague por un producto en el Ecommerce se debe realizar en automatico el registro del alumno en el curso y seccion en socrates, se debe iniciar el proceso para generar un comprobante de pago y  potencalmente registrar en LMS.</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</si>
  <si>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</si>
  <si>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</si>
  <si>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</si>
  <si>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</si>
  <si>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</si>
  <si>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</si>
  <si>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Incremento en ventas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</si>
  <si>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</si>
  <si>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</si>
  <si>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Lucía Vega / Elmer Zapata</t>
  </si>
  <si>
    <t>RITM0596201</t>
  </si>
  <si>
    <t>Soles</t>
  </si>
  <si>
    <t>Ana Lucia Vega</t>
  </si>
  <si>
    <t>Atendido</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</si>
  <si>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</si>
  <si>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</si>
  <si>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</si>
  <si>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</si>
  <si>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</si>
  <si>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</si>
  <si>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</si>
  <si>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</si>
  <si>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</si>
  <si>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</si>
  <si>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</si>
  <si>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</si>
  <si>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</si>
  <si>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Usuario - VP, Gerencia, Área solicitante</t>
  </si>
  <si>
    <t>BRM </t>
  </si>
  <si>
    <t>Nro de ticket de service now (RIT)</t>
  </si>
  <si>
    <t xml:space="preserve">Cuando se necesita </t>
  </si>
  <si>
    <t>Indicar id del proyecto SPO</t>
  </si>
  <si>
    <t>Proyecto SPO (Oficina Proyectos Estrategicos)</t>
  </si>
  <si>
    <t xml:space="preserve">Permitir que la DA de una carrera en UPN se pueda pagar en 2 cuotas iguales </t>
  </si>
  <si>
    <t>Ivan Olivares</t>
  </si>
  <si>
    <t>RITM0567831</t>
  </si>
  <si>
    <t>Sí, lo que se necesite se puede conseguir, este pedido es una estrategia que ayudará a incrementar las ventas.</t>
  </si>
  <si>
    <t xml:space="preserve">Actualmente las ventas no van bien y lo que tenemos pensado es poder captar rápidamente al prospecto haciendo más atractivo nuestro ticket de ingreso y que los alumnos no opten por otra universidad. 
1. Necesitamos que la DA se parta en 2 cuotas iguales, primero el alumno pagará la primera parte (50%), este primer pago no habilita nada en los sistemas, solo es un tema estratégico comercial, con el valor de este 50% somos más competitivos de cara a la oferta. 
2. El otro 50% puede pagarlo como mucho 3 días después que pagó el primer monto.
3. La cuota 2 se genera luego de haber pagado la primera.
4. Si el postulante no paga la segunda cuota, su primera cuota no es reembolsable. 
5. Modificar el botón de "Enviar Correo Pago Matrícula" en CRM considerando ahora correos que notifiquen el pago de tres conceptos (inscripción, PM y CM)
6. Contar con nuevos campos en CRM que me indiquen: Estado de pago de inscripción 1, Pago inscripción 1 (Sí o No),  Fecha de pago de inscripción 1. Los campos actuales solo deben llenarse con el pago completo de la segunda cuota. 
7. Los pagos parciales no afectan la matriz de indicador de venta.
8. El cambio aplica también para Medicina.
9. Este nuevo campo debe reflejarse en el reporte plano.
10: Los cambios deben reflejarse en los Reportes Control Sox: CN001 Reporte de Facturación para Contabilidad / CN015 Cuentas por Cobrar/  CN022 PER_AR_DETALLE_CONTABLE / AD014 Avance de Matrícula /PF007 Reporte de validación de precios - Validar que estos reportes sigan jalando el dato de inscripción en las columnas existentes
</t>
  </si>
  <si>
    <t>Tener facilidad de pago de la DA para que podamos enganchar al prospecto de forma más rápida y hacer que no mire otras opciones.</t>
  </si>
  <si>
    <t>La DA se paga en una sola cuota, a pesar de los descuentos corporativos, sigue siendo un ticket elevado Vs la competencia.</t>
  </si>
  <si>
    <t xml:space="preserve">- Caída en ventas. 
- Estrategias comerciales.
</t>
  </si>
  <si>
    <t xml:space="preserve">Admisión, Backoffice de Admisión, Postulantes, Bancos(Medios de Recaudación), Finanzas y Control SOX
</t>
  </si>
  <si>
    <t>- Comercial
- Equipos que hacen seguimiento al New Enrollment y conversión.</t>
  </si>
  <si>
    <t xml:space="preserve">Los prospectos no están tomándonos como opción de estudio, no son todos, pero si un grupo considerable: 4 de cada 10 estudiante se va a la competencia debido al ticket de ingreso. </t>
  </si>
  <si>
    <t>Necesitamos brindar un monto de DA partido en 2 para asegurar el pago inicial de los postulantes, logrando el compromiso de pago de los siguientes conceptos.</t>
  </si>
  <si>
    <t>Derecho de Admisión generará 1.04M de soles entre Marzo y Abril del 2026</t>
  </si>
  <si>
    <t>Incrementar las ventas</t>
  </si>
  <si>
    <t>https://educorpperu-my.sharepoint.com/personal/diana_zapata_laureate_pe1/_layouts/15/Doc.aspx?sourcedoc=%7B497DB466-1585-4293-855C-C3A01B79E455%7D&amp;file=2_Req-Pago%20Parcial%20de%20D.%20Inscripcion%20V1%2016102_Jose%20Paredes%20Herbozo.pptx&amp;action=edit&amp;mobileredirect=true</t>
  </si>
  <si>
    <t>Querys para estudiantes aptos y asignación a internado - Facultad Ciencias de Salud</t>
  </si>
  <si>
    <t>Edward Roekaert</t>
  </si>
  <si>
    <t>Claudia Medina - Dirección de Operaciones Académicas, Secretaría Académica</t>
  </si>
  <si>
    <t>RITM0577270</t>
  </si>
  <si>
    <t>No se cuenta con ppto.</t>
  </si>
  <si>
    <t>Requerimos la construcción de 4 querys que permitan identificar los estudiantes de la facultad de ciencia de la salud que han completado todos los cursos y créditos requeridos para poder iniciar su internado, y clasificarlos según su buen rendimiento académico para la asignación de plazas. El detalle de las querys se encuentra en la ppt adjunta.
Cabe resaltar que hace 2 años ya contamos con estas querys, pero nos han indicado que a partir del proyecto de apagado de SnowFlake las querys ya no están operativas y es necesario que construyan unas nuevas que consuman data de ODS. El ticket lo ingresamos según lo acostumbrado (días antes - no BAU), y con este imprevisto estamos contra reloj para poder cumplir la entrega comprometida con las entidades con las que tenemos convenio: MINSA, Policía Nacional del Perú, Sanidad Naval, Clínicas y Municipalidades.</t>
  </si>
  <si>
    <t>Desarrollos de clases - Internado
Matrícula - los estudiantes de los dos últimos ciclos tienen que tener sus plazas aprobadas para activarles el registro de curso.</t>
  </si>
  <si>
    <t>Contar con las 4 querys que acostumbramos, para poder confirmar los postulantes de internado a las entendidas externas.</t>
  </si>
  <si>
    <t>Desde el inicio del internado contamos con las querys (trabajadas antes en Snowflake), no tenerlas nos demandaría un trabajo de validación individual para cada estudiante, lo cual pone en riesgo el cumplimiento de las fechas comprometidas con las entidades y la calidad de la información (riesgo a errores y manipulación). 
Se validó con las áreas de secretaría académica y no contamos con reportes que nos ayuden a obtener y cruzar la información que se necesitan, por ende, las querys son indispensables para lograr el objetivo.</t>
  </si>
  <si>
    <t>Falta de conocimiento sobre el impacto del apagado de Snowflake sobre estas querys.</t>
  </si>
  <si>
    <t>Coordinador, Docente tiempo completo de dictado o gestor.</t>
  </si>
  <si>
    <t>1900 estudiantes con plaza en MINSA
1000 estudiantes con plaza en demás entidades.</t>
  </si>
  <si>
    <t>Trabajo manual... reglas de hora, perjuicio a estudiantes - imagen institucional</t>
  </si>
  <si>
    <t>Necesitamos la construcción de 4 querys, para poder identificar los estudiantes aptos y asignarlos a las distintas plazas que como Universidad tenemos aprobadas con entidades externas (MINSA, Policía Nacional, etc.), para poder cumplir con el compromiso que tenemos con estas organizaciones y permitir la matricula de nuestros estudiantes en el ciclo 26-1.</t>
  </si>
  <si>
    <t>El enviar listas con información incorrecta o fuera de fechas pone en riesgo la sostenibilidad de nuestros convenios, por los cuales la Universidad ha invertido al rededor de 1 millón de soles, a la fecha.
Así mismo, en caso de observaciones por parte de la entidad, podemos impactar directamente en la no matrícula de los estudiantes de últimos ciclos de la facultad. Los ciclos donde llevan internado se matriculan en 16 a 20 créditos (ciclo completo), siendo un promedio total de 3 millones de soles.
Ineficiencia operativa: Promedio de S/ 15 mil soles [involucrar 22 docentes a tiempo completo, por 5 días]</t>
  </si>
  <si>
    <t>Riesgo de errores al trabajar la data manualmente. No contamos con reportes que nos ayuden, ni con experiencia previa, además de tiempos sumamente ajustados.
En consecuencia, podríamos afectar la reputación institucional con nuestros estudiantes y entidades externas.</t>
  </si>
  <si>
    <t>https://educorpperu-my.sharepoint.com/personal/diana_zapata_laureate_pe1/_layouts/15/Doc.aspx?sourcedoc=%7B9012E67E-0F4D-4B81-999C-1E26EB549780%7D&amp;file=Plantilla%20Solicitud%20de%20Requerimientos%20-%20Query_Carla%20Arias%20Schreibe.pptx&amp;action=edit&amp;mobileredirect=true</t>
  </si>
  <si>
    <t>angela.lucano@upc.pe</t>
  </si>
  <si>
    <t>Gestión integral de notas e base a los componentes calificables (tipo de evaluación)</t>
  </si>
  <si>
    <t>Milagros Morgan - VRAI UPC</t>
  </si>
  <si>
    <t>RITM123456</t>
  </si>
  <si>
    <t>PRUEBA</t>
  </si>
  <si>
    <t>La automatización del registro de notas se ha convertido en una necesidad clave para asegurar la calidad académica, la eficiencia operativa y la coherencia pedagógica en los procesos de la UPC. 
Hoy se cuenta con múltiples plataformas y registros paralelos que requieren doble digitación (de componentes calificables en uImprove y Blackboard, y de notas en Blackboard y uClass), lo cual no solo incrementa la carga administrativa, sino que también aumenta el riesgo de inconsistencias y errores que afectan directamente la experiencia del estudiante y del docente.
Hoy se genera un reproceso manual de registro de componentes de calificables y notas en diferentes cursos y en dos aplicativos: Blackboard y uClass, en fechas específicas, desencadenando en posibles errores de digitalización e impactan en la satisfacción del alumno, quejas y mayor cantidad de trámites para revisión de notas.
*Componentes calificables: Son tipo de evaluaciones que se puede tener en un curso según lo indicado en su syllabus.</t>
  </si>
  <si>
    <t>Corrección de evaluación
Registro de notas
Trámites de revisión de notas
Revisión y corrección de notas
Reclamos
Assessment al alumno</t>
  </si>
  <si>
    <t>Los profesores deben poder ingresar las calificaciones una sola vez, en un sistema integrado que distribuya automáticamente la información hacia todos los módulos y plataformas institucionales. Esto reduce el tiempo invertido en tareas administrativas y les permite enfocarse en lo realmente importante: la enseñanza, el acompañamiento pedagógico y la retroalimentación oportuna a los estudiantes.
Proceso esperado:
Primero, que migre automáticamente los componentes calificables desde uImprove a Blackboard y a UClass o su reemplazo, y Banner. -&gt; Con ello se puede ver la factibilidad de estandarizar la creación de componentes calificables y facilitar el registro que minimice errores y quejas de alumnos.
Después de que se tengan los componentes calificables en Blackboard, todas las notas registradas migren a UClass (o su reemplazo) y Banner. -&gt; Mitiga la cantidad de solicitud de revisión de notas (trámites), insatisfacción y quejas por parte de alumnos.
Usando insumos de gestión docente que tiene la base de docentes.</t>
  </si>
  <si>
    <t>Hoy se genera un reproceso manual de registro de componentes de calificables y notas en cursos de Pregrado, EPE, Posgrado, plan curricular, curso de titulación, extraacadémicos u otros, en dos aplicativos: Blackboard y uClass, ya que no hay una herramienta integral que gestione los componentes calificables ni una migración de las notas en estos dos aplicativos, lo cual genera posibles errores de digitalización. Estos errores desencadenan en Trámites que registra el alumno para revisión de notas, quejas, reclamos e insatisfacción.</t>
  </si>
  <si>
    <t>El sistema de uClass no está estable y no hay una automatización del proceso de gestión integral de notas.
Se tiene un reproceso para la creación de componentes calificables y registro de notas en Blackboard y uClass.</t>
  </si>
  <si>
    <t>Anthology
uPlanner
Banner
Soporte técnico
Coordinación académica
Áreas de registro y control académico</t>
  </si>
  <si>
    <t>Alumnos con diferente registro de notas
Docentes 
Secretaría Académica
Calidad Educativa
DADIE</t>
  </si>
  <si>
    <t>Quejas de alumnos, mayor cantidad de trámites relacionados a revisión de notas por error de digitalización, instisfacción del alumno, ineficiencia operativa que desencadena en un impacto en la imagen institucional.
Cantidad de Resoluciones por modificación de nota -&gt; 283 anuales
Cantidad de Actas por error de digitación -&gt; 2070 anuales
Cantidad de Trámites por Revisión de notas -&gt; 2070 anuales
Tiempo en registrar notas en uClass (duplicado) -&gt; 29,260 horas de registros anuales (5,852 cursos x pregrado y EPE, considerando un tiempo apróx de 5hrs en el registro de notas de un curso con 10 secciones y 4 evaluaciones)
Los montos son referenciales al análisis en 2022. Los montos anuales actualizados se tendrán al cierre del periodo académico en 2025.</t>
  </si>
  <si>
    <t>Se necesita una gestión integral de notas donde se migre automáticamente los componentes calificables desde uImprove a Blackboard y a UClass (o su reemplazo) y Banner y todas las notas registradas en Blackboard migren a UClass (o su reemplazo) y Banner, para que se eliminen los reprocesos y se garantice la integridad de la información de notas en las fechas específicas, logrando que el 100% de notas se registren correctamente (sin observaciones, quejas, reclamos de error de digitalización, menor cantidad de trámites relacionados) y aumentar la satisfacción del alumno, logrando eficiencia operativa, calidad académica, asesoramiento más oportuno al alumno (retención) y escalabilidad.</t>
  </si>
  <si>
    <t>Transformación Digital;Calidad Académica;Excelencia Operativa</t>
  </si>
  <si>
    <t>100% infraestructura tecnológica optimizada que fortalece la calidad académica en UPC
100% escalabilidad en la estandarización de la creación de componentes de calificables en Blackboard (según sílabo) para todos los cursos, de tal manera que permita a UPC una integración efectiva a Uclass (o reemplazo).
100% de notas se registren correctamente (sin observaciones, quejas, reclamos de error de digitalización, menor cantidad de trámites relacionados)
Reducción de 29,260 horas anuales en en proceso de registro duplicado en uClass.*
*los montos son referenciales al análisis en 2022. Los montos anuales actualizados se tendrán al cierre del periodo académico en 2025.</t>
  </si>
  <si>
    <t>La duplicidad de digitación incrementa la probabilidad de inconsistencias en los datos (errores de tipeo, diferencias entre sistemas, notas desactualizadas, etc.). Un proceso automatizado garantizará:
- Información confiable y alineada en todos los sistemas.
- Menor necesidad de correcciones posteriores, reclamos, confusiones.
- Mayor trazabilidad y transparencia para auditorías internas y externas.
- Seguridad en la gestión de información sensible.
- Mayor satisfacción del alumno, logrando eficiencia operativa, transparencia en su progreso, calidad académica, confianza en los procesos de UPC e impacto positivo en la imagen institucional.
- Oportuna retención del alumno tras un asesoramiento más oportuno e identificación de patrones de desempeño (si las notas se reflejan de manera oportuna habrá un mejor monitoreo en el desempeño estudiantil).
- Mejor toma de decisiones académicas del alumno (retiros, recuperaciones, refuerzo)</t>
  </si>
  <si>
    <t>https://educorpperu-my.sharepoint.com/personal/diana_zapata_laureate_pe1/_layouts/15/Doc.aspx?sourcedoc=%7BCD3EC5CF-8742-473E-AECD-FA60DA266D94%7D&amp;file=Recomendaciones%20para%20tobe_Status_Angela%20Lucano%20Carran.xlsx&amp;action=default&amp;mobileredirect=true; https://educorpperu-my.sharepoint.com/personal/diana_zapata_laureate_pe1/Documents/Aplicaciones/Microsoft%20Forms/REGISTRO%20DE%20INICIATIVAS/Pregunta/Proceso%20AS%20IS%20-%20Gesti%C3%B3n%20de%20Notas_Angela%20Lucano%20Carran.pdf</t>
  </si>
  <si>
    <t>Dashboard de Sostenibilidad, para un prestamos con el banco mundial IFC</t>
  </si>
  <si>
    <t>Zoila Cáceres Oyarce</t>
  </si>
  <si>
    <t>RITM0571205</t>
  </si>
  <si>
    <t>Si se cuenta con presupuesto, necesitamos la estimación.</t>
  </si>
  <si>
    <t>Se requiere complementar el dashboard actual de sostenibilidad para sustentar un préstamo para el IFC. 
En el adjunto se menciona las los campos y tableros esperados. 
Todo esto debe estar dentro de la misma solución de Power automate que se tiene actualmente.</t>
  </si>
  <si>
    <t>Gestión de Sostenibilidad</t>
  </si>
  <si>
    <t>Contar con los nuevos tableros indicados en el adjunto.</t>
  </si>
  <si>
    <t>Actualmente se tiene una solución den Power Automate, lo que se requiere es complementar esta solución.</t>
  </si>
  <si>
    <t>Con la información cargada, es posible sustentar información para solicitar un préstamo ante el IFC.</t>
  </si>
  <si>
    <t>Esto directamente es con Sostenibilidad.</t>
  </si>
  <si>
    <t xml:space="preserve">Finanzas, Estrategia y Expansión y Dirección de Investigación e Innovación en Salud (DIIS)
</t>
  </si>
  <si>
    <t>No contar con una plataforma que permita carga la información y generar los reportes y dashboards esperados.</t>
  </si>
  <si>
    <t>Necesitamos tener estos nuevos tableros para que el equipo de sostenibilidad pueda registrar los datos (alimentar el sistema) logrando hacer visible la información con la forma y tiempo esperado para sustentar al IFC.</t>
  </si>
  <si>
    <t>Resp. Social y Sostenibilidad</t>
  </si>
  <si>
    <t>Préstamo de dinero del IFC para la construcción de la sede en Villa el Salvador ($60 MM)</t>
  </si>
  <si>
    <t xml:space="preserve">Concentrar la información de la gestión de sostenibilidad en una sola plataforma de gestión, optimizando reportes.
Préstamo de dinero del IFC para la construcción de VES ($60 MM)
</t>
  </si>
  <si>
    <t>https://educorpperu-my.sharepoint.com/personal/diana_zapata_laureate_pe1/_layouts/15/Doc.aspx?sourcedoc=%7BF41CE8E9-D4BF-4DC9-AFE8-D9DD5BC95593%7D&amp;file=Plataforma%20de%20Sostenibilidad%20para%20indicadores_Jose%20Paredes%20Herbozo.pptx&amp;action=edit&amp;mobileredirect=true</t>
  </si>
  <si>
    <t>Cambio en el trámite de traslado de carrera</t>
  </si>
  <si>
    <t>Maria Cifuentes - Calidad Educativa</t>
  </si>
  <si>
    <t>Usuario no tiene presupuesto</t>
  </si>
  <si>
    <t>Los alumnos que realizan un traslado de carrera, visualizan el cambio de inmediato en MiUPC, dejando de ver la información del ciclo actual.  Esto genera confusión y afecta su experiencia académica. Se requiere corregir la lógica para que el cambio se refleje solo en el periodo futuro.</t>
  </si>
  <si>
    <t>Traslado interno de carrera</t>
  </si>
  <si>
    <t>Que el alumno pueda iniciar su trámite sin impactar en la continuidad de sus clases en el periodo vigente, es decir, que pueda seguir viendo su carrera actual.</t>
  </si>
  <si>
    <t>Al aplicar el traslado el estudiante no ve la información del ciclo actual, ve del periodo futuro.</t>
  </si>
  <si>
    <t xml:space="preserve">El sistema finaliza la currícula vigente y crea una nueva para el periodo futuro, asociada a la carrera de destino.
</t>
  </si>
  <si>
    <t>Líderes de Dominio de Trámites y Banner</t>
  </si>
  <si>
    <t>Estudiantes que pasan por el trámite de traslado de carrera
Equipo de calidad educativa
Servicios Académicos</t>
  </si>
  <si>
    <t>Se tienen 800 casos por ciclo que presentan este problema.
Se atendieron 149 tickets en SN (enero - octubre).
Se presentaron 8 reclamos el 2025-1</t>
  </si>
  <si>
    <t>Necesitamos ajustar el proceso en Banner para que los estudiantes que realizan un traslado de carrera continúen visualizando la información correspondiente a su ciclo actual y no la del ciclo futuro, para asegurar que la experiencia académica refleje correctamente su situación vigente, evitando confusiones durante el periodo en curso, logrando eliminar la incertidumbre que hoy experimentan los estudiantes y reducir significativamente el tiempo invertido en correcciones manuales y en la atención de reclamos asociados.</t>
  </si>
  <si>
    <t>Reducir el gasto actual de un backfill S/60k
Reducir S/20k debido a multas de entidades regulatorias</t>
  </si>
  <si>
    <t>Mejorar la experiencia del estudiante.
Mitigar de riesgos reputacionales.
Menor carga operativa para las areas que solucionan este problema.</t>
  </si>
  <si>
    <t>https://educorpperu-my.sharepoint.com/personal/diana_zapata_laureate_pe1/_layouts/15/Doc.aspx?sourcedoc=%7B1182D8E1-CAEE-4FFB-A8A2-B813699EFD86%7D&amp;file=DP-02-Formato_Petici%C3%B3n_de_cambio_Tr%C3%A1mite%20Tras_Angela%20Lucano%20Carran.docx&amp;action=default&amp;mobileredirect=true</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</si>
  <si>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</si>
  <si>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</si>
  <si>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</si>
  <si>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</si>
  <si>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</si>
  <si>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</si>
  <si>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</si>
  <si>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</si>
  <si>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</si>
  <si>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</si>
  <si>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</si>
  <si>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</si>
  <si>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</si>
  <si>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</si>
  <si>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</si>
  <si>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</si>
  <si>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</si>
  <si>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</si>
  <si>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</si>
  <si>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</si>
  <si>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</si>
  <si>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</si>
  <si>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</si>
  <si>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</si>
  <si>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</si>
  <si>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</si>
  <si>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</si>
  <si>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</si>
  <si>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</si>
  <si>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</si>
  <si>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</si>
  <si>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</si>
  <si>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</si>
  <si>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</si>
  <si>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</si>
  <si>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</si>
  <si>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</si>
  <si>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</si>
  <si>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</si>
  <si>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</si>
  <si>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</si>
  <si>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</si>
  <si>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</si>
  <si>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</si>
  <si>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</si>
  <si>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</si>
  <si>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</si>
  <si>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</si>
  <si>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</si>
  <si>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</si>
  <si>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</si>
  <si>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</si>
  <si>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</si>
  <si>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</si>
  <si>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</si>
  <si>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</si>
  <si>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</si>
  <si>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</si>
  <si>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</si>
  <si>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</si>
  <si>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</si>
  <si>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</si>
  <si>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</si>
  <si>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</si>
  <si>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</si>
  <si>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</si>
  <si>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</si>
  <si>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Descripción general</t>
  </si>
  <si>
    <t>Peso</t>
  </si>
  <si>
    <t>Descripción del nivel</t>
  </si>
  <si>
    <t>Puntaje</t>
  </si>
  <si>
    <t>Columna</t>
  </si>
  <si>
    <t>Proyectos de la SPO</t>
  </si>
  <si>
    <t>Proyecto que forma parte de la SPO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</si>
  <si>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</si>
  <si>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</si>
  <si>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</si>
  <si>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</si>
  <si>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Medio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</si>
  <si>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</si>
  <si>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</si>
  <si>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</si>
  <si>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</si>
  <si>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</si>
  <si>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</si>
  <si>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</si>
  <si>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</si>
  <si>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</si>
  <si>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</si>
  <si>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t>Alineación estratégica</t>
  </si>
  <si>
    <t>Mide el impacto en los pilares estratégicos de la organización.</t>
  </si>
  <si>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</si>
  <si>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</si>
  <si>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</si>
  <si>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</si>
  <si>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</si>
  <si>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</si>
  <si>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</si>
  <si>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</si>
  <si>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</si>
  <si>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</si>
  <si>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</si>
  <si>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</si>
  <si>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</si>
  <si>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</si>
  <si>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</si>
  <si>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</si>
  <si>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</si>
  <si>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</si>
  <si>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</si>
  <si>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</si>
  <si>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</si>
  <si>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</si>
  <si>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</si>
  <si>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</si>
  <si>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</si>
  <si>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</si>
  <si>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</si>
  <si>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</si>
  <si>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</si>
  <si>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</si>
  <si>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</si>
  <si>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</si>
  <si>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</si>
  <si>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</si>
  <si>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</si>
  <si>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</si>
  <si>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</si>
  <si>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</si>
  <si>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</si>
  <si>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</si>
  <si>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</si>
  <si>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</si>
  <si>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</si>
  <si>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</si>
  <si>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</si>
  <si>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</si>
  <si>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</si>
  <si>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Proyecto o Requerimiento No BAU</t>
  </si>
  <si>
    <t>Aprobar Estimación (SI/NO)</t>
  </si>
  <si>
    <t>Presupuesto habilitado
 (SI/NO)</t>
  </si>
  <si>
    <t>STRING</t>
  </si>
  <si>
    <t>Seguridad</t>
  </si>
  <si>
    <t xml:space="preserve">Carlos Sanchez </t>
  </si>
  <si>
    <t>Se ingresó por gestión de demanda para regularizar el requerimiento, pero era un actividad que ya estaba trabajándose y se tenía el entendimiento que se ejecutaría el pase a PRD posterior a  la matrícula, por favor confirmar ello.</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</si>
  <si>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</si>
  <si>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</si>
  <si>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Pedro Guibar</t>
  </si>
  <si>
    <t>José Paredes</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</si>
  <si>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</si>
  <si>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</si>
  <si>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</si>
  <si>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</si>
  <si>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Cesar Soplin</t>
  </si>
  <si>
    <t>OZ</t>
  </si>
  <si>
    <t>Horas de configuración de proveedor (data actions), diseño de solución, pruebas y pase a producción. Es para las 3 instituciones. Se asume no se generan reportes externos (Reporte Plano) y esta No llega a CRM. Esta es un requerimiento de mejora.</t>
  </si>
  <si>
    <t>No BAU</t>
  </si>
  <si>
    <t>Sí</t>
  </si>
  <si>
    <t>Aprobado</t>
  </si>
  <si>
    <t>Pendiente del negocio</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</si>
  <si>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</si>
  <si>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</si>
  <si>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Claudia Cabrera - VP Comunicaciones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</si>
  <si>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</si>
  <si>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</si>
  <si>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</si>
  <si>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</si>
  <si>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</si>
  <si>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</si>
  <si>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</si>
  <si>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NO BAU</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</si>
  <si>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</si>
  <si>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</si>
  <si>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Sebastian Lindley - VP Transformación</t>
  </si>
  <si>
    <t xml:space="preserve">Esther Capcha </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</si>
  <si>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</si>
  <si>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</si>
  <si>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</si>
  <si>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</si>
  <si>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</si>
  <si>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</si>
  <si>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</si>
  <si>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</si>
  <si>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</si>
  <si>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</si>
  <si>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</si>
  <si>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</si>
  <si>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</si>
  <si>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</si>
  <si>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</si>
  <si>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</si>
  <si>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</si>
  <si>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</si>
  <si>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</si>
  <si>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</si>
  <si>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</si>
  <si>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</si>
  <si>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</si>
  <si>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</si>
  <si>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</si>
  <si>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</si>
  <si>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</si>
  <si>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</si>
  <si>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</si>
  <si>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</si>
  <si>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</si>
  <si>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Cesar Soplín</t>
  </si>
  <si>
    <t>Proveedor FDZ desarrollo de servicios web. Desarrollo interno para que FUNNEL no considere esta información. Configurar reglas de negocio por equipos SDR.</t>
  </si>
  <si>
    <t>Externos + Internos</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</si>
  <si>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</si>
  <si>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</si>
  <si>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</si>
  <si>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</si>
  <si>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Davi Paula Lima Goulart</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</si>
  <si>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</si>
  <si>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</si>
  <si>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</si>
  <si>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</si>
  <si>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</si>
  <si>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</si>
  <si>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</si>
  <si>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Finalizado</t>
  </si>
  <si>
    <t>30/04: En observación la asignación del Líder de Dominio, ya que LEGO no tiene como alcance únicamente la programación horaria.</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</si>
  <si>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</si>
  <si>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</si>
  <si>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</si>
  <si>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</si>
  <si>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</si>
  <si>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</si>
  <si>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</si>
  <si>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Ivan Rengifo</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</si>
  <si>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</si>
  <si>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</si>
  <si>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</si>
  <si>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</si>
  <si>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</si>
  <si>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</si>
  <si>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</si>
  <si>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</si>
  <si>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</si>
  <si>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</si>
  <si>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</si>
  <si>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Lo solicitado es estimación precisa de las integraciones necesarias para el ECOMMERCE. Esto requiere reuniones con los lideres de dominio de las aplicaciones relacionadas y con proveedor.</t>
  </si>
  <si>
    <t>El negocio ya aprobó la estimación de costo y tiempo.</t>
  </si>
  <si>
    <t>String: 9000-852200-90
Cuenta: 1500400
Proyecto (Es CAPEX): PER049000003010</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</si>
  <si>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</si>
  <si>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</si>
  <si>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</si>
  <si>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</si>
  <si>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</si>
  <si>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</si>
  <si>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Student Success y Empleabilidad</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</si>
  <si>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</si>
  <si>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</si>
  <si>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</si>
  <si>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</si>
  <si>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Se acepta la estimación a alto nivel ya que actualmente estamos en anteproyecto con el Dominio y PM.</t>
  </si>
  <si>
    <t>gerson.vereau@laureate.pe</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</si>
  <si>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</si>
  <si>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</si>
  <si>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Franco Chiappe</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</si>
  <si>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</si>
  <si>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</si>
  <si>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</si>
  <si>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</si>
  <si>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</si>
  <si>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Interno / Externo</t>
  </si>
  <si>
    <t>Req. No catalogado</t>
  </si>
  <si>
    <t>Proyecto o Req. No catalogado</t>
  </si>
  <si>
    <t>Aprobar Estimación/Reestimación (SI/NO)</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</si>
  <si>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</si>
  <si>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</si>
  <si>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</si>
  <si>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</si>
  <si>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UPC;LAUREATE PERÚ;CIB;UPN</t>
  </si>
  <si>
    <t>Ronald Benites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</si>
  <si>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</si>
  <si>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</si>
  <si>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</si>
  <si>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</si>
  <si>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</si>
  <si>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</si>
  <si>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Internos y Externos</t>
  </si>
  <si>
    <t>15/05 NC: Se envió por correo estimación al usuario solicitante</t>
  </si>
  <si>
    <t xml:space="preserve">15/05 NC: </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</si>
  <si>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</si>
  <si>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</si>
  <si>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</si>
  <si>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</si>
  <si>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</si>
  <si>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</si>
  <si>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</si>
  <si>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</si>
  <si>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</si>
  <si>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</si>
  <si>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</si>
  <si>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</si>
  <si>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</si>
  <si>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</si>
  <si>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</si>
  <si>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</si>
  <si>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</si>
  <si>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Aaron Melgar</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</si>
  <si>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</si>
  <si>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</si>
  <si>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</si>
  <si>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</si>
  <si>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</si>
  <si>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En revisión del presupuesto.</t>
  </si>
  <si>
    <t>Migración de Notas desde Blackboard a Gestión Docente</t>
  </si>
  <si>
    <t>Lograr eficiencia en la gestión docente, ahora la asignación es manual es ambos sistemas.
Nota: Esta es la mejora top 2 del workshop Better Together con Cibertec.</t>
  </si>
  <si>
    <t>sfafag</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</si>
  <si>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</si>
  <si>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</si>
  <si>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</si>
  <si>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</si>
  <si>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</si>
  <si>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</si>
  <si>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Se solicitó reestimación</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</si>
  <si>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</si>
  <si>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</si>
  <si>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</si>
  <si>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</si>
  <si>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</si>
  <si>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</si>
  <si>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</si>
  <si>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</si>
  <si>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</si>
  <si>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</si>
  <si>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</si>
  <si>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</si>
  <si>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</si>
  <si>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</si>
  <si>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</si>
  <si>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</si>
  <si>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 xml:space="preserve">                                   7.173,00 </t>
  </si>
  <si>
    <t>04/06: Se tiene reunión con el usuario para terminar definiciones. Se terminará el 05/06</t>
  </si>
  <si>
    <t>Requerimiento reporte CB008 en BI - Compra de carpetas de becas socioeconómicas</t>
  </si>
  <si>
    <t>Este se requiere para identificar a estudiantes que han adquirido su carpeta para postular a esta beca e iniciar su postulación para el 2026-2.</t>
  </si>
  <si>
    <t>Loussiana Pacheco</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</si>
  <si>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</si>
  <si>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</si>
  <si>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</si>
  <si>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</si>
  <si>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</si>
  <si>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</si>
  <si>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Se requiere exploración previa, dado que no se cuenta con lógica de carga del reporte que se solicita migrar</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</si>
  <si>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</si>
  <si>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</si>
  <si>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</si>
  <si>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</si>
  <si>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</si>
  <si>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</si>
  <si>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</si>
  <si>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</si>
  <si>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</si>
  <si>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04/06: Agregar link de estimación</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</si>
  <si>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</si>
  <si>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</si>
  <si>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</si>
  <si>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</si>
  <si>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</si>
  <si>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</si>
  <si>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</si>
  <si>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</si>
  <si>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</si>
  <si>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No bau</t>
  </si>
  <si>
    <t xml:space="preserve">04/06: Se viene avanzando con la estimación. Se ha tenido reuniones con Neoris y Digital Tech. Se viene estimando los servicios por parte de Gilberth y los Stored Procedure por parte de Neoris. </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</si>
  <si>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</si>
  <si>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</si>
  <si>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</si>
  <si>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Es validad la información de tráfico CRM</t>
  </si>
  <si>
    <t>Internos</t>
  </si>
  <si>
    <t>No Bau</t>
  </si>
  <si>
    <t>Se tiene que validar el trafico de los CRM según la politica de seguridad</t>
  </si>
  <si>
    <t>pamela.espinoza@laureate.pe</t>
  </si>
  <si>
    <t>Pamela Carolina Espinoza Tavera</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</si>
  <si>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</si>
  <si>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</si>
  <si>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</si>
  <si>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</si>
  <si>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</si>
  <si>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</si>
  <si>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</si>
  <si>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</si>
  <si>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</si>
  <si>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</si>
  <si>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Requerimiento</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</si>
  <si>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</si>
  <si>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</si>
  <si>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</si>
  <si>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</si>
  <si>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</si>
  <si>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 Se estima 1 Etelero por 4 meses</t>
  </si>
  <si>
    <t>[211] Cambio de modalidad: MDDU para registro de cambio de modalidad de estudios</t>
  </si>
  <si>
    <t>Manuel Cortez Fontcuberta</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</si>
  <si>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</si>
  <si>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Ver archivo adjunto con información del requerimiento. Link: https://educorpperu.sharepoint.com/:x:/s/Repositorio_EquipoCentral/dit/portafoliosyp/IQBPjj-nPuoDQbtwySJjx2sbAR4Cx0FwHcOnpoZf6N5wGdw?e=Qxpak20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</si>
  <si>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</si>
  <si>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</si>
  <si>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</si>
  <si>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</si>
  <si>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</si>
  <si>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</si>
  <si>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</si>
  <si>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</si>
  <si>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</si>
  <si>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</si>
  <si>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</si>
  <si>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Fecha inicio
[Planificada]</t>
  </si>
  <si>
    <t>Fecha fin
[Planificada]</t>
  </si>
  <si>
    <t>bruno.chiappe@laureate.pe</t>
  </si>
  <si>
    <t>Bruno Chiappe Vegas</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</si>
  <si>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</si>
  <si>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</si>
  <si>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Ada Cadillo</t>
  </si>
  <si>
    <t>https://educorpperu-my.sharepoint.com/personal/diana_zapata_laureate_pe1/Documents/Aplicaciones/Microsoft%20Forms/REGISTRO%20DE%20INICIATIVAS%20-%20GESTI%C3%93N%20DE%20LA%20DEMANDA%20(2%201/Pregunta/RITM0625292_Bruno%20Chiappe%20Vegas.pdf</t>
  </si>
  <si>
    <t>Bruno Chiappe </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</si>
  <si>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</si>
  <si>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</si>
  <si>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</si>
  <si>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</si>
  <si>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</si>
  <si>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Requerimiento NO BAU</t>
  </si>
  <si>
    <t>No requiere presupuesto</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</si>
  <si>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</si>
  <si>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9000-800700-90 (Control Interno)</t>
  </si>
  <si>
    <t>JERARQUÍA INSTITUCIONAL - Visualizar los Resultados Basados en Competencias en el dashboard para el sistema de Assessment</t>
  </si>
  <si>
    <t xml:space="preserve">Jorge Bossio </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</si>
  <si>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</si>
  <si>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</si>
  <si>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</si>
  <si>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</si>
  <si>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</si>
  <si>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</si>
  <si>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</si>
  <si>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</si>
  <si>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</si>
  <si>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</si>
  <si>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</si>
  <si>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</si>
  <si>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</si>
  <si>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</si>
  <si>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</si>
  <si>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Jose Horna - Jefe de Trámites, Quejas y Reclamos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</si>
  <si>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</si>
  <si>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</si>
  <si>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</si>
  <si>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</si>
  <si>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</si>
  <si>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</si>
  <si>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</si>
  <si>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Requemiento NO BAU</t>
  </si>
  <si>
    <t>Este requerimiento por la premura del tema va a ser atendida por el equipo de la aceleradora digital, para esto Angela Lucano ingresaria un pedido con el equipo de Julio Vilca y Janny Nicasio</t>
  </si>
  <si>
    <t>Cambio de SAC a SRL - UPC</t>
  </si>
  <si>
    <t>Cambiar de SAC a SRL - UPC, normativo</t>
  </si>
  <si>
    <t>Legal</t>
  </si>
  <si>
    <t>Proceso de cambio de tipo de sociedad de UPC, pasando de SAC a SRL.</t>
  </si>
  <si>
    <t>Procesos de facturación</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</si>
  <si>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</si>
  <si>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</si>
  <si>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</si>
  <si>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El negocio está gestionando directamente con el proveedor. (Elmer Zapata)</t>
  </si>
  <si>
    <t>Cambio de SAC a SRL - UPN</t>
  </si>
  <si>
    <t>Cambiar de SAC a SRL - UPN</t>
  </si>
  <si>
    <t>Franco chiappe</t>
  </si>
  <si>
    <t>Proceso de cambio de tipo de sociedad de UPN, pasando de SAC a SRL.</t>
  </si>
  <si>
    <t>Complejidad de estimación</t>
  </si>
  <si>
    <t>días laborables</t>
  </si>
  <si>
    <t>Planificación aprobada (SI/NO)</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</si>
  <si>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</si>
  <si>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</si>
  <si>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</si>
  <si>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</si>
  <si>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Carlos Sánchez Rubio</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</si>
  <si>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</si>
  <si>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</si>
  <si>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</si>
  <si>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</si>
  <si>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Requerimiento No BAU</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</si>
  <si>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</si>
  <si>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</si>
  <si>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</si>
  <si>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</si>
  <si>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</si>
  <si>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</si>
  <si>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</si>
  <si>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</si>
  <si>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</si>
  <si>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</si>
  <si>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04/06: Se necesita las reglas definidas claramente. William S. está documentando las reglas y se las alcanzará a Gilberth para ralizar la estimación correspondiente.</t>
  </si>
  <si>
    <t>Fecha inicio</t>
  </si>
  <si>
    <t>Fecha fin</t>
  </si>
  <si>
    <t>Requerimiento no BAU</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</si>
  <si>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</si>
  <si>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</si>
  <si>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</si>
  <si>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</si>
  <si>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</si>
  <si>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</si>
  <si>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</si>
  <si>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</si>
  <si>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</si>
  <si>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</si>
  <si>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</si>
  <si>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Lucia Vega /Carlos Quenema</t>
  </si>
  <si>
    <t>- Actualización del 05/03: Este tema ya ha sido atendido con el ticket REQ0736193 [RITM0594900]. Debemos validar si con eso el requerimiento está completo</t>
  </si>
  <si>
    <t>Este pedido ya se entregó a inicios de Marzo</t>
  </si>
  <si>
    <t>frank.palomino@cibertec.pe</t>
  </si>
  <si>
    <t>Frank Palomino Lizano</t>
  </si>
  <si>
    <t>Reporte de asistencia y tardanza</t>
  </si>
  <si>
    <t>Análisis de  asistencia y tardanza en base a falla de marcación por error de sistema y/o error humano</t>
  </si>
  <si>
    <t>JUAN HUAPATA / GESTION DOCENTE</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</si>
  <si>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</si>
  <si>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</si>
  <si>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</si>
  <si>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</si>
  <si>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Nohelí cabrera</t>
  </si>
  <si>
    <t xml:space="preserve">Se considera que los campos (#20) solicitados para el reporte ya existen en la BD </t>
  </si>
  <si>
    <t>30/03 Rosario de Paz confirma las fechas
fecha de inicio   01/07/2026 y fin 22/07/2026</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</si>
  <si>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</si>
  <si>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</si>
  <si>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</si>
  <si>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</si>
  <si>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</si>
  <si>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</si>
  <si>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</si>
  <si>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</si>
  <si>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</si>
  <si>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Luis Roncal - Director de Retención</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</si>
  <si>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</si>
  <si>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</si>
  <si>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</si>
  <si>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</si>
  <si>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</si>
  <si>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</si>
  <si>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</si>
  <si>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</si>
  <si>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</si>
  <si>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</si>
  <si>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</si>
  <si>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</si>
  <si>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</si>
  <si>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</si>
  <si>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</si>
  <si>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</si>
  <si>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</si>
  <si>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</si>
  <si>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</si>
  <si>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</si>
  <si>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</si>
  <si>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</si>
  <si>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</si>
  <si>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</si>
  <si>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</si>
  <si>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</si>
  <si>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</si>
  <si>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</si>
  <si>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</si>
  <si>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</si>
  <si>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</si>
  <si>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</si>
  <si>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Alvaro Valdez</t>
  </si>
  <si>
    <t>Sharon Chou - Gerente De Expansion</t>
  </si>
  <si>
    <t>Campus Expansion &amp; Operation Optimization</t>
  </si>
  <si>
    <t>Nueva sede</t>
  </si>
  <si>
    <t>Crecimiento Escalable</t>
  </si>
  <si>
    <t>Ricardo Ceino</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</si>
  <si>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</si>
  <si>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</si>
  <si>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</si>
  <si>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</si>
  <si>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</si>
  <si>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Alexander Sindical - Jefe de Riesgo y Seguridad Física y Electrónica</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</si>
  <si>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</si>
  <si>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</si>
  <si>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</si>
  <si>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</si>
  <si>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</si>
  <si>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Alan Medina</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</si>
  <si>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</si>
  <si>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</si>
  <si>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</si>
  <si>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</si>
  <si>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</si>
  <si>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</si>
  <si>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CIBERTEC</t>
  </si>
  <si>
    <t>-</t>
  </si>
  <si>
    <t>https://educorpperu-my.sharepoint.com/personal/diana_zapata_laureate_pe1/_layouts/15/Doc.aspx?sourcedoc=%7BD0123EBB-E1DD-4B8D-B020-03C7996582CF%7D&amp;file=Pruebas%20SPO_Diana%20Zapata%20Del%20Mar.docx&amp;action=default&amp;mobileredirect=true</t>
  </si>
  <si>
    <t>S/ 0.00</t>
  </si>
  <si>
    <t>#Digital&amp;AI - Speech Analytics Laureate</t>
  </si>
  <si>
    <t xml:space="preserve">Bruno </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</si>
  <si>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</si>
  <si>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</si>
  <si>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</si>
  <si>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</si>
  <si>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</si>
  <si>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</si>
  <si>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</si>
  <si>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</si>
  <si>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</si>
  <si>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</si>
  <si>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</si>
  <si>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Javier Santiago Modesto - Aceleradora Digital</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</si>
  <si>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</si>
  <si>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</si>
  <si>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</si>
  <si>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</si>
  <si>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Ana María Rojas/ Janny Nicasio</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</si>
  <si>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</si>
  <si>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</si>
  <si>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</si>
  <si>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</si>
  <si>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</si>
  <si>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</si>
  <si>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</si>
  <si>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</si>
  <si>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</si>
  <si>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</si>
  <si>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</si>
  <si>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</si>
  <si>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</si>
  <si>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Completo</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</si>
  <si>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</si>
  <si>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</si>
  <si>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</si>
  <si>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</si>
  <si>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</si>
  <si>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</si>
  <si>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</si>
  <si>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</si>
  <si>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</si>
  <si>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</si>
  <si>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</si>
  <si>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Gali García - Gerencia de operaciones académicas</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</si>
  <si>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</si>
  <si>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</si>
  <si>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</si>
  <si>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</si>
  <si>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</si>
  <si>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Nohelí Cabrera / Carlos Olivera / Lucía Vega / Nicolas Morales</t>
  </si>
  <si>
    <t>- El costo incluye horas de proveedor Neoris, contratación de personas. No incluye licencias de BB.</t>
  </si>
  <si>
    <t>SI
String
9000-833030-90</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</si>
  <si>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</si>
  <si>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</si>
  <si>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 Directora de Estrategia de Experiencia</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</si>
  <si>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</si>
  <si>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</si>
  <si>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</si>
  <si>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</si>
  <si>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MEDIA</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</si>
  <si>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</si>
  <si>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</si>
  <si>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</si>
  <si>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Janny Nicasio - Aceleradora Digital</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</si>
  <si>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</si>
  <si>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</si>
  <si>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</si>
  <si>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</si>
  <si>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</si>
  <si>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</si>
  <si>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</si>
  <si>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 xml:space="preserve">Janeth Albujar Rodriguez </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</si>
  <si>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</si>
  <si>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</si>
  <si>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</si>
  <si>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</si>
  <si>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</si>
  <si>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</si>
  <si>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</si>
  <si>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</si>
  <si>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Requerimiento No Bau</t>
  </si>
  <si>
    <t>Alfredo Hoffmann</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</si>
  <si>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</si>
  <si>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</si>
  <si>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 xml:space="preserve">Luis Roncal </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</si>
  <si>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</si>
  <si>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</si>
  <si>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</si>
  <si>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</si>
  <si>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</si>
  <si>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</si>
  <si>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</si>
  <si>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Andrade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</si>
  <si>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</si>
  <si>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</si>
  <si>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</si>
  <si>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</si>
  <si>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</si>
  <si>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</si>
  <si>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</si>
  <si>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</si>
  <si>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</si>
  <si>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Lucía Vega (Manuel Valle)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</si>
  <si>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</si>
  <si>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</si>
  <si>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</si>
  <si>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</si>
  <si>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</si>
  <si>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</si>
  <si>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</si>
  <si>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</si>
  <si>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</si>
  <si>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</si>
  <si>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</si>
  <si>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</si>
  <si>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</si>
  <si>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</si>
  <si>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</si>
  <si>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</si>
  <si>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</si>
  <si>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</si>
  <si>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</si>
  <si>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 xml:space="preserve">Soledad Alfaro Jimenez </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</si>
  <si>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</si>
  <si>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</si>
  <si>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</si>
  <si>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</si>
  <si>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</si>
  <si>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</si>
  <si>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</si>
  <si>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</si>
  <si>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</si>
  <si>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</si>
  <si>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</si>
  <si>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</si>
  <si>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</si>
  <si>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</si>
  <si>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</si>
  <si>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</si>
  <si>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Comercial</t>
  </si>
  <si>
    <t>Toma de decisiones corporativas que da beneficios a todos</t>
  </si>
  <si>
    <t>ETL nuevo exclusivo para este fin</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</si>
  <si>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</si>
  <si>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</si>
  <si>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</si>
  <si>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</si>
  <si>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</si>
  <si>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</si>
  <si>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</si>
  <si>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</si>
  <si>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</si>
  <si>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</si>
  <si>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</si>
  <si>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</si>
  <si>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</si>
  <si>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</si>
  <si>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</si>
  <si>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</si>
  <si>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</si>
  <si>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</si>
  <si>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</si>
  <si>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</si>
  <si>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</si>
  <si>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</si>
  <si>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</si>
  <si>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</si>
  <si>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</si>
  <si>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</si>
  <si>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</si>
  <si>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</si>
  <si>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</si>
  <si>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</si>
  <si>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</si>
  <si>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</si>
  <si>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</si>
  <si>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</si>
  <si>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</si>
  <si>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</si>
  <si>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</si>
  <si>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 xml:space="preserve">Alice Rodrigues Hoyer </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</si>
  <si>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</si>
  <si>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</si>
  <si>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</si>
  <si>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</si>
  <si>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Lucía Vega / Juan Benitez / Ana Maria Rojas</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</si>
  <si>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</si>
  <si>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</si>
  <si>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</si>
  <si>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</si>
  <si>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 xml:space="preserve">Yna Loussiana Pacheco </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</si>
  <si>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</si>
  <si>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</si>
  <si>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</si>
  <si>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</si>
  <si>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</si>
  <si>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</si>
  <si>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</si>
  <si>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</si>
  <si>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</si>
  <si>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</si>
  <si>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</si>
  <si>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</si>
  <si>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</si>
  <si>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</si>
  <si>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</si>
  <si>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</si>
  <si>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</si>
  <si>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</si>
  <si>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</si>
  <si>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</si>
  <si>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</si>
  <si>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</si>
  <si>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</si>
  <si>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</si>
  <si>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</si>
  <si>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</si>
  <si>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</si>
  <si>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</si>
  <si>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</si>
  <si>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</si>
  <si>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</si>
  <si>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</si>
  <si>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</si>
  <si>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</si>
  <si>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</si>
  <si>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</si>
  <si>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</si>
  <si>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</si>
  <si>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</si>
  <si>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</si>
  <si>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</si>
  <si>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</si>
  <si>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</si>
  <si>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</si>
  <si>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</si>
  <si>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</si>
  <si>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 - Data &amp; BI</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</si>
  <si>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</si>
  <si>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</si>
  <si>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</si>
  <si>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</si>
  <si>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</si>
  <si>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</si>
  <si>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</si>
  <si>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Aplicación de la gestión de la demanda</t>
  </si>
  <si>
    <t>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t>
  </si>
  <si>
    <t>No aplica - Iniciativa de la TTD</t>
  </si>
  <si>
    <t>https://educorpperu-my.sharepoint.com/personal/diana_zapata_laureate_pe1/Documents/Aplicaciones/Microsoft%20Forms/REGISTRO%20DE%20INICIATIVAS%20-%20GESTI%C3%93N%20DE%20LA%20DEMANDA%20(2%201/Pregunta/Aprobaci%C3%B3n%20Omar%20Z._Diana%20Zapata%20Del%20Mar.pdf</t>
  </si>
  <si>
    <t>Actualmente el proceso de la demanda se realiza con carios excel y todos los cambios de estado son manuales. Esto tiene un gran riesgo a nivel de data y por otro lado una gran limitación para el seguimiento</t>
  </si>
  <si>
    <t>Contar con una plataforma que soporte todo el proceso de la gestión de la demanda</t>
  </si>
  <si>
    <t>Cross a la TTD y negocio</t>
  </si>
  <si>
    <t>Mejorar el proceso de la gestión de la demanda, permitiendo mayor rapidez en la signación de casos, mejor trazzabilidad y reduciendo el riesgo por cambios manuales.</t>
  </si>
  <si>
    <t>https://educorpperu-my.sharepoint.com/personal/diana_zapata_laureate_pe1/Documents/Aplicaciones/Microsoft%20Forms/REGISTRO%20DE%20INICIATIVAS%20-%20GESTI%C3%93N%20DE%20LA%20DEMANDA%20(2%201/Adjuntar%20sustentos%20que%20ayuden%20al%20entendimiento%20de/Cronograma%20MVP%20demanda%20V1.0_Diana%20Zapata%20Del%20Mar.pdf</t>
  </si>
  <si>
    <t>Cambio SAC - SRL</t>
  </si>
  <si>
    <t>Proceso de cambio de tipo de sociedad de Cibertec, pasando de SAC a SRL.</t>
  </si>
  <si>
    <t xml:space="preserve">Rafael Andrade </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</si>
  <si>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</si>
  <si>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</si>
  <si>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</si>
  <si>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</si>
  <si>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</si>
  <si>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</si>
  <si>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</si>
  <si>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</si>
  <si>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</si>
  <si>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</si>
  <si>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</si>
  <si>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</si>
  <si>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</si>
  <si>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</si>
  <si>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</si>
  <si>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</si>
  <si>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</si>
  <si>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</si>
  <si>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</si>
  <si>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</si>
  <si>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</si>
  <si>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</si>
  <si>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</si>
  <si>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</si>
  <si>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</si>
  <si>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</si>
  <si>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</si>
  <si>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</si>
  <si>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</si>
  <si>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Donoban Meza - Director Corp IT Security</t>
  </si>
  <si>
    <t>Las APIs exponen servicios y datos sensibles, pero no todas cuentan con validaciones de seguridad verificadas de forma periódica. Esto puede permitir explotación de vulnerabilidades como exposición de datos, fallas de autenticación o acceso indebido.</t>
  </si>
  <si>
    <t>No Aplica</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</si>
  <si>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</si>
  <si>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</si>
  <si>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</si>
  <si>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</si>
  <si>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</si>
  <si>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</si>
  <si>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</si>
  <si>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</si>
  <si>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</si>
  <si>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</si>
  <si>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</si>
  <si>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</si>
  <si>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</si>
  <si>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</si>
  <si>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</si>
  <si>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</si>
  <si>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</si>
  <si>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</si>
  <si>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</si>
  <si>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</si>
  <si>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</si>
  <si>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</si>
  <si>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</si>
  <si>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</si>
  <si>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</si>
  <si>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</si>
  <si>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</si>
  <si>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</si>
  <si>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</si>
  <si>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</si>
  <si>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</si>
  <si>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</si>
  <si>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</si>
  <si>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</si>
  <si>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</si>
  <si>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</si>
  <si>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</si>
  <si>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Una mejor segmentación de datos</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</si>
  <si>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</si>
  <si>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</si>
  <si>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</si>
  <si>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</si>
  <si>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</si>
  <si>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</si>
  <si>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</si>
  <si>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</si>
  <si>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</si>
  <si>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</si>
  <si>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</si>
  <si>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Carlos Sanchez</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</si>
  <si>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</si>
  <si>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</si>
  <si>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</si>
  <si>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</si>
  <si>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</si>
  <si>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Hugo Paucar</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</si>
  <si>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</si>
  <si>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</si>
  <si>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</si>
  <si>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</si>
  <si>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</si>
  <si>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</si>
  <si>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</si>
  <si>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</si>
  <si>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</si>
  <si>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</si>
  <si>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</si>
  <si>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</si>
  <si>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</si>
  <si>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</si>
  <si>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</si>
  <si>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</si>
  <si>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</si>
  <si>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</si>
  <si>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</si>
  <si>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</si>
  <si>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</si>
  <si>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Oz</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</si>
  <si>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</si>
  <si>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</si>
  <si>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</si>
  <si>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</si>
  <si>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</si>
  <si>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</si>
  <si>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</si>
  <si>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</si>
  <si>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</si>
  <si>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</si>
  <si>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</si>
  <si>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</si>
  <si>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</si>
  <si>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</si>
  <si>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</si>
  <si>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</si>
  <si>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</si>
  <si>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</si>
  <si>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</si>
  <si>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Enrique Ruiz Huidobro</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</si>
  <si>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</si>
  <si>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Se registrará un nuevo requerimiento ya que la usuario indica que le es vital que se tenga a tiempo real.</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</si>
  <si>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</si>
  <si>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</si>
  <si>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</si>
  <si>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</si>
  <si>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</si>
  <si>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</si>
  <si>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</si>
  <si>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</si>
  <si>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</si>
  <si>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</si>
  <si>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</si>
  <si>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</si>
  <si>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</si>
  <si>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</si>
  <si>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</si>
  <si>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</si>
  <si>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</si>
  <si>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</si>
  <si>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</si>
  <si>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</si>
  <si>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</si>
  <si>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</si>
  <si>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</si>
  <si>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</si>
  <si>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</si>
  <si>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</si>
  <si>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Ana María  Rojas Rimarachin</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</si>
  <si>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</si>
  <si>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</si>
  <si>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</si>
  <si>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</si>
  <si>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</si>
  <si>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</si>
  <si>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</si>
  <si>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</si>
  <si>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</si>
  <si>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</si>
  <si>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</si>
  <si>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</si>
  <si>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</si>
  <si>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</si>
  <si>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</si>
  <si>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</si>
  <si>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</si>
  <si>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</si>
  <si>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</si>
  <si>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</si>
  <si>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</si>
  <si>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</si>
  <si>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</si>
  <si>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</si>
  <si>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</si>
  <si>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</si>
  <si>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</si>
  <si>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</si>
  <si>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</si>
  <si>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</si>
  <si>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</si>
  <si>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</si>
  <si>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</si>
  <si>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</si>
  <si>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</si>
  <si>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Se tiene una sesión mañana con el área de negocio para la revisión de esta iniciativa y su presupuesto. Se revisó el requerimiento y no se considera prioritario para este año, ya que no se cuenta con suficiente validación o sustento del negocio asociado (el solicitante ya no nos acompaña en la institución).</t>
  </si>
  <si>
    <t>Estabilización Sistema Académico UPC - 1era iteración MCH</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</si>
  <si>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</si>
  <si>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 xml:space="preserve">Miguel Chang </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</si>
  <si>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</si>
  <si>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</si>
  <si>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</si>
  <si>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</si>
  <si>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</si>
  <si>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</si>
  <si>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</si>
  <si>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</si>
  <si>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</si>
  <si>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</si>
  <si>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</si>
  <si>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</si>
  <si>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</si>
  <si>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</si>
  <si>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</si>
  <si>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</si>
  <si>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</si>
  <si>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</si>
  <si>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</si>
  <si>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Proyección automática de cursos por 4ta vez</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</si>
  <si>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</si>
  <si>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</si>
  <si>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</si>
  <si>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Desestimado</t>
  </si>
  <si>
    <t>11/06: Se tuvo reunión con el usuario el 10/06. Se acordó desestimar el requerimiento
04/06: Se tendrá reunión con los usuarios para declarar formalmente que la Planificación estará abierta a todos los alumnos sin turnos.</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</si>
  <si>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</si>
  <si>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</si>
  <si>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Robinson Amaya</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</si>
  <si>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</si>
  <si>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</si>
  <si>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</si>
  <si>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</si>
  <si>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</si>
  <si>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</si>
  <si>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 se consideran nuevas reglas
Se asume un tiempos QA de 1 semana</t>
  </si>
  <si>
    <t>Requerimiento No  BAU</t>
  </si>
  <si>
    <t xml:space="preserve">09/06: Se completó la estimación solicitada
https://educorpperu.sharepoint.com/:f:/s/CoordinadoresInnovacinYOp/IgCltQ6UGbdoQK2lb3iGwG2sAXdV4mXh6ReDM2BQV8u9fQg?e=8weJXZ
04/06: Se completará estimación el 09/06.
14/05 NC: Se tiene dependencia del especialista Miguel Leython, actualmente asignado a Proyecto Portal </t>
  </si>
  <si>
    <t>15/06/2026 : Carla A. 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</si>
  <si>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</si>
  <si>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</si>
  <si>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</si>
  <si>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</si>
  <si>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</si>
  <si>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</si>
  <si>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</si>
  <si>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</si>
  <si>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
15/06 Carla A.  solicita la eliminación de la iniciativa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</si>
</sst>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 h:mm;@"/>
    <numFmt numFmtId="165" formatCode="yyyy\-mm\-dd;@"/>
    <numFmt numFmtId="166" formatCode="[$S/-280A]\ #,##0.00"/>
    <numFmt numFmtId="167" formatCode="&quot;S/&quot;\ #,##0.00"/>
    <numFmt numFmtId="168" formatCode="[$USD]\ #,##0.00"/>
    <numFmt numFmtId="169" formatCode="[$$-540A]#,##0.00"/>
    <numFmt numFmtId="170" formatCode="[$-F800]dddd\,\ mmmm\ dd\,\ yyyy"/>
  </numFmts>
  <fonts count="23">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b/>
      <sz val="11"/>
      <color rgb="FFFFFFFF"/>
      <name val="Calibri"/>
      <family val="2"/>
    </font>
    <font>
      <sz val="11"/>
      <color rgb="FF000000"/>
      <name val="Segoe UI"/>
      <family val="2"/>
    </font>
  </fonts>
  <fills count="38">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theme="5"/>
        <bgColor theme="5"/>
      </patternFill>
    </fill>
    <fill>
      <patternFill patternType="solid">
        <fgColor rgb="FFFCE4D6"/>
        <bgColor rgb="FFFCE4D6"/>
      </patternFill>
    </fill>
    <fill>
      <patternFill patternType="solid">
        <fgColor rgb="FFDDEBF7"/>
        <bgColor rgb="FFDDEBF7"/>
      </patternFill>
    </fill>
    <fill>
      <patternFill patternType="solid">
        <fgColor theme="5" tint="0.7999816888943144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theme="4" tint="0.79998168889431442"/>
      </patternFill>
    </fill>
    <fill>
      <patternFill patternType="solid">
        <fgColor theme="0" tint="-0.14999847407452621"/>
        <bgColor indexed="64"/>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tint="0.499984740745262"/>
        <bgColor indexed="64"/>
      </patternFill>
    </fill>
  </fills>
  <borders count="57">
    <border>
      <left/>
      <right/>
      <top/>
      <bottom/>
      <diagonal/>
    </border>
    <border>
      <left/>
      <right/>
      <top style="medium">
        <color rgb="FF808080"/>
      </top>
      <bottom/>
      <diagonal/>
    </border>
    <border>
      <left/>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style="thin">
        <color rgb="FF9BC2E6"/>
      </top>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s>
  <cellStyleXfs count="2">
    <xf numFmtId="0" fontId="0" fillId="0" borderId="0"/>
    <xf numFmtId="0" fontId="5" fillId="0" borderId="0" applyNumberFormat="0" applyFill="0" applyBorder="0" applyAlignment="0" applyProtection="0"/>
  </cellStyleXfs>
  <cellXfs count="420">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wrapText="1"/>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9" xfId="0" applyFont="1" applyFill="1" applyBorder="1" applyAlignment="1">
      <alignment vertical="center" wrapText="1"/>
    </xf>
    <xf numFmtId="9" fontId="6" fillId="4" borderId="9" xfId="0" applyNumberFormat="1" applyFont="1" applyFill="1" applyBorder="1" applyAlignment="1">
      <alignment horizontal="center" vertical="center"/>
    </xf>
    <xf numFmtId="0" fontId="2" fillId="0" borderId="9" xfId="0" applyFont="1" applyBorder="1" applyAlignment="1">
      <alignment horizontal="center" vertical="center"/>
    </xf>
    <xf numFmtId="9" fontId="2" fillId="0" borderId="6" xfId="0" applyNumberFormat="1" applyFont="1" applyBorder="1" applyAlignment="1">
      <alignment horizont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5" xfId="0" applyFont="1" applyBorder="1" applyAlignment="1">
      <alignment vertical="center" wrapText="1"/>
    </xf>
    <xf numFmtId="0" fontId="10" fillId="0" borderId="10"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horizontal="left" vertical="center"/>
    </xf>
    <xf numFmtId="0" fontId="10" fillId="0" borderId="6" xfId="0" applyFont="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horizontal="left" vertical="center" wrapText="1"/>
    </xf>
    <xf numFmtId="0" fontId="7" fillId="0" borderId="7" xfId="0" applyFont="1" applyBorder="1" applyAlignment="1">
      <alignment vertical="center"/>
    </xf>
    <xf numFmtId="0" fontId="9"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 fillId="5" borderId="0" xfId="0" applyFont="1" applyFill="1" applyAlignment="1">
      <alignment horizontal="left"/>
    </xf>
    <xf numFmtId="0" fontId="0" fillId="8" borderId="0" xfId="0" applyFill="1" applyAlignment="1">
      <alignment vertical="center" wrapText="1"/>
    </xf>
    <xf numFmtId="49" fontId="0" fillId="8" borderId="0" xfId="0" applyNumberFormat="1" applyFill="1" applyAlignment="1">
      <alignment vertical="center" wrapText="1"/>
    </xf>
    <xf numFmtId="49" fontId="0" fillId="8" borderId="0" xfId="0" quotePrefix="1" applyNumberFormat="1" applyFill="1" applyAlignment="1">
      <alignment vertical="center" wrapText="1"/>
    </xf>
    <xf numFmtId="14" fontId="0" fillId="8" borderId="0" xfId="0" applyNumberFormat="1" applyFill="1" applyAlignment="1">
      <alignment vertical="center" wrapText="1"/>
    </xf>
    <xf numFmtId="0" fontId="0" fillId="8" borderId="0" xfId="0" quotePrefix="1" applyFill="1" applyAlignment="1">
      <alignment vertical="center" wrapText="1"/>
    </xf>
    <xf numFmtId="0" fontId="0" fillId="8" borderId="0" xfId="0" applyFill="1"/>
    <xf numFmtId="49" fontId="5" fillId="8" borderId="0" xfId="1" applyNumberFormat="1" applyFill="1" applyAlignment="1">
      <alignment vertical="center" wrapText="1"/>
    </xf>
    <xf numFmtId="0" fontId="11" fillId="5" borderId="0" xfId="0" applyFont="1" applyFill="1"/>
    <xf numFmtId="0" fontId="2" fillId="4" borderId="9" xfId="0" applyFont="1" applyFill="1" applyBorder="1" applyAlignment="1">
      <alignment vertical="center" wrapText="1"/>
    </xf>
    <xf numFmtId="0" fontId="6" fillId="0" borderId="21" xfId="0" applyFont="1" applyBorder="1" applyAlignment="1">
      <alignment horizontal="center"/>
    </xf>
    <xf numFmtId="0" fontId="2" fillId="0" borderId="22" xfId="0" applyFont="1" applyBorder="1" applyAlignment="1">
      <alignment horizontal="center" vertical="center"/>
    </xf>
    <xf numFmtId="0" fontId="2" fillId="0" borderId="23"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0" fontId="16" fillId="9" borderId="30"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0" fillId="12" borderId="30" xfId="0" applyFill="1" applyBorder="1" applyAlignment="1">
      <alignment horizontal="center" vertical="center"/>
    </xf>
    <xf numFmtId="0" fontId="0" fillId="12" borderId="31" xfId="0"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1" xfId="0" applyBorder="1" applyAlignment="1">
      <alignment horizontal="center" vertical="center" wrapText="1"/>
    </xf>
    <xf numFmtId="0" fontId="0" fillId="12" borderId="31" xfId="0" applyFill="1" applyBorder="1" applyAlignment="1">
      <alignment horizontal="center" vertical="center" wrapText="1"/>
    </xf>
    <xf numFmtId="0" fontId="16" fillId="14" borderId="33" xfId="0" applyFont="1" applyFill="1" applyBorder="1" applyAlignment="1">
      <alignment horizontal="center" vertical="center" wrapText="1"/>
    </xf>
    <xf numFmtId="0" fontId="16" fillId="14" borderId="34" xfId="0" applyFont="1" applyFill="1" applyBorder="1" applyAlignment="1">
      <alignment horizontal="center" vertical="center" wrapText="1"/>
    </xf>
    <xf numFmtId="0" fontId="16" fillId="14" borderId="35" xfId="0" applyFont="1" applyFill="1" applyBorder="1" applyAlignment="1">
      <alignment horizontal="center" vertical="center" wrapText="1"/>
    </xf>
    <xf numFmtId="0" fontId="0" fillId="13" borderId="33" xfId="0" applyFill="1" applyBorder="1" applyAlignment="1">
      <alignment horizontal="center" vertical="center"/>
    </xf>
    <xf numFmtId="0" fontId="0" fillId="13" borderId="34" xfId="0" applyFill="1" applyBorder="1" applyAlignment="1">
      <alignment horizontal="center" vertical="center"/>
    </xf>
    <xf numFmtId="0" fontId="0" fillId="13" borderId="35" xfId="0"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13" borderId="28" xfId="0" applyFill="1" applyBorder="1" applyAlignment="1">
      <alignment horizontal="center" vertical="center"/>
    </xf>
    <xf numFmtId="0" fontId="0" fillId="13" borderId="27" xfId="0" applyFill="1" applyBorder="1" applyAlignment="1">
      <alignment horizontal="center" vertical="center"/>
    </xf>
    <xf numFmtId="0" fontId="0" fillId="13" borderId="29" xfId="0" applyFill="1" applyBorder="1" applyAlignment="1">
      <alignment horizontal="center" vertical="center"/>
    </xf>
    <xf numFmtId="0" fontId="16" fillId="10" borderId="36" xfId="0" applyFont="1" applyFill="1" applyBorder="1" applyAlignment="1">
      <alignment horizontal="center" vertical="center" wrapText="1"/>
    </xf>
    <xf numFmtId="164" fontId="16" fillId="10" borderId="37" xfId="0" applyNumberFormat="1" applyFont="1" applyFill="1" applyBorder="1" applyAlignment="1">
      <alignment horizontal="center" vertical="center" wrapText="1"/>
    </xf>
    <xf numFmtId="0" fontId="16" fillId="10" borderId="37" xfId="0" applyFont="1" applyFill="1" applyBorder="1" applyAlignment="1">
      <alignment horizontal="center" vertical="center" wrapText="1"/>
    </xf>
    <xf numFmtId="14" fontId="16" fillId="10" borderId="37" xfId="0" applyNumberFormat="1" applyFont="1" applyFill="1" applyBorder="1" applyAlignment="1">
      <alignment horizontal="center" vertical="center" wrapText="1"/>
    </xf>
    <xf numFmtId="0" fontId="16" fillId="10" borderId="38" xfId="0" applyFont="1" applyFill="1" applyBorder="1" applyAlignment="1">
      <alignment horizontal="center" vertical="center" wrapText="1"/>
    </xf>
    <xf numFmtId="0" fontId="0" fillId="11" borderId="36" xfId="0" applyFill="1" applyBorder="1" applyAlignment="1">
      <alignment horizontal="center" vertical="center" wrapText="1"/>
    </xf>
    <xf numFmtId="164" fontId="0" fillId="11" borderId="37" xfId="0" applyNumberFormat="1" applyFill="1" applyBorder="1" applyAlignment="1">
      <alignment horizontal="center" vertical="center" wrapText="1"/>
    </xf>
    <xf numFmtId="49" fontId="0" fillId="11" borderId="37" xfId="0" applyNumberFormat="1" applyFill="1" applyBorder="1" applyAlignment="1">
      <alignment horizontal="center" vertical="center" wrapText="1"/>
    </xf>
    <xf numFmtId="0" fontId="0" fillId="11" borderId="37" xfId="0" applyFill="1" applyBorder="1" applyAlignment="1">
      <alignment horizontal="center" vertical="center" wrapText="1"/>
    </xf>
    <xf numFmtId="14" fontId="0" fillId="11" borderId="37" xfId="0" applyNumberFormat="1" applyFill="1" applyBorder="1" applyAlignment="1">
      <alignment horizontal="center" vertical="center" wrapText="1"/>
    </xf>
    <xf numFmtId="49" fontId="0" fillId="11" borderId="38" xfId="0" applyNumberFormat="1" applyFill="1" applyBorder="1" applyAlignment="1">
      <alignment horizontal="center" vertical="center" wrapText="1"/>
    </xf>
    <xf numFmtId="0" fontId="0" fillId="0" borderId="36" xfId="0" applyBorder="1" applyAlignment="1">
      <alignment horizontal="center" vertical="center" wrapText="1"/>
    </xf>
    <xf numFmtId="164" fontId="0" fillId="0" borderId="37" xfId="0" applyNumberFormat="1" applyBorder="1" applyAlignment="1">
      <alignment horizontal="center" vertical="center" wrapText="1"/>
    </xf>
    <xf numFmtId="49" fontId="0" fillId="0" borderId="37" xfId="0" applyNumberFormat="1" applyBorder="1" applyAlignment="1">
      <alignment horizontal="center" vertical="center" wrapText="1"/>
    </xf>
    <xf numFmtId="0" fontId="0" fillId="0" borderId="37" xfId="0" applyBorder="1" applyAlignment="1">
      <alignment horizontal="center" vertical="center" wrapText="1"/>
    </xf>
    <xf numFmtId="49" fontId="0" fillId="0" borderId="38" xfId="0" applyNumberFormat="1" applyBorder="1" applyAlignment="1">
      <alignment horizontal="center" vertical="center" wrapText="1"/>
    </xf>
    <xf numFmtId="49" fontId="5" fillId="11" borderId="38" xfId="1" applyNumberFormat="1" applyFill="1" applyBorder="1" applyAlignment="1">
      <alignment horizontal="center" vertical="center" wrapText="1"/>
    </xf>
    <xf numFmtId="14" fontId="0" fillId="0" borderId="37" xfId="0" applyNumberFormat="1" applyBorder="1" applyAlignment="1">
      <alignment horizontal="center" vertical="center" wrapText="1"/>
    </xf>
    <xf numFmtId="49" fontId="5" fillId="0" borderId="38" xfId="1" applyNumberFormat="1" applyBorder="1" applyAlignment="1">
      <alignment horizontal="center" vertical="center" wrapText="1"/>
    </xf>
    <xf numFmtId="0" fontId="15" fillId="0" borderId="37" xfId="0" applyFont="1" applyBorder="1" applyAlignment="1">
      <alignment horizontal="center" vertical="center" wrapText="1"/>
    </xf>
    <xf numFmtId="0" fontId="15" fillId="11" borderId="37" xfId="0" applyFont="1" applyFill="1" applyBorder="1" applyAlignment="1">
      <alignment horizontal="center" vertical="center" wrapText="1"/>
    </xf>
    <xf numFmtId="0" fontId="0" fillId="12" borderId="24" xfId="0" applyFill="1" applyBorder="1" applyAlignment="1">
      <alignment vertical="center"/>
    </xf>
    <xf numFmtId="0" fontId="0" fillId="12" borderId="25" xfId="0" applyFill="1" applyBorder="1" applyAlignment="1">
      <alignment vertical="center"/>
    </xf>
    <xf numFmtId="4" fontId="0" fillId="12" borderId="25" xfId="0" applyNumberFormat="1" applyFill="1" applyBorder="1" applyAlignment="1">
      <alignment vertical="center"/>
    </xf>
    <xf numFmtId="0" fontId="0" fillId="12" borderId="25" xfId="0" applyFill="1" applyBorder="1" applyAlignment="1">
      <alignment vertical="center" wrapText="1"/>
    </xf>
    <xf numFmtId="0" fontId="0" fillId="0" borderId="0" xfId="0" quotePrefix="1" applyAlignment="1" applyProtection="1">
      <alignment horizontal="center" vertical="center" wrapText="1"/>
      <protection locked="0"/>
    </xf>
    <xf numFmtId="0" fontId="0" fillId="0" borderId="0" xfId="0" quotePrefix="1" applyAlignment="1" applyProtection="1">
      <alignment horizontal="left" vertical="center" wrapText="1"/>
      <protection locked="0"/>
    </xf>
    <xf numFmtId="0" fontId="13" fillId="15" borderId="0" xfId="0" applyFont="1" applyFill="1" applyAlignment="1">
      <alignment horizontal="center" vertical="center"/>
    </xf>
    <xf numFmtId="0" fontId="16" fillId="9" borderId="32" xfId="0" applyFont="1" applyFill="1" applyBorder="1" applyAlignment="1">
      <alignment horizontal="center" vertical="center" wrapText="1"/>
    </xf>
    <xf numFmtId="0" fontId="0" fillId="12" borderId="32" xfId="0" applyFill="1" applyBorder="1" applyAlignment="1">
      <alignment horizontal="center" vertical="center"/>
    </xf>
    <xf numFmtId="0" fontId="0" fillId="12" borderId="26" xfId="0" applyFill="1"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left" vertical="center"/>
    </xf>
    <xf numFmtId="0" fontId="15" fillId="16" borderId="40" xfId="0" applyFont="1" applyFill="1" applyBorder="1" applyAlignment="1">
      <alignment horizontal="center" vertical="center" wrapText="1"/>
    </xf>
    <xf numFmtId="22" fontId="15" fillId="16" borderId="41" xfId="0" applyNumberFormat="1" applyFont="1" applyFill="1" applyBorder="1" applyAlignment="1">
      <alignment horizontal="center" vertical="center" wrapText="1"/>
    </xf>
    <xf numFmtId="49" fontId="15" fillId="16" borderId="41" xfId="0" applyNumberFormat="1" applyFont="1" applyFill="1" applyBorder="1" applyAlignment="1">
      <alignment horizontal="center" vertical="center" wrapText="1"/>
    </xf>
    <xf numFmtId="14" fontId="15" fillId="16" borderId="41" xfId="0" applyNumberFormat="1" applyFont="1" applyFill="1" applyBorder="1" applyAlignment="1">
      <alignment horizontal="center" vertical="center" wrapText="1"/>
    </xf>
    <xf numFmtId="0" fontId="0" fillId="7" borderId="36" xfId="0" applyFill="1" applyBorder="1" applyAlignment="1">
      <alignment horizontal="center" vertical="center" wrapText="1"/>
    </xf>
    <xf numFmtId="164" fontId="0" fillId="7" borderId="37" xfId="0" applyNumberFormat="1" applyFill="1" applyBorder="1" applyAlignment="1">
      <alignment horizontal="center" vertical="center" wrapText="1"/>
    </xf>
    <xf numFmtId="49" fontId="0" fillId="7" borderId="37" xfId="0" applyNumberFormat="1" applyFill="1" applyBorder="1" applyAlignment="1">
      <alignment horizontal="center" vertical="center" wrapText="1"/>
    </xf>
    <xf numFmtId="49" fontId="12" fillId="11" borderId="37" xfId="0" applyNumberFormat="1" applyFont="1" applyFill="1" applyBorder="1" applyAlignment="1">
      <alignment horizontal="center" vertical="center" wrapText="1"/>
    </xf>
    <xf numFmtId="0" fontId="0" fillId="12" borderId="31" xfId="0" quotePrefix="1" applyFill="1" applyBorder="1" applyAlignment="1">
      <alignment horizontal="center" vertical="center" wrapText="1"/>
    </xf>
    <xf numFmtId="0" fontId="0" fillId="0" borderId="31" xfId="0" quotePrefix="1" applyBorder="1" applyAlignment="1">
      <alignment horizontal="center" vertical="center" wrapText="1"/>
    </xf>
    <xf numFmtId="0" fontId="0" fillId="12" borderId="25" xfId="0" applyFill="1" applyBorder="1" applyAlignment="1">
      <alignment horizontal="center" vertical="center"/>
    </xf>
    <xf numFmtId="0" fontId="16" fillId="10" borderId="43" xfId="0" applyFont="1" applyFill="1" applyBorder="1" applyAlignment="1">
      <alignment horizontal="center" vertical="center" wrapText="1"/>
    </xf>
    <xf numFmtId="14" fontId="16" fillId="10" borderId="43" xfId="0" applyNumberFormat="1" applyFont="1" applyFill="1" applyBorder="1" applyAlignment="1">
      <alignment horizontal="center" vertical="center" wrapText="1"/>
    </xf>
    <xf numFmtId="0" fontId="0" fillId="4" borderId="43" xfId="0" applyFill="1" applyBorder="1" applyAlignment="1">
      <alignment horizontal="center" vertical="center" wrapText="1"/>
    </xf>
    <xf numFmtId="0" fontId="0" fillId="0" borderId="43" xfId="0" applyBorder="1" applyAlignment="1">
      <alignment horizontal="center" vertical="center"/>
    </xf>
    <xf numFmtId="14" fontId="0" fillId="0" borderId="43" xfId="0" applyNumberFormat="1" applyBorder="1" applyAlignment="1">
      <alignment horizontal="center" vertical="center"/>
    </xf>
    <xf numFmtId="2" fontId="0" fillId="0" borderId="0" xfId="0" applyNumberFormat="1"/>
    <xf numFmtId="14" fontId="0" fillId="0" borderId="43" xfId="0" applyNumberFormat="1" applyBorder="1" applyAlignment="1" applyProtection="1">
      <alignment horizontal="center" vertical="center"/>
      <protection locked="0"/>
    </xf>
    <xf numFmtId="0" fontId="16" fillId="9" borderId="43" xfId="0" applyFont="1" applyFill="1" applyBorder="1" applyAlignment="1" applyProtection="1">
      <alignment horizontal="center" vertical="center" wrapText="1"/>
      <protection locked="0"/>
    </xf>
    <xf numFmtId="0" fontId="0" fillId="19" borderId="43" xfId="0" applyFill="1" applyBorder="1" applyAlignment="1" applyProtection="1">
      <alignment horizontal="center" vertical="center"/>
      <protection locked="0"/>
    </xf>
    <xf numFmtId="0" fontId="0" fillId="19" borderId="43" xfId="0" applyFill="1" applyBorder="1" applyAlignment="1" applyProtection="1">
      <alignment horizontal="center" vertical="center" wrapText="1"/>
      <protection locked="0"/>
    </xf>
    <xf numFmtId="0" fontId="0" fillId="0" borderId="43" xfId="0" applyBorder="1" applyAlignment="1" applyProtection="1">
      <alignment horizontal="center" vertical="center"/>
      <protection locked="0"/>
    </xf>
    <xf numFmtId="168" fontId="16" fillId="9" borderId="43" xfId="0" applyNumberFormat="1" applyFont="1" applyFill="1" applyBorder="1" applyAlignment="1" applyProtection="1">
      <alignment horizontal="center" vertical="center" wrapText="1"/>
      <protection locked="0"/>
    </xf>
    <xf numFmtId="167" fontId="16" fillId="9" borderId="43" xfId="0" applyNumberFormat="1" applyFont="1" applyFill="1" applyBorder="1" applyAlignment="1" applyProtection="1">
      <alignment horizontal="center" vertical="center" wrapText="1"/>
      <protection locked="0"/>
    </xf>
    <xf numFmtId="168" fontId="0" fillId="0" borderId="43" xfId="0" applyNumberFormat="1" applyBorder="1" applyAlignment="1" applyProtection="1">
      <alignment horizontal="center" vertical="center"/>
      <protection locked="0"/>
    </xf>
    <xf numFmtId="167" fontId="0" fillId="0" borderId="43" xfId="0" applyNumberFormat="1" applyBorder="1" applyAlignment="1" applyProtection="1">
      <alignment horizontal="center" vertical="center"/>
      <protection locked="0"/>
    </xf>
    <xf numFmtId="0" fontId="0" fillId="0" borderId="43" xfId="0" applyBorder="1" applyAlignment="1" applyProtection="1">
      <alignment horizontal="center" vertical="center" wrapText="1"/>
      <protection locked="0"/>
    </xf>
    <xf numFmtId="0" fontId="18" fillId="9" borderId="43" xfId="0" applyFont="1" applyFill="1" applyBorder="1" applyAlignment="1">
      <alignment horizontal="center" vertical="center" wrapText="1"/>
    </xf>
    <xf numFmtId="14" fontId="16" fillId="9" borderId="43" xfId="0" applyNumberFormat="1" applyFont="1" applyFill="1" applyBorder="1" applyAlignment="1" applyProtection="1">
      <alignment horizontal="center" vertical="center" wrapText="1"/>
      <protection locked="0"/>
    </xf>
    <xf numFmtId="0" fontId="16" fillId="10" borderId="43" xfId="0" applyFont="1" applyFill="1" applyBorder="1" applyAlignment="1" applyProtection="1">
      <alignment horizontal="center" vertical="center" wrapText="1"/>
      <protection locked="0"/>
    </xf>
    <xf numFmtId="14" fontId="0" fillId="19" borderId="43" xfId="0" applyNumberFormat="1" applyFill="1" applyBorder="1" applyAlignment="1" applyProtection="1">
      <alignment horizontal="center" vertical="center"/>
      <protection locked="0"/>
    </xf>
    <xf numFmtId="0" fontId="0" fillId="4" borderId="43" xfId="0" applyFill="1" applyBorder="1" applyAlignment="1" applyProtection="1">
      <alignment horizontal="center" vertical="center" wrapText="1"/>
      <protection locked="0"/>
    </xf>
    <xf numFmtId="168" fontId="0" fillId="4" borderId="43" xfId="0" applyNumberFormat="1" applyFill="1" applyBorder="1" applyAlignment="1" applyProtection="1">
      <alignment horizontal="center" vertical="center" wrapText="1"/>
      <protection locked="0"/>
    </xf>
    <xf numFmtId="167" fontId="0" fillId="4" borderId="43" xfId="0" applyNumberFormat="1" applyFill="1" applyBorder="1" applyAlignment="1" applyProtection="1">
      <alignment horizontal="center" vertical="center" wrapText="1"/>
      <protection locked="0"/>
    </xf>
    <xf numFmtId="167" fontId="0" fillId="19" borderId="43" xfId="0" applyNumberFormat="1" applyFill="1" applyBorder="1" applyAlignment="1" applyProtection="1">
      <alignment horizontal="center" vertical="center"/>
      <protection locked="0"/>
    </xf>
    <xf numFmtId="168" fontId="0" fillId="19" borderId="4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14" fontId="0" fillId="0" borderId="0" xfId="0" applyNumberFormat="1" applyAlignment="1">
      <alignment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0" fillId="22" borderId="43" xfId="0" applyFill="1" applyBorder="1" applyAlignment="1">
      <alignment horizontal="center" vertical="center" wrapText="1"/>
    </xf>
    <xf numFmtId="14" fontId="0" fillId="22" borderId="43" xfId="0" applyNumberFormat="1" applyFill="1" applyBorder="1" applyAlignment="1">
      <alignment horizontal="center" vertical="center" wrapText="1"/>
    </xf>
    <xf numFmtId="49" fontId="0" fillId="22" borderId="43" xfId="0" applyNumberFormat="1" applyFill="1" applyBorder="1" applyAlignment="1">
      <alignment horizontal="center" vertical="center" wrapText="1"/>
    </xf>
    <xf numFmtId="168" fontId="0" fillId="4" borderId="43" xfId="0" applyNumberFormat="1" applyFill="1" applyBorder="1" applyAlignment="1" applyProtection="1">
      <alignment horizontal="center" vertical="center"/>
      <protection locked="0"/>
    </xf>
    <xf numFmtId="14" fontId="0" fillId="4" borderId="43" xfId="0" applyNumberFormat="1" applyFill="1" applyBorder="1" applyAlignment="1">
      <alignment horizontal="center" vertical="center" wrapText="1"/>
    </xf>
    <xf numFmtId="49" fontId="0" fillId="4" borderId="43" xfId="0" applyNumberFormat="1" applyFill="1" applyBorder="1" applyAlignment="1">
      <alignment horizontal="center" vertical="center" wrapText="1"/>
    </xf>
    <xf numFmtId="0" fontId="13" fillId="23" borderId="43" xfId="0" applyFont="1" applyFill="1" applyBorder="1" applyAlignment="1">
      <alignment horizontal="center" vertical="center" wrapText="1"/>
    </xf>
    <xf numFmtId="0" fontId="0" fillId="4" borderId="43" xfId="0" applyFill="1" applyBorder="1" applyAlignment="1" applyProtection="1">
      <alignment horizontal="center" vertical="center"/>
      <protection locked="0"/>
    </xf>
    <xf numFmtId="167" fontId="0" fillId="4" borderId="43" xfId="0" applyNumberFormat="1" applyFill="1" applyBorder="1" applyAlignment="1" applyProtection="1">
      <alignment horizontal="center" vertical="center"/>
      <protection locked="0"/>
    </xf>
    <xf numFmtId="0" fontId="0" fillId="4" borderId="0" xfId="0" applyFill="1" applyAlignment="1">
      <alignment horizontal="center" vertical="center"/>
    </xf>
    <xf numFmtId="0" fontId="12" fillId="24" borderId="42" xfId="0" applyFont="1" applyFill="1" applyBorder="1" applyAlignment="1" applyProtection="1">
      <alignment horizontal="center" vertical="center" wrapText="1"/>
      <protection locked="0"/>
    </xf>
    <xf numFmtId="0" fontId="16" fillId="18" borderId="43" xfId="0" applyFont="1" applyFill="1" applyBorder="1" applyAlignment="1" applyProtection="1">
      <alignment horizontal="center" vertical="center" wrapText="1"/>
      <protection locked="0"/>
    </xf>
    <xf numFmtId="14" fontId="12" fillId="26" borderId="0" xfId="0" applyNumberFormat="1" applyFont="1" applyFill="1" applyAlignment="1">
      <alignment horizontal="center" vertical="center" wrapText="1"/>
    </xf>
    <xf numFmtId="0" fontId="16" fillId="25"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43" xfId="0" applyFont="1" applyFill="1" applyBorder="1" applyAlignment="1">
      <alignment horizontal="center" vertical="center" wrapText="1"/>
    </xf>
    <xf numFmtId="14" fontId="16" fillId="9" borderId="43" xfId="0" applyNumberFormat="1" applyFont="1" applyFill="1" applyBorder="1" applyAlignment="1">
      <alignment horizontal="center" vertical="center" wrapText="1"/>
    </xf>
    <xf numFmtId="168" fontId="16" fillId="9" borderId="43" xfId="0" applyNumberFormat="1" applyFont="1" applyFill="1" applyBorder="1" applyAlignment="1">
      <alignment horizontal="center" vertical="center" wrapText="1"/>
    </xf>
    <xf numFmtId="167" fontId="16" fillId="9" borderId="43" xfId="0" applyNumberFormat="1" applyFont="1" applyFill="1" applyBorder="1" applyAlignment="1">
      <alignment horizontal="center" vertical="center" wrapText="1"/>
    </xf>
    <xf numFmtId="0" fontId="0" fillId="22" borderId="43" xfId="0" applyFill="1" applyBorder="1" applyAlignment="1">
      <alignment horizontal="center" vertical="center"/>
    </xf>
    <xf numFmtId="168" fontId="0" fillId="22" borderId="43" xfId="0" applyNumberFormat="1" applyFill="1" applyBorder="1" applyAlignment="1">
      <alignment horizontal="center" vertical="center"/>
    </xf>
    <xf numFmtId="167" fontId="0" fillId="22" borderId="43" xfId="0" applyNumberFormat="1" applyFill="1" applyBorder="1" applyAlignment="1">
      <alignment horizontal="center" vertical="center" wrapText="1"/>
    </xf>
    <xf numFmtId="168" fontId="0" fillId="22" borderId="43" xfId="0" applyNumberFormat="1" applyFill="1" applyBorder="1" applyAlignment="1">
      <alignment horizontal="center" vertical="center" wrapText="1"/>
    </xf>
    <xf numFmtId="167" fontId="0" fillId="22" borderId="43" xfId="0" applyNumberFormat="1" applyFill="1" applyBorder="1" applyAlignment="1">
      <alignment horizontal="center" vertical="center"/>
    </xf>
    <xf numFmtId="169" fontId="0" fillId="0" borderId="0" xfId="0" applyNumberFormat="1" applyAlignment="1">
      <alignment horizontal="center" vertical="center"/>
    </xf>
    <xf numFmtId="0" fontId="16" fillId="18" borderId="43" xfId="0" applyFont="1" applyFill="1" applyBorder="1" applyAlignment="1">
      <alignment horizontal="center" vertical="center" wrapText="1"/>
    </xf>
    <xf numFmtId="166" fontId="0" fillId="0" borderId="0" xfId="0" applyNumberFormat="1"/>
    <xf numFmtId="165" fontId="15" fillId="16" borderId="41" xfId="0" applyNumberFormat="1" applyFont="1" applyFill="1" applyBorder="1" applyAlignment="1">
      <alignment horizontal="center" vertical="center" wrapText="1"/>
    </xf>
    <xf numFmtId="0" fontId="15" fillId="16" borderId="41" xfId="0" applyFont="1" applyFill="1" applyBorder="1" applyAlignment="1">
      <alignment horizontal="center" vertical="center" wrapText="1"/>
    </xf>
    <xf numFmtId="14" fontId="0" fillId="22" borderId="43" xfId="0" applyNumberFormat="1" applyFill="1" applyBorder="1" applyAlignment="1">
      <alignment horizontal="center" vertical="center"/>
    </xf>
    <xf numFmtId="14" fontId="0" fillId="22" borderId="46" xfId="0" applyNumberFormat="1" applyFill="1" applyBorder="1" applyAlignment="1">
      <alignment horizontal="center" vertical="center" wrapText="1"/>
    </xf>
    <xf numFmtId="14" fontId="0" fillId="0" borderId="0" xfId="0" applyNumberFormat="1" applyAlignment="1">
      <alignment vertical="center" wrapText="1"/>
    </xf>
    <xf numFmtId="0" fontId="18" fillId="20" borderId="44" xfId="0" applyFont="1" applyFill="1" applyBorder="1" applyAlignment="1" applyProtection="1">
      <alignment horizontal="center" vertical="center" wrapText="1"/>
      <protection locked="0"/>
    </xf>
    <xf numFmtId="0" fontId="0" fillId="19" borderId="43" xfId="0" quotePrefix="1" applyFill="1" applyBorder="1" applyAlignment="1" applyProtection="1">
      <alignment horizontal="center" vertical="center" wrapText="1"/>
      <protection locked="0"/>
    </xf>
    <xf numFmtId="0" fontId="21" fillId="29" borderId="48" xfId="0" applyFont="1" applyFill="1" applyBorder="1" applyAlignment="1">
      <alignment horizontal="center" vertical="center" wrapText="1"/>
    </xf>
    <xf numFmtId="0" fontId="21" fillId="29" borderId="49" xfId="0" applyFont="1" applyFill="1" applyBorder="1" applyAlignment="1">
      <alignment horizontal="center" vertical="center" wrapText="1"/>
    </xf>
    <xf numFmtId="0" fontId="21" fillId="29" borderId="50" xfId="0" applyFont="1" applyFill="1" applyBorder="1" applyAlignment="1">
      <alignment horizontal="center" vertical="center" wrapText="1"/>
    </xf>
    <xf numFmtId="0" fontId="0" fillId="11" borderId="0" xfId="0" quotePrefix="1" applyFill="1" applyAlignment="1">
      <alignment horizontal="center" vertical="center" wrapText="1"/>
    </xf>
    <xf numFmtId="0" fontId="0" fillId="11" borderId="41" xfId="0" quotePrefix="1" applyFill="1" applyBorder="1" applyAlignment="1">
      <alignment horizontal="center" vertical="center" wrapText="1"/>
    </xf>
    <xf numFmtId="0" fontId="22" fillId="11" borderId="0" xfId="0" applyFont="1" applyFill="1" applyAlignment="1">
      <alignment vertical="center"/>
    </xf>
    <xf numFmtId="0" fontId="16" fillId="10" borderId="41" xfId="0" applyFont="1" applyFill="1" applyBorder="1" applyAlignment="1">
      <alignment horizontal="center" vertical="center" wrapText="1"/>
    </xf>
    <xf numFmtId="0" fontId="0" fillId="30" borderId="43" xfId="0" applyFill="1" applyBorder="1" applyAlignment="1">
      <alignment horizontal="center" vertical="center" wrapText="1"/>
    </xf>
    <xf numFmtId="14" fontId="0" fillId="30" borderId="43" xfId="0" applyNumberFormat="1" applyFill="1" applyBorder="1" applyAlignment="1">
      <alignment horizontal="center" vertical="center"/>
    </xf>
    <xf numFmtId="0" fontId="5" fillId="30" borderId="43" xfId="1" applyFill="1" applyBorder="1" applyAlignment="1">
      <alignment horizontal="center" vertical="center" wrapText="1"/>
    </xf>
    <xf numFmtId="0" fontId="0" fillId="30" borderId="43" xfId="0" applyFill="1" applyBorder="1" applyAlignment="1">
      <alignment horizontal="center" vertical="center"/>
    </xf>
    <xf numFmtId="0" fontId="15" fillId="30" borderId="49" xfId="0" applyFont="1" applyFill="1" applyBorder="1" applyAlignment="1">
      <alignment horizontal="center" vertical="center" wrapText="1"/>
    </xf>
    <xf numFmtId="0" fontId="15" fillId="31" borderId="49" xfId="0" applyFont="1" applyFill="1" applyBorder="1" applyAlignment="1">
      <alignment horizontal="center" vertical="center" wrapText="1"/>
    </xf>
    <xf numFmtId="14" fontId="0" fillId="11" borderId="43" xfId="0" applyNumberFormat="1" applyFill="1" applyBorder="1" applyAlignment="1">
      <alignment horizontal="center" vertical="center" wrapText="1"/>
    </xf>
    <xf numFmtId="0" fontId="22" fillId="30" borderId="0" xfId="0" applyFont="1" applyFill="1" applyAlignment="1">
      <alignment vertical="center"/>
    </xf>
    <xf numFmtId="0" fontId="5" fillId="30" borderId="43" xfId="1" applyFill="1" applyBorder="1" applyAlignment="1" applyProtection="1">
      <alignment horizontal="center" vertical="center" wrapText="1"/>
      <protection locked="0"/>
    </xf>
    <xf numFmtId="14" fontId="0" fillId="30" borderId="43" xfId="0" applyNumberFormat="1" applyFill="1" applyBorder="1" applyAlignment="1">
      <alignment horizontal="center" vertical="center" wrapText="1"/>
    </xf>
    <xf numFmtId="49" fontId="0" fillId="30" borderId="43" xfId="0" applyNumberFormat="1" applyFill="1" applyBorder="1" applyAlignment="1">
      <alignment horizontal="center" vertical="center" wrapText="1"/>
    </xf>
    <xf numFmtId="0" fontId="0" fillId="30" borderId="43" xfId="0" applyFill="1" applyBorder="1" applyAlignment="1" applyProtection="1">
      <alignment horizontal="center" vertical="center" wrapText="1"/>
      <protection locked="0"/>
    </xf>
    <xf numFmtId="0" fontId="0" fillId="30" borderId="0" xfId="0" quotePrefix="1" applyFill="1" applyAlignment="1">
      <alignment horizontal="center" vertical="center" wrapText="1"/>
    </xf>
    <xf numFmtId="0" fontId="0" fillId="30" borderId="41" xfId="0" quotePrefix="1" applyFill="1" applyBorder="1" applyAlignment="1">
      <alignment horizontal="center" vertical="center" wrapText="1"/>
    </xf>
    <xf numFmtId="167" fontId="0" fillId="19" borderId="43" xfId="0" applyNumberFormat="1" applyFill="1" applyBorder="1" applyAlignment="1" applyProtection="1">
      <alignment horizontal="center" vertical="center" wrapText="1"/>
      <protection locked="0"/>
    </xf>
    <xf numFmtId="0" fontId="21" fillId="29" borderId="0" xfId="0" applyFont="1" applyFill="1" applyAlignment="1">
      <alignment vertical="center" wrapText="1"/>
    </xf>
    <xf numFmtId="0" fontId="0" fillId="32" borderId="43" xfId="0" applyFill="1" applyBorder="1" applyAlignment="1">
      <alignment horizontal="center" vertical="center" wrapText="1"/>
    </xf>
    <xf numFmtId="168" fontId="0" fillId="32" borderId="43" xfId="0" applyNumberFormat="1" applyFill="1" applyBorder="1" applyAlignment="1">
      <alignment horizontal="center" vertical="center"/>
    </xf>
    <xf numFmtId="167" fontId="0" fillId="32" borderId="43" xfId="0" applyNumberFormat="1" applyFill="1" applyBorder="1" applyAlignment="1">
      <alignment horizontal="center" vertical="center" wrapText="1"/>
    </xf>
    <xf numFmtId="168" fontId="0" fillId="32" borderId="43" xfId="0" applyNumberFormat="1" applyFill="1" applyBorder="1" applyAlignment="1">
      <alignment horizontal="center" vertical="center" wrapText="1"/>
    </xf>
    <xf numFmtId="14" fontId="0" fillId="32" borderId="43" xfId="0" applyNumberFormat="1" applyFill="1" applyBorder="1" applyAlignment="1">
      <alignment horizontal="center" vertical="center" wrapText="1"/>
    </xf>
    <xf numFmtId="0" fontId="0" fillId="32" borderId="43" xfId="0" applyFill="1" applyBorder="1" applyAlignment="1">
      <alignment horizontal="center" vertical="center"/>
    </xf>
    <xf numFmtId="167" fontId="0" fillId="32" borderId="43" xfId="0" applyNumberFormat="1" applyFill="1" applyBorder="1" applyAlignment="1">
      <alignment horizontal="center" vertical="center"/>
    </xf>
    <xf numFmtId="49" fontId="0" fillId="32" borderId="43" xfId="0" applyNumberFormat="1" applyFill="1" applyBorder="1" applyAlignment="1">
      <alignment horizontal="center" vertical="center" wrapText="1"/>
    </xf>
    <xf numFmtId="0" fontId="21" fillId="29" borderId="43" xfId="0" applyFont="1" applyFill="1" applyBorder="1" applyAlignment="1">
      <alignment vertical="center" wrapText="1"/>
    </xf>
    <xf numFmtId="0" fontId="12" fillId="24" borderId="43" xfId="0" applyFont="1" applyFill="1" applyBorder="1" applyAlignment="1" applyProtection="1">
      <alignment horizontal="center" vertical="center" wrapText="1"/>
      <protection locked="0"/>
    </xf>
    <xf numFmtId="0" fontId="15" fillId="30" borderId="43" xfId="0" applyFont="1" applyFill="1" applyBorder="1" applyAlignment="1">
      <alignment vertical="center" wrapText="1"/>
    </xf>
    <xf numFmtId="0" fontId="0" fillId="28" borderId="43" xfId="0" applyFill="1" applyBorder="1" applyAlignment="1" applyProtection="1">
      <alignment horizontal="center" vertical="center" wrapText="1"/>
      <protection locked="0"/>
    </xf>
    <xf numFmtId="0" fontId="22" fillId="30" borderId="43" xfId="0" applyFont="1" applyFill="1" applyBorder="1" applyAlignment="1">
      <alignment vertical="center"/>
    </xf>
    <xf numFmtId="0" fontId="0" fillId="28" borderId="43" xfId="0" applyFill="1" applyBorder="1" applyAlignment="1" applyProtection="1">
      <alignment horizontal="center" vertical="center"/>
      <protection locked="0"/>
    </xf>
    <xf numFmtId="0" fontId="0" fillId="30" borderId="43" xfId="0" quotePrefix="1" applyFill="1" applyBorder="1" applyAlignment="1">
      <alignment horizontal="center" vertical="center" wrapText="1"/>
    </xf>
    <xf numFmtId="49" fontId="0" fillId="30" borderId="43" xfId="0" applyNumberFormat="1" applyFill="1" applyBorder="1" applyAlignment="1">
      <alignment horizontal="center" vertical="center"/>
    </xf>
    <xf numFmtId="14" fontId="12" fillId="26" borderId="43" xfId="0" applyNumberFormat="1" applyFont="1" applyFill="1" applyBorder="1" applyAlignment="1" applyProtection="1">
      <alignment horizontal="center" vertical="center" wrapText="1"/>
      <protection locked="0"/>
    </xf>
    <xf numFmtId="0" fontId="16" fillId="10" borderId="45" xfId="0" applyFont="1" applyFill="1" applyBorder="1" applyAlignment="1">
      <alignment horizontal="center" vertical="center" wrapText="1"/>
    </xf>
    <xf numFmtId="14" fontId="16" fillId="10" borderId="45" xfId="0" applyNumberFormat="1" applyFont="1" applyFill="1" applyBorder="1" applyAlignment="1">
      <alignment horizontal="center" vertical="center" wrapText="1"/>
    </xf>
    <xf numFmtId="0" fontId="16" fillId="10" borderId="45" xfId="0" applyFont="1" applyFill="1" applyBorder="1" applyAlignment="1" applyProtection="1">
      <alignment horizontal="center" vertical="center" wrapText="1"/>
      <protection locked="0"/>
    </xf>
    <xf numFmtId="0" fontId="0" fillId="32" borderId="47" xfId="0" applyFill="1" applyBorder="1" applyAlignment="1">
      <alignment horizontal="center" vertical="center" wrapText="1"/>
    </xf>
    <xf numFmtId="14" fontId="0" fillId="33" borderId="43" xfId="0" applyNumberFormat="1" applyFill="1" applyBorder="1" applyAlignment="1" applyProtection="1">
      <alignment horizontal="center" vertical="center" wrapText="1"/>
      <protection locked="0"/>
    </xf>
    <xf numFmtId="0" fontId="12" fillId="24" borderId="0" xfId="0" applyFont="1" applyFill="1" applyAlignment="1" applyProtection="1">
      <alignment horizontal="center" vertical="center" wrapText="1"/>
      <protection locked="0"/>
    </xf>
    <xf numFmtId="0" fontId="21" fillId="29" borderId="43" xfId="0" applyFont="1" applyFill="1" applyBorder="1" applyAlignment="1">
      <alignment wrapText="1"/>
    </xf>
    <xf numFmtId="0" fontId="12" fillId="24" borderId="43" xfId="0" applyFont="1" applyFill="1" applyBorder="1" applyAlignment="1">
      <alignment horizontal="center" vertical="center" wrapText="1"/>
    </xf>
    <xf numFmtId="14" fontId="12" fillId="26" borderId="43" xfId="0" applyNumberFormat="1" applyFont="1" applyFill="1" applyBorder="1" applyAlignment="1">
      <alignment horizontal="center" vertical="center" wrapText="1"/>
    </xf>
    <xf numFmtId="0" fontId="16" fillId="25" borderId="43" xfId="0" applyFont="1" applyFill="1" applyBorder="1" applyAlignment="1">
      <alignment horizontal="center" vertical="center" wrapText="1"/>
    </xf>
    <xf numFmtId="0" fontId="15" fillId="30" borderId="43" xfId="0" applyFont="1" applyFill="1" applyBorder="1" applyAlignment="1">
      <alignment wrapText="1"/>
    </xf>
    <xf numFmtId="14" fontId="16" fillId="25" borderId="43" xfId="0" applyNumberFormat="1" applyFont="1" applyFill="1" applyBorder="1" applyAlignment="1">
      <alignment horizontal="center" vertical="center" wrapText="1"/>
    </xf>
    <xf numFmtId="0" fontId="20" fillId="27" borderId="43" xfId="0" applyFont="1" applyFill="1" applyBorder="1" applyAlignment="1">
      <alignment horizontal="center" vertical="center" wrapText="1"/>
    </xf>
    <xf numFmtId="0" fontId="20" fillId="27" borderId="43" xfId="0" applyFont="1" applyFill="1" applyBorder="1" applyAlignment="1">
      <alignment vertical="center" wrapText="1"/>
    </xf>
    <xf numFmtId="22" fontId="15" fillId="30" borderId="43" xfId="0" applyNumberFormat="1" applyFont="1" applyFill="1" applyBorder="1" applyAlignment="1">
      <alignment vertical="center" wrapText="1"/>
    </xf>
    <xf numFmtId="0" fontId="0" fillId="30" borderId="43" xfId="0" applyFill="1" applyBorder="1" applyAlignment="1">
      <alignment vertical="center" wrapText="1"/>
    </xf>
    <xf numFmtId="0" fontId="15" fillId="30" borderId="43" xfId="0" applyFont="1" applyFill="1" applyBorder="1" applyAlignment="1">
      <alignment horizontal="center" vertical="center" wrapText="1"/>
    </xf>
    <xf numFmtId="0" fontId="15" fillId="30" borderId="43" xfId="0" applyFont="1" applyFill="1" applyBorder="1" applyAlignment="1">
      <alignment vertical="center"/>
    </xf>
    <xf numFmtId="22" fontId="13" fillId="30" borderId="43" xfId="0" applyNumberFormat="1" applyFont="1" applyFill="1" applyBorder="1" applyAlignment="1">
      <alignment vertical="center" wrapText="1"/>
    </xf>
    <xf numFmtId="14" fontId="0" fillId="30" borderId="43" xfId="0" applyNumberFormat="1" applyFill="1" applyBorder="1" applyAlignment="1">
      <alignment vertical="center" wrapText="1"/>
    </xf>
    <xf numFmtId="0" fontId="0" fillId="17" borderId="39" xfId="0" applyFill="1" applyBorder="1" applyAlignment="1" applyProtection="1">
      <alignment horizontal="center" vertical="center"/>
      <protection locked="0"/>
    </xf>
    <xf numFmtId="0" fontId="0" fillId="17" borderId="0" xfId="0" applyFill="1" applyAlignment="1">
      <alignment vertical="center"/>
    </xf>
    <xf numFmtId="0" fontId="16" fillId="10" borderId="0" xfId="0" applyFont="1" applyFill="1" applyAlignment="1">
      <alignment horizontal="center" vertical="center" wrapText="1"/>
    </xf>
    <xf numFmtId="0" fontId="0" fillId="30" borderId="43" xfId="0" applyFill="1" applyBorder="1" applyAlignment="1">
      <alignment horizontal="center" vertical="top" wrapText="1"/>
    </xf>
    <xf numFmtId="14" fontId="0" fillId="30" borderId="43" xfId="0" applyNumberFormat="1" applyFill="1" applyBorder="1" applyAlignment="1">
      <alignment horizontal="center" vertical="top" wrapText="1"/>
    </xf>
    <xf numFmtId="0" fontId="15" fillId="30" borderId="43" xfId="0" applyFont="1" applyFill="1" applyBorder="1" applyAlignment="1">
      <alignment vertical="top" wrapText="1"/>
    </xf>
    <xf numFmtId="0" fontId="0" fillId="32" borderId="43" xfId="0" applyFill="1" applyBorder="1" applyAlignment="1">
      <alignment horizontal="center" vertical="top" wrapText="1"/>
    </xf>
    <xf numFmtId="168" fontId="0" fillId="32" borderId="43" xfId="0" applyNumberFormat="1" applyFill="1" applyBorder="1" applyAlignment="1">
      <alignment horizontal="center" vertical="top"/>
    </xf>
    <xf numFmtId="167" fontId="0" fillId="32" borderId="43" xfId="0" applyNumberFormat="1" applyFill="1" applyBorder="1" applyAlignment="1">
      <alignment horizontal="center" vertical="top" wrapText="1"/>
    </xf>
    <xf numFmtId="168" fontId="0" fillId="32" borderId="43" xfId="0" applyNumberFormat="1" applyFill="1" applyBorder="1" applyAlignment="1">
      <alignment horizontal="center" vertical="top" wrapText="1"/>
    </xf>
    <xf numFmtId="14" fontId="0" fillId="32" borderId="43" xfId="0" applyNumberFormat="1" applyFill="1" applyBorder="1" applyAlignment="1">
      <alignment horizontal="center" vertical="top" wrapText="1"/>
    </xf>
    <xf numFmtId="0" fontId="0" fillId="32" borderId="43" xfId="0" applyFill="1" applyBorder="1" applyAlignment="1">
      <alignment horizontal="center" vertical="top"/>
    </xf>
    <xf numFmtId="0" fontId="0" fillId="0" borderId="0" xfId="0" applyAlignment="1">
      <alignment horizontal="center" vertical="top"/>
    </xf>
    <xf numFmtId="49" fontId="0" fillId="30" borderId="43" xfId="0" applyNumberFormat="1" applyFill="1" applyBorder="1" applyAlignment="1">
      <alignment horizontal="center" vertical="top" wrapText="1"/>
    </xf>
    <xf numFmtId="167" fontId="0" fillId="32" borderId="43" xfId="0" applyNumberFormat="1" applyFill="1" applyBorder="1" applyAlignment="1">
      <alignment horizontal="center" vertical="top"/>
    </xf>
    <xf numFmtId="49" fontId="0" fillId="32" borderId="43" xfId="0" applyNumberFormat="1" applyFill="1" applyBorder="1" applyAlignment="1">
      <alignment horizontal="center" vertical="top" wrapText="1"/>
    </xf>
    <xf numFmtId="0" fontId="0" fillId="4" borderId="47" xfId="0" applyFill="1" applyBorder="1" applyAlignment="1">
      <alignment horizontal="center" vertical="top" wrapText="1"/>
    </xf>
    <xf numFmtId="14" fontId="0" fillId="21" borderId="43" xfId="0" applyNumberFormat="1" applyFill="1" applyBorder="1" applyAlignment="1">
      <alignment horizontal="center" vertical="top" wrapText="1"/>
    </xf>
    <xf numFmtId="0" fontId="0" fillId="4" borderId="43" xfId="0" applyFill="1" applyBorder="1" applyAlignment="1">
      <alignment horizontal="center" vertical="top" wrapText="1"/>
    </xf>
    <xf numFmtId="0" fontId="0" fillId="0" borderId="43" xfId="0" applyBorder="1" applyAlignment="1">
      <alignment horizontal="left" vertical="top"/>
    </xf>
    <xf numFmtId="0" fontId="16" fillId="10" borderId="43" xfId="0" applyFont="1" applyFill="1" applyBorder="1" applyAlignment="1">
      <alignment horizontal="left" vertical="center" wrapText="1"/>
    </xf>
    <xf numFmtId="0" fontId="0" fillId="7" borderId="43" xfId="0" applyFill="1" applyBorder="1" applyAlignment="1">
      <alignment horizontal="center" vertical="top" wrapText="1"/>
    </xf>
    <xf numFmtId="0" fontId="21" fillId="29" borderId="0" xfId="0" applyFont="1" applyFill="1" applyAlignment="1">
      <alignment horizontal="center" vertical="center" wrapText="1"/>
    </xf>
    <xf numFmtId="0" fontId="0" fillId="30" borderId="47" xfId="0" applyFill="1" applyBorder="1" applyAlignment="1">
      <alignment horizontal="center" vertical="center" wrapText="1"/>
    </xf>
    <xf numFmtId="0" fontId="0" fillId="34" borderId="0" xfId="0" applyFill="1" applyAlignment="1">
      <alignment horizontal="center" vertical="center" wrapText="1"/>
    </xf>
    <xf numFmtId="0" fontId="0" fillId="4" borderId="43" xfId="0" applyFill="1" applyBorder="1" applyAlignment="1">
      <alignment horizontal="center" vertical="center"/>
    </xf>
    <xf numFmtId="0" fontId="19" fillId="35" borderId="0" xfId="0" applyFont="1" applyFill="1" applyAlignment="1" applyProtection="1">
      <alignment horizontal="center" vertical="center" wrapText="1"/>
      <protection locked="0"/>
    </xf>
    <xf numFmtId="0" fontId="0" fillId="30" borderId="46" xfId="0" applyFill="1" applyBorder="1" applyAlignment="1" applyProtection="1">
      <alignment horizontal="center" vertical="center" wrapText="1"/>
      <protection locked="0"/>
    </xf>
    <xf numFmtId="0" fontId="16" fillId="10" borderId="46" xfId="0" applyFont="1" applyFill="1" applyBorder="1" applyAlignment="1" applyProtection="1">
      <alignment horizontal="center" vertical="center" wrapText="1"/>
      <protection locked="0"/>
    </xf>
    <xf numFmtId="0" fontId="0" fillId="0" borderId="46" xfId="0" applyBorder="1" applyAlignment="1" applyProtection="1">
      <alignment horizontal="center" vertical="center"/>
      <protection locked="0"/>
    </xf>
    <xf numFmtId="14" fontId="0" fillId="36" borderId="43" xfId="0" applyNumberFormat="1" applyFill="1" applyBorder="1" applyAlignment="1">
      <alignment horizontal="center" vertical="center"/>
    </xf>
    <xf numFmtId="14" fontId="0" fillId="36" borderId="43" xfId="0" applyNumberFormat="1" applyFill="1" applyBorder="1" applyAlignment="1">
      <alignment horizontal="center" vertical="center" wrapText="1"/>
    </xf>
    <xf numFmtId="0" fontId="18" fillId="9" borderId="54" xfId="0" applyFont="1" applyFill="1" applyBorder="1" applyAlignment="1">
      <alignment horizontal="center" vertical="center" wrapText="1"/>
    </xf>
    <xf numFmtId="0" fontId="18" fillId="9" borderId="47" xfId="0" applyFont="1" applyFill="1" applyBorder="1" applyAlignment="1">
      <alignment horizontal="center" vertical="center" wrapText="1"/>
    </xf>
    <xf numFmtId="0" fontId="18" fillId="20" borderId="44" xfId="0" applyFont="1" applyFill="1" applyBorder="1" applyAlignment="1">
      <alignment horizontal="center" vertical="center" wrapText="1"/>
    </xf>
    <xf numFmtId="0" fontId="0" fillId="36" borderId="43" xfId="0" applyFill="1" applyBorder="1" applyAlignment="1">
      <alignment horizontal="center" vertical="center" wrapText="1"/>
    </xf>
    <xf numFmtId="0" fontId="0" fillId="36" borderId="47" xfId="0" applyFill="1" applyBorder="1" applyAlignment="1">
      <alignment horizontal="center" vertical="center" wrapText="1"/>
    </xf>
    <xf numFmtId="16" fontId="0" fillId="36" borderId="43" xfId="0" applyNumberFormat="1" applyFill="1" applyBorder="1" applyAlignment="1">
      <alignment horizontal="center" vertical="center" wrapText="1"/>
    </xf>
    <xf numFmtId="0" fontId="0" fillId="36" borderId="47" xfId="0" applyFill="1" applyBorder="1" applyAlignment="1">
      <alignment horizontal="center" vertical="center"/>
    </xf>
    <xf numFmtId="0" fontId="0" fillId="36" borderId="43" xfId="0" applyFill="1" applyBorder="1" applyAlignment="1">
      <alignment horizontal="center" vertical="center"/>
    </xf>
    <xf numFmtId="0" fontId="0" fillId="0" borderId="53" xfId="0" applyBorder="1" applyAlignment="1">
      <alignment horizontal="center" vertical="center"/>
    </xf>
    <xf numFmtId="0" fontId="0" fillId="4" borderId="0" xfId="0" applyFill="1" applyAlignment="1">
      <alignment vertical="center" wrapText="1"/>
    </xf>
    <xf numFmtId="0" fontId="0" fillId="19" borderId="46" xfId="0" applyFill="1" applyBorder="1" applyAlignment="1" applyProtection="1">
      <alignment horizontal="center" vertical="center" wrapText="1"/>
      <protection locked="0"/>
    </xf>
    <xf numFmtId="0" fontId="0" fillId="19" borderId="46" xfId="0" quotePrefix="1" applyFill="1" applyBorder="1" applyAlignment="1" applyProtection="1">
      <alignment horizontal="center" vertical="center" wrapText="1"/>
      <protection locked="0"/>
    </xf>
    <xf numFmtId="0" fontId="0" fillId="19" borderId="45" xfId="0" applyFill="1" applyBorder="1" applyAlignment="1" applyProtection="1">
      <alignment horizontal="center" vertical="center"/>
      <protection locked="0"/>
    </xf>
    <xf numFmtId="0" fontId="0" fillId="19" borderId="45" xfId="0" applyFill="1" applyBorder="1" applyAlignment="1" applyProtection="1">
      <alignment horizontal="center" vertical="center" wrapText="1"/>
      <protection locked="0"/>
    </xf>
    <xf numFmtId="0" fontId="0" fillId="19" borderId="53" xfId="0" applyFill="1" applyBorder="1" applyAlignment="1" applyProtection="1">
      <alignment horizontal="center" vertical="center"/>
      <protection locked="0"/>
    </xf>
    <xf numFmtId="0" fontId="0" fillId="19" borderId="53" xfId="0" applyFill="1" applyBorder="1" applyAlignment="1" applyProtection="1">
      <alignment horizontal="center" vertical="center" wrapText="1"/>
      <protection locked="0"/>
    </xf>
    <xf numFmtId="0" fontId="0" fillId="19" borderId="46" xfId="0" applyFill="1" applyBorder="1" applyAlignment="1" applyProtection="1">
      <alignment horizontal="center" vertical="center"/>
      <protection locked="0"/>
    </xf>
    <xf numFmtId="0" fontId="0" fillId="19" borderId="54" xfId="0" applyFill="1" applyBorder="1" applyAlignment="1" applyProtection="1">
      <alignment horizontal="center" vertical="center"/>
      <protection locked="0"/>
    </xf>
    <xf numFmtId="0" fontId="0" fillId="19" borderId="54" xfId="0" applyFill="1" applyBorder="1" applyAlignment="1" applyProtection="1">
      <alignment horizontal="center" vertical="center" wrapText="1"/>
      <protection locked="0"/>
    </xf>
    <xf numFmtId="0" fontId="0" fillId="19" borderId="55" xfId="0" applyFill="1" applyBorder="1" applyAlignment="1" applyProtection="1">
      <alignment horizontal="center" vertical="center"/>
      <protection locked="0"/>
    </xf>
    <xf numFmtId="0" fontId="0" fillId="19" borderId="55" xfId="0" applyFill="1" applyBorder="1" applyAlignment="1" applyProtection="1">
      <alignment horizontal="center" vertical="center" wrapText="1"/>
      <protection locked="0"/>
    </xf>
    <xf numFmtId="0" fontId="0" fillId="19" borderId="56" xfId="0" applyFill="1" applyBorder="1" applyAlignment="1" applyProtection="1">
      <alignment horizontal="center" vertical="center"/>
      <protection locked="0"/>
    </xf>
    <xf numFmtId="0" fontId="0" fillId="19" borderId="56" xfId="0" applyFill="1" applyBorder="1" applyAlignment="1" applyProtection="1">
      <alignment horizontal="center" vertical="center" wrapText="1"/>
      <protection locked="0"/>
    </xf>
    <xf numFmtId="0" fontId="15" fillId="30" borderId="0" xfId="0" applyFont="1" applyFill="1" applyAlignment="1">
      <alignment horizontal="left" vertical="top" wrapText="1"/>
    </xf>
    <xf numFmtId="0" fontId="17" fillId="30" borderId="0" xfId="0" applyFont="1" applyFill="1" applyAlignment="1">
      <alignment horizontal="left" vertical="top" wrapText="1"/>
    </xf>
    <xf numFmtId="0" fontId="15" fillId="31" borderId="43" xfId="0" applyFont="1" applyFill="1" applyBorder="1" applyAlignment="1">
      <alignment vertical="center"/>
    </xf>
    <xf numFmtId="0" fontId="15" fillId="30" borderId="51" xfId="0" applyFont="1" applyFill="1" applyBorder="1" applyAlignment="1">
      <alignment vertical="center" wrapText="1"/>
    </xf>
    <xf numFmtId="0" fontId="15" fillId="30" borderId="0" xfId="0" applyFont="1" applyFill="1" applyAlignment="1">
      <alignment vertical="center" wrapText="1"/>
    </xf>
    <xf numFmtId="0" fontId="15" fillId="30" borderId="52" xfId="0" applyFont="1" applyFill="1" applyBorder="1" applyAlignment="1">
      <alignment vertical="center" wrapText="1"/>
    </xf>
    <xf numFmtId="0" fontId="17" fillId="30" borderId="43" xfId="0" applyFont="1" applyFill="1" applyBorder="1" applyAlignment="1">
      <alignment vertical="center" wrapText="1"/>
    </xf>
    <xf numFmtId="0" fontId="0" fillId="0" borderId="43" xfId="0" applyBorder="1" applyAlignment="1">
      <alignment horizontal="center" vertical="center" wrapText="1"/>
    </xf>
    <xf numFmtId="0" fontId="16" fillId="9" borderId="43" xfId="0" applyFont="1" applyFill="1" applyBorder="1" applyAlignment="1" applyProtection="1">
      <alignment horizontal="left" vertical="center" wrapText="1"/>
      <protection locked="0"/>
    </xf>
    <xf numFmtId="0" fontId="0" fillId="0" borderId="0" xfId="0" applyAlignment="1">
      <alignment horizontal="left" vertical="center" wrapText="1"/>
    </xf>
    <xf numFmtId="0" fontId="0" fillId="19" borderId="53" xfId="0" applyFill="1" applyBorder="1" applyAlignment="1" applyProtection="1">
      <alignment horizontal="left" vertical="center"/>
      <protection locked="0"/>
    </xf>
    <xf numFmtId="0" fontId="0" fillId="19" borderId="53" xfId="0" applyFill="1" applyBorder="1" applyAlignment="1" applyProtection="1">
      <alignment horizontal="left" vertical="center" wrapText="1"/>
      <protection locked="0"/>
    </xf>
    <xf numFmtId="0" fontId="16" fillId="37" borderId="43" xfId="0" applyFont="1" applyFill="1" applyBorder="1" applyAlignment="1" applyProtection="1">
      <alignment horizontal="center" vertical="center" wrapText="1"/>
      <protection locked="0"/>
    </xf>
    <xf numFmtId="167" fontId="16" fillId="37" borderId="43" xfId="0" applyNumberFormat="1" applyFont="1" applyFill="1" applyBorder="1" applyAlignment="1" applyProtection="1">
      <alignment horizontal="center" vertical="center" wrapText="1"/>
      <protection locked="0"/>
    </xf>
    <xf numFmtId="0" fontId="16" fillId="37" borderId="0" xfId="0" applyFont="1" applyFill="1" applyAlignment="1">
      <alignment horizontal="center" vertical="center" wrapText="1"/>
    </xf>
    <xf numFmtId="16" fontId="0" fillId="0" borderId="43" xfId="0" applyNumberFormat="1" applyBorder="1" applyAlignment="1" applyProtection="1">
      <alignment horizontal="center" vertical="center" wrapText="1"/>
      <protection locked="0"/>
    </xf>
    <xf numFmtId="170" fontId="16" fillId="37" borderId="0" xfId="0" applyNumberFormat="1" applyFont="1" applyFill="1" applyAlignment="1">
      <alignment horizontal="center" vertical="center" wrapText="1"/>
    </xf>
    <xf numFmtId="14" fontId="0" fillId="34" borderId="43" xfId="0" applyNumberFormat="1" applyFill="1" applyBorder="1" applyAlignment="1">
      <alignment horizontal="center" vertical="center" wrapText="1"/>
    </xf>
    <xf numFmtId="14" fontId="0" fillId="0" borderId="43" xfId="0" applyNumberFormat="1" applyBorder="1" applyAlignment="1">
      <alignment horizontal="center" vertical="center" wrapText="1"/>
    </xf>
    <xf numFmtId="170" fontId="0" fillId="0" borderId="0" xfId="0" applyNumberFormat="1" applyAlignment="1">
      <alignment horizontal="center" vertical="center"/>
    </xf>
    <xf numFmtId="0" fontId="16" fillId="37" borderId="43" xfId="0" applyFont="1" applyFill="1" applyBorder="1" applyAlignment="1">
      <alignment horizontal="center" vertical="center" wrapText="1"/>
    </xf>
    <xf numFmtId="167" fontId="16" fillId="37" borderId="43" xfId="0" applyNumberFormat="1" applyFont="1" applyFill="1" applyBorder="1" applyAlignment="1">
      <alignment horizontal="center" vertical="center" wrapText="1"/>
    </xf>
    <xf numFmtId="16" fontId="0" fillId="0" borderId="43" xfId="0" applyNumberFormat="1" applyBorder="1" applyAlignment="1">
      <alignment horizontal="center" vertical="center" wrapText="1"/>
    </xf>
    <xf numFmtId="168" fontId="0" fillId="0" borderId="43" xfId="0" applyNumberFormat="1" applyBorder="1" applyAlignment="1">
      <alignment horizontal="center" vertical="center"/>
    </xf>
    <xf numFmtId="167" fontId="0" fillId="0" borderId="43" xfId="0" applyNumberFormat="1" applyBorder="1" applyAlignment="1">
      <alignment horizontal="center" vertical="center"/>
    </xf>
    <xf numFmtId="0" fontId="16" fillId="10" borderId="46" xfId="0" applyFont="1" applyFill="1" applyBorder="1" applyAlignment="1">
      <alignment horizontal="center" vertical="center" wrapText="1"/>
    </xf>
    <xf numFmtId="0" fontId="0" fillId="0" borderId="46" xfId="0" applyBorder="1" applyAlignment="1">
      <alignment horizontal="center" vertical="center"/>
    </xf>
    <xf numFmtId="0" fontId="16" fillId="37" borderId="0" xfId="0" applyFont="1" applyFill="1" applyAlignment="1" applyProtection="1">
      <alignment horizontal="center" vertical="center" wrapText="1"/>
      <protection locked="0"/>
    </xf>
    <xf numFmtId="170" fontId="16" fillId="37" borderId="0" xfId="0" applyNumberFormat="1" applyFont="1" applyFill="1" applyAlignment="1" applyProtection="1">
      <alignment horizontal="center" vertical="center" wrapText="1"/>
      <protection locked="0"/>
    </xf>
    <xf numFmtId="14" fontId="0" fillId="34" borderId="43" xfId="0" applyNumberFormat="1" applyFill="1" applyBorder="1" applyAlignment="1" applyProtection="1">
      <alignment horizontal="center" vertical="center" wrapText="1"/>
      <protection locked="0"/>
    </xf>
    <xf numFmtId="14" fontId="0" fillId="0" borderId="43" xfId="0" applyNumberFormat="1" applyBorder="1" applyAlignment="1" applyProtection="1">
      <alignment horizontal="center" vertical="center" wrapText="1"/>
      <protection locked="0"/>
    </xf>
    <xf numFmtId="170" fontId="0" fillId="0" borderId="0" xfId="0" applyNumberFormat="1" applyAlignment="1" applyProtection="1">
      <alignment horizontal="center" vertical="center"/>
      <protection locked="0"/>
    </xf>
    <xf numFmtId="0" fontId="0" fillId="32" borderId="43" xfId="0" applyFill="1" applyBorder="1" applyAlignment="1">
      <alignment vertical="center" wrapText="1"/>
    </xf>
    <xf numFmtId="16" fontId="0" fillId="32" borderId="43" xfId="0" applyNumberFormat="1" applyFill="1" applyBorder="1" applyAlignment="1">
      <alignment vertical="center" wrapText="1"/>
    </xf>
    <xf numFmtId="0" fontId="13" fillId="32" borderId="43" xfId="0" applyFont="1" applyFill="1" applyBorder="1" applyAlignment="1">
      <alignment vertical="center" wrapText="1"/>
    </xf>
    <xf numFmtId="14" fontId="0" fillId="32" borderId="43" xfId="0" applyNumberFormat="1" applyFill="1" applyBorder="1" applyAlignment="1">
      <alignment horizontal="center" vertical="center"/>
    </xf>
    <xf numFmtId="14" fontId="0" fillId="32" borderId="43" xfId="0" applyNumberFormat="1" applyFill="1" applyBorder="1" applyAlignment="1">
      <alignment vertical="center" wrapText="1"/>
    </xf>
    <xf numFmtId="0" fontId="0" fillId="30" borderId="46" xfId="0" applyFill="1" applyBorder="1" applyAlignment="1">
      <alignment horizontal="center" vertical="center" wrapText="1"/>
    </xf>
    <xf numFmtId="0" fontId="0" fillId="19" borderId="43" xfId="0" applyFill="1" applyBorder="1" applyAlignment="1">
      <alignment horizontal="center" vertical="center"/>
    </xf>
    <xf numFmtId="14" fontId="0" fillId="19" borderId="43" xfId="0" applyNumberFormat="1" applyFill="1" applyBorder="1" applyAlignment="1">
      <alignment horizontal="center" vertical="center"/>
    </xf>
    <xf numFmtId="168" fontId="0" fillId="19" borderId="43" xfId="0" applyNumberFormat="1" applyFill="1" applyBorder="1" applyAlignment="1">
      <alignment horizontal="center" vertical="center"/>
    </xf>
    <xf numFmtId="167" fontId="0" fillId="19" borderId="43" xfId="0" applyNumberFormat="1" applyFill="1" applyBorder="1" applyAlignment="1">
      <alignment horizontal="center" vertical="center"/>
    </xf>
    <xf numFmtId="0" fontId="0" fillId="19" borderId="43" xfId="0" applyFill="1" applyBorder="1" applyAlignment="1">
      <alignment horizontal="center" vertical="center" wrapText="1"/>
    </xf>
    <xf numFmtId="14" fontId="0" fillId="19" borderId="43" xfId="0" applyNumberFormat="1" applyFill="1" applyBorder="1" applyAlignment="1">
      <alignment horizontal="center" vertical="center" wrapText="1"/>
    </xf>
    <xf numFmtId="168" fontId="0" fillId="19" borderId="43" xfId="0" applyNumberFormat="1" applyFill="1" applyBorder="1" applyAlignment="1">
      <alignment horizontal="center" vertical="center" wrapText="1"/>
    </xf>
    <xf numFmtId="167" fontId="0" fillId="19" borderId="43" xfId="0" applyNumberFormat="1" applyFill="1" applyBorder="1" applyAlignment="1">
      <alignment horizontal="center" vertical="center" wrapText="1"/>
    </xf>
    <xf numFmtId="0" fontId="0" fillId="28" borderId="43" xfId="0" applyFill="1" applyBorder="1" applyAlignment="1">
      <alignment horizontal="center" vertical="center"/>
    </xf>
    <xf numFmtId="49" fontId="0" fillId="28" borderId="43" xfId="0" applyNumberFormat="1" applyFill="1" applyBorder="1" applyAlignment="1">
      <alignment horizontal="center" vertical="center" wrapText="1"/>
    </xf>
    <xf numFmtId="49" fontId="0" fillId="4" borderId="47" xfId="0" applyNumberFormat="1" applyFill="1" applyBorder="1" applyAlignment="1">
      <alignment horizontal="center" vertical="center" wrapText="1"/>
    </xf>
    <xf numFmtId="0" fontId="8" fillId="6"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8" fillId="6" borderId="0" xfId="0" applyFont="1" applyFill="1" applyAlignment="1">
      <alignment horizontal="center" vertical="center"/>
    </xf>
    <xf numFmtId="0" fontId="7" fillId="0" borderId="4" xfId="0" applyFont="1" applyBorder="1" applyAlignment="1">
      <alignment vertical="center"/>
    </xf>
    <xf numFmtId="0" fontId="7" fillId="0" borderId="9" xfId="0" applyFont="1" applyBorder="1" applyAlignment="1">
      <alignment vertical="center"/>
    </xf>
    <xf numFmtId="0" fontId="7" fillId="0" borderId="4"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vertical="center"/>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8" fillId="6" borderId="12" xfId="0" applyFont="1" applyFill="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9" fontId="6" fillId="4" borderId="9" xfId="0" applyNumberFormat="1" applyFont="1" applyFill="1" applyBorder="1" applyAlignment="1">
      <alignment horizontal="center" vertical="center"/>
    </xf>
    <xf numFmtId="0" fontId="2" fillId="0" borderId="22" xfId="0" applyFont="1" applyBorder="1" applyAlignment="1">
      <alignment horizontal="center" vertical="center"/>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95">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alignment vertical="center" wrapText="1"/>
    </dxf>
    <dxf>
      <alignment vertical="center" wrapText="1"/>
    </dxf>
    <dxf>
      <numFmt numFmtId="0" formatCode="General"/>
      <alignment vertical="center" wrapText="1"/>
    </dxf>
    <dxf>
      <alignment vertical="center" wrapText="1"/>
    </dxf>
    <dxf>
      <alignment wrapText="1"/>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my.sharepoint.com/personal/diana_zapata_laureate_pe1/Documents/REGISTRO%20DE%20INICIATIVAS%20-%20GESTI&#211;N%20DE%20LA%20DEMANDA%20(2).xlsx" TargetMode="External"/><Relationship Id="rId1" Type="http://schemas.openxmlformats.org/officeDocument/2006/relationships/externalLinkPath" Target="https://educorpperu-my.sharepoint.com/personal/diana_zapata_laureate_pe1/Documents/REGISTRO%20DE%20INICIATIVAS%20-%20GESTI&#211;N%20DE%20LA%20DEMANDA%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MoqOll0R0yKMqiEKuPYJMV5KmZMZbhMjN6QOYKu8a3EfEoS47P3Q7xV_NRLbiKl" itemId="01LMUNDYCFTJFEHLF5KRAKPF5HRWKA7KWJ">
      <xxl21:absoluteUrl r:id="rId2"/>
    </xxl21:alternateUrls>
    <sheetNames>
      <sheetName val="Sheet1"/>
      <sheetName val="Criterios de priorización"/>
      <sheetName val="Análisis Puntajes"/>
      <sheetName val="Análisis Comparativo"/>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Normativa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Marota - Tecnologías y transformación digital</v>
          </cell>
          <cell r="J4" t="str">
            <v xml:space="preserve">Alejandro Tello Llosa </v>
          </cell>
          <cell r="K4"/>
          <cell r="L4" t="str">
            <v>Jose Paredes</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 xml:space="preserve">Janeth Albujar Rodriguez </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 xml:space="preserve">Janeth Albujar Rodriguez </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 xml:space="preserve">Janeth Albujar Rodriguez </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 xml:space="preserve">Janeth Albujar Rodriguez </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 Villavicencio</v>
          </cell>
          <cell r="K13"/>
          <cell r="L13" t="str">
            <v>Jose Paredes</v>
          </cell>
          <cell r="M13">
            <v>46081</v>
          </cell>
          <cell r="N13" t="str">
            <v>No</v>
          </cell>
          <cell r="O13" t="str">
            <v> </v>
          </cell>
          <cell r="P13"/>
          <cell r="Q13" t="str">
            <v>Normativa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Humberto Marota - Tecnologías y transformación digital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Legal</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Donoban Meza - Director Corp IT Security</v>
          </cell>
          <cell r="J23" t="str">
            <v>Carlos Sánchez</v>
          </cell>
          <cell r="K23"/>
          <cell r="L23" t="str">
            <v>Ninguno</v>
          </cell>
          <cell r="M23">
            <v>46081</v>
          </cell>
          <cell r="N23" t="str">
            <v>No</v>
          </cell>
          <cell r="O23" t="str">
            <v> </v>
          </cell>
          <cell r="P23"/>
          <cell r="Q23" t="str">
            <v>Seguridad TI</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46069.666666666664</v>
          </cell>
          <cell r="D28" t="str">
            <v>ronald.benites@laureate.pe</v>
          </cell>
          <cell r="E28" t="str">
            <v>Ronald Benites Vilchez</v>
          </cell>
          <cell r="F28" t="str">
            <v xml:space="preserve"> Horacius integración con aplicativo UPC</v>
          </cell>
          <cell r="G28" t="e">
            <v>#VALUE!</v>
          </cell>
          <cell r="H28" t="str">
            <v>LAUREATE</v>
          </cell>
          <cell r="I28" t="str">
            <v>Humberto Marota - Tecnologías y transformación digital</v>
          </cell>
          <cell r="J28" t="str">
            <v xml:space="preserve">Henry Longa </v>
          </cell>
          <cell r="K28"/>
          <cell r="L28" t="str">
            <v>Ninguno</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e">
            <v>#VALUE!</v>
          </cell>
          <cell r="H32" t="str">
            <v>CIB</v>
          </cell>
          <cell r="I32" t="str">
            <v>Ivan Olivares - VP Marketing y Comercial</v>
          </cell>
          <cell r="J32" t="str">
            <v>Cristina del Risco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e">
            <v>#VALUE!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CORPORATIVO</v>
          </cell>
          <cell r="I37" t="str">
            <v>Donoban Meza - Director Corp IT Security</v>
          </cell>
          <cell r="J37" t="str">
            <v>Carlos Sánchez</v>
          </cell>
          <cell r="L37" t="str">
            <v>Ninguno</v>
          </cell>
          <cell r="M37">
            <v>46203</v>
          </cell>
          <cell r="N37" t="str">
            <v>No</v>
          </cell>
          <cell r="O37"/>
          <cell r="Q37" t="str">
            <v>Seguridad TI</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CORPORATIVO</v>
          </cell>
          <cell r="I38" t="str">
            <v>Donoban Meza - Director Corp IT Security</v>
          </cell>
          <cell r="J38" t="str">
            <v>Carlos Sánchez</v>
          </cell>
          <cell r="L38" t="str">
            <v>Ninguno</v>
          </cell>
          <cell r="M38">
            <v>46203</v>
          </cell>
          <cell r="N38" t="str">
            <v>No</v>
          </cell>
          <cell r="O38"/>
          <cell r="Q38" t="str">
            <v>Seguridad TI</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CORPORATIVO</v>
          </cell>
          <cell r="I39" t="str">
            <v>Donoban Meza - Director Corp IT Security</v>
          </cell>
          <cell r="J39" t="str">
            <v>Carlos Sánchez</v>
          </cell>
          <cell r="L39" t="str">
            <v>Ninguno</v>
          </cell>
          <cell r="M39">
            <v>46295</v>
          </cell>
          <cell r="N39" t="str">
            <v>No</v>
          </cell>
          <cell r="O39"/>
          <cell r="Q39" t="str">
            <v>Seguridad TI</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CORPORATIVO</v>
          </cell>
          <cell r="I40" t="str">
            <v>Donoban Meza - Director Corp IT Security</v>
          </cell>
          <cell r="J40" t="str">
            <v>Carlos Sánchez</v>
          </cell>
          <cell r="L40" t="str">
            <v>Ninguno</v>
          </cell>
          <cell r="M40">
            <v>46326</v>
          </cell>
          <cell r="N40" t="str">
            <v>No</v>
          </cell>
          <cell r="O40"/>
          <cell r="Q40" t="str">
            <v>Seguridad TI</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CORPORATIVO</v>
          </cell>
          <cell r="I41" t="str">
            <v>Donoban Meza - Director Corp IT Security</v>
          </cell>
          <cell r="J41" t="str">
            <v>Carlos Sánchez</v>
          </cell>
          <cell r="L41" t="str">
            <v>Ninguno</v>
          </cell>
          <cell r="M41">
            <v>46356</v>
          </cell>
          <cell r="N41" t="str">
            <v>No</v>
          </cell>
          <cell r="O41"/>
          <cell r="Q41" t="str">
            <v>Seguridad TI</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CORPORATIVO</v>
          </cell>
          <cell r="I42" t="str">
            <v>Donoban Meza - Director Corp IT Security</v>
          </cell>
          <cell r="J42" t="str">
            <v>Carlos Sánchez</v>
          </cell>
          <cell r="L42" t="str">
            <v>Ninguno</v>
          </cell>
          <cell r="M42">
            <v>46295</v>
          </cell>
          <cell r="N42" t="str">
            <v>No</v>
          </cell>
          <cell r="O42"/>
          <cell r="Q42" t="str">
            <v>Seguridad TI</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Marota - Tecnologías y transformación digital</v>
          </cell>
          <cell r="J43" t="str">
            <v>Juan Huapata</v>
          </cell>
          <cell r="L43" t="str">
            <v>Ángela Lucano</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LAUREATE</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 Lima Goulart</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Humberto Marota - Tecnologías y transformación digital</v>
          </cell>
          <cell r="J47" t="str">
            <v xml:space="preserve">Alejandro Tello Llosa </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Automatización end-to-end de la creación de cuentas del AD y cálculo de la denominación del correo institucional mediante HORACIUS en UPN, UPC y CIB. incluyendo la construcción de APIs en HCM.</v>
          </cell>
          <cell r="G49" t="e">
            <v>#VALUE!</v>
          </cell>
          <cell r="H49" t="str">
            <v>LAUREATE</v>
          </cell>
          <cell r="I49" t="str">
            <v>Humberto Marota - Tecnologías y transformación digital</v>
          </cell>
          <cell r="J49" t="str">
            <v xml:space="preserve">Henry Longa </v>
          </cell>
          <cell r="K49"/>
          <cell r="L49" t="str">
            <v>Ninguno</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 xml:space="preserve">Alice Rodrigues Hoyer </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Marota - Tecnologías y transformación digital</v>
          </cell>
          <cell r="J52" t="str">
            <v xml:space="preserve">Henry Longa </v>
          </cell>
          <cell r="K52"/>
          <cell r="L52" t="str">
            <v xml:space="preserve">Luis Almeyda </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Marota - Tecnologías y transformación digital</v>
          </cell>
          <cell r="J53" t="str">
            <v xml:space="preserve">Henry Longa </v>
          </cell>
          <cell r="K53"/>
          <cell r="L53" t="str">
            <v xml:space="preserve">Luis Almeyda </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Normativa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Cristina del Risco</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e">
            <v>#VALUE!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Martín Santana - Rectorado UPN</v>
          </cell>
          <cell r="J74" t="str">
            <v>Robinson Amaya</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Martín Santana - Rectorado UPN</v>
          </cell>
          <cell r="J75" t="str">
            <v>Robinson Amaya</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Martín Santana - Rectorado UPN</v>
          </cell>
          <cell r="J76" t="str">
            <v>Robinson Amaya</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Normativa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LAUREATE</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Martín Santana - Rectorado UPN</v>
          </cell>
          <cell r="J79" t="str">
            <v>Melissa Polo</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 xml:space="preserve">Soledad Alfaro Jimenez </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LAUREATE</v>
          </cell>
          <cell r="I82" t="str">
            <v>Humberto Marota - Tecnologías y transformación digital</v>
          </cell>
          <cell r="J82" t="str">
            <v>Carlos Sánchez</v>
          </cell>
          <cell r="K82"/>
          <cell r="L82" t="str">
            <v>Gerson Vereau</v>
          </cell>
          <cell r="M82">
            <v>46132</v>
          </cell>
          <cell r="N82" t="str">
            <v>No</v>
          </cell>
          <cell r="O82"/>
          <cell r="P82"/>
          <cell r="Q82" t="str">
            <v>Seguridad TI</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LAUREATE</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LAUREATE</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Elian I. Chumbimune</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Legal</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Paola Mora</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 Goulart</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Banner para consultar los asesores de alumnos cachimbo - Onboarding Portal del Estudiante UPN</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Legal</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Marota - Tecnologías y transformación digital</v>
          </cell>
          <cell r="J104" t="str">
            <v>Humberto Marotta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Loussiana Pacheco</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Legal</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133</v>
          </cell>
          <cell r="B111">
            <v>46153.365740740701</v>
          </cell>
          <cell r="C111">
            <v>46153.404918981498</v>
          </cell>
          <cell r="D111" t="str">
            <v>ethel.sotomayor@laureate.pe</v>
          </cell>
          <cell r="E111" t="str">
            <v xml:space="preserve">
Ethel Lorena Guerrero Sotomayor</v>
          </cell>
          <cell r="F111" t="str">
            <v>New Campus UPN Lima Sur - Nueva Sede UPN San Juan de Miraflores</v>
          </cell>
          <cell r="G111" t="str">
            <v>Expansión: Implementación de la nueva sede UPN Lima Sur (SJM).</v>
          </cell>
          <cell r="H111" t="str">
            <v>UPN</v>
          </cell>
          <cell r="I111" t="str">
            <v>Álvaro Valdez - VP Operaciones</v>
          </cell>
          <cell r="J111" t="str">
            <v xml:space="preserve">Sharon Chou </v>
          </cell>
          <cell r="K111"/>
          <cell r="L111"/>
          <cell r="M111">
            <v>46447</v>
          </cell>
          <cell r="N111" t="str">
            <v>Si</v>
          </cell>
          <cell r="O111" t="str">
            <v>Campus Expansion &amp; Operation Optimization</v>
          </cell>
          <cell r="P111">
            <v>77465</v>
          </cell>
          <cell r="Q111" t="str">
            <v>Otro</v>
          </cell>
          <cell r="R111" t="str">
            <v>Nueva sede</v>
          </cell>
          <cell r="T111"/>
          <cell r="V111" t="str">
            <v>Crecimiento Escalable</v>
          </cell>
          <cell r="W111" t="str">
            <v>No</v>
          </cell>
          <cell r="Y111"/>
          <cell r="Z111"/>
          <cell r="AA111">
            <v>2</v>
          </cell>
        </row>
        <row r="112">
          <cell r="A112">
            <v>134</v>
          </cell>
          <cell r="B112">
            <v>46146.699976851902</v>
          </cell>
          <cell r="C112">
            <v>46146.714398148099</v>
          </cell>
          <cell r="D112" t="str">
            <v>jorge.santacruz@laureate.pe</v>
          </cell>
          <cell r="E112" t="str">
            <v>Jorge Santa Cruz Espinoza</v>
          </cell>
          <cell r="F112" t="str">
            <v>Fase 2 Mis Procesos Goldenbelt</v>
          </cell>
          <cell r="G112" t="str">
            <v>Como parte de los acuerdos de continuidad para el proyecto de Mis Procesos Goldenbelt, en esta Fase 2 se requiere incorporar toda la documentación de procesos de Laureate Perú.</v>
          </cell>
          <cell r="H112" t="str">
            <v>LAUREATE</v>
          </cell>
          <cell r="I112" t="str">
            <v>Rossina Caballero - VP Legal</v>
          </cell>
          <cell r="J112" t="str">
            <v xml:space="preserve">Jorge Luis Santa Cruz Espinoza </v>
          </cell>
          <cell r="K112" t="e">
            <v>#VALUE!</v>
          </cell>
          <cell r="L112" t="str">
            <v>Franco Vera</v>
          </cell>
          <cell r="M112">
            <v>46238</v>
          </cell>
          <cell r="N112" t="str">
            <v>No</v>
          </cell>
          <cell r="O112"/>
          <cell r="P112"/>
          <cell r="Q112" t="str">
            <v>Otro</v>
          </cell>
          <cell r="R112" t="str">
            <v>Actualmente contamos con un aplicativo diseñado en PowerApps que gestiona y tiene como repositorio la documentación de Laureate Perú, y se plantea migrar toda información a la plataforma centralizada de Mis Procesos Goldenbelt</v>
          </cell>
          <cell r="S112"/>
          <cell r="T112" t="str">
            <v xml:space="preserve">Todos los procesos centralizados de la organización </v>
          </cell>
          <cell r="U112" t="str">
            <v>Administrativos</v>
          </cell>
          <cell r="V112" t="str">
            <v>Excelencia operativa</v>
          </cell>
          <cell r="W112" t="str">
            <v>No</v>
          </cell>
          <cell r="X112" t="str">
            <v>No cuantificado o S/0</v>
          </cell>
          <cell r="Y112" t="e">
            <v>#VALUE!</v>
          </cell>
          <cell r="Z112" t="str">
            <v>https://educorpperu-my.sharepoint.com/personal/diana_zapata_laureate_pe1/_layouts/15/Doc.aspx?sourcedoc=%7B624F527C-33C1-4CED-9E49-04BF8077595A%7D&amp;file=Goldenbelt_presentaci%C3%B3n_Jorge%20Santa%20Cruz%20Esp.pptx&amp;action=edit&amp;mobileredirect=true</v>
          </cell>
          <cell r="AA112">
            <v>0.45000000000000007</v>
          </cell>
        </row>
        <row r="113">
          <cell r="A113">
            <v>135</v>
          </cell>
          <cell r="B113">
            <v>46148.721481481502</v>
          </cell>
          <cell r="C113">
            <v>46148.761435185203</v>
          </cell>
          <cell r="D113" t="str">
            <v>franco.vera@laureate.pe</v>
          </cell>
          <cell r="E113" t="str">
            <v>Franco Manuel Vera Sanchez</v>
          </cell>
          <cell r="F113" t="str">
            <v xml:space="preserve">Depuración de RPA ineficientes </v>
          </cell>
          <cell r="G113" t="str">
            <v>Necesitamos asegurar el retiro de 10 RPA deficientes, para ejecutar un plan de acción definido (rediseño de procesos, desarrollo, integración), logrando quedarnos sólo con los RPA justificados, según Plan de Trabajo realizado.</v>
          </cell>
          <cell r="H113" t="str">
            <v>LAUREATE</v>
          </cell>
          <cell r="I113" t="str">
            <v>Humberto Marota - Tecnologías y transformación digital</v>
          </cell>
          <cell r="J113" t="str">
            <v xml:space="preserve">Christian Quiroz </v>
          </cell>
          <cell r="K113" t="str">
            <v>https://educorpperu-my.sharepoint.com/:b:/g/personal/franco_vera_laureate_pe/IQAeX2Tg8y1WSYeioPE9dNhYAVKWmQNzPEOjQhlY8RjQY4k?e=bEb9WD</v>
          </cell>
          <cell r="L113" t="str">
            <v>Franco Vera</v>
          </cell>
          <cell r="M113">
            <v>46203</v>
          </cell>
          <cell r="N113" t="str">
            <v>No</v>
          </cell>
          <cell r="O113"/>
          <cell r="P113"/>
          <cell r="Q113" t="str">
            <v>Otro</v>
          </cell>
          <cell r="R113" t="e">
            <v>#VALUE!</v>
          </cell>
          <cell r="S113"/>
          <cell r="T113" t="str">
            <v>Académicos y de operaciones</v>
          </cell>
          <cell r="U113" t="str">
            <v>Ninguno</v>
          </cell>
          <cell r="V113" t="str">
            <v>Excelencia operativa</v>
          </cell>
          <cell r="W113" t="str">
            <v>No</v>
          </cell>
          <cell r="X113" t="str">
            <v>No cuantificado o S/0</v>
          </cell>
          <cell r="Y113" t="str">
            <v>Elevar el grado de alineamiento de los RPA y la optimización del modelo de automatización en UPN y UPC.</v>
          </cell>
          <cell r="Z113" t="str">
            <v>https://educorpperu-my.sharepoint.com/personal/diana_zapata_laureate_pe1/_layouts/15/Doc.aspx?sourcedoc=%7B24A1BDF7-9308-49FC-8068-7E45AEA5D050%7D&amp;file=Status%20RPA%202026-04-01_Franco%20Manuel%20Vera%20S.pptx&amp;action=edit&amp;mobileredirect=true</v>
          </cell>
          <cell r="AA113">
            <v>0.30000000000000004</v>
          </cell>
        </row>
        <row r="114">
          <cell r="A114">
            <v>136</v>
          </cell>
          <cell r="B114">
            <v>46148.807418981502</v>
          </cell>
          <cell r="C114">
            <v>46148.817395833299</v>
          </cell>
          <cell r="D114" t="str">
            <v>jose.herbozo@laureate.pe</v>
          </cell>
          <cell r="E114" t="str">
            <v>José Paredes Herbozo</v>
          </cell>
          <cell r="F114" t="str">
            <v>Admisión Online (Fase 2)</v>
          </cell>
          <cell r="G114" t="e">
            <v>#VALUE!</v>
          </cell>
          <cell r="H114" t="str">
            <v>UPN</v>
          </cell>
          <cell r="I114" t="str">
            <v>Ivan Olivares - VP Marketing y Comercial</v>
          </cell>
          <cell r="J114" t="str">
            <v>Roberto Yepez</v>
          </cell>
          <cell r="K114" t="str">
            <v>https://educorpperu-my.sharepoint.com/personal/diana_zapata_laureate_pe1/Documents/Aplicaciones/Microsoft%20Forms/REGISTRO%20DE%20INICIATIVAS%20-%20GESTI%C3%93N%20DE%20LA%20DEMANDA%20(2%201/Pregunta/olk_GiZq5TaWKA_Jos%C3%A9%20Paredes%20Herbozo.png</v>
          </cell>
          <cell r="L114" t="str">
            <v>Jose Paredes</v>
          </cell>
          <cell r="M114">
            <v>46234</v>
          </cell>
          <cell r="N114" t="str">
            <v>Si</v>
          </cell>
          <cell r="O114" t="str">
            <v>Digital &amp; IA</v>
          </cell>
          <cell r="P114">
            <v>75722</v>
          </cell>
          <cell r="Q114" t="str">
            <v>Otro</v>
          </cell>
          <cell r="R114" t="str">
            <v>Actualmente la operación manual dilata la venta.</v>
          </cell>
          <cell r="S114"/>
          <cell r="T114" t="str">
            <v>Admisión, Marketing</v>
          </cell>
          <cell r="U114" t="str">
            <v>Administrativos</v>
          </cell>
          <cell r="V114" t="str">
            <v>Crecimiento escalable</v>
          </cell>
          <cell r="W114" t="str">
            <v>No</v>
          </cell>
          <cell r="X114" t="str">
            <v>Mayor a S/500,000.00</v>
          </cell>
          <cell r="Y114" t="str">
            <v xml:space="preserve">Desarrollar e implementar una plataforma digital que permita realizar el proceso de admisión de manera completamente online, integrando IA para mejorar la experiencia del prospecto y automatizar procesos operativos.
</v>
          </cell>
          <cell r="Z114" t="e">
            <v>#VALUE!</v>
          </cell>
          <cell r="AA114">
            <v>2.9</v>
          </cell>
        </row>
        <row r="115">
          <cell r="A115">
            <v>137</v>
          </cell>
          <cell r="B115">
            <v>46148.786018518498</v>
          </cell>
          <cell r="C115">
            <v>46148.8413657407</v>
          </cell>
          <cell r="D115" t="str">
            <v>jhoy.vargas@laureate.pe</v>
          </cell>
          <cell r="E115" t="str">
            <v>Jhoy Vargas Fatama</v>
          </cell>
          <cell r="F115" t="str">
            <v>Actualizacion de Árbol de tipificaciones CRM Cibertec</v>
          </cell>
          <cell r="G115" t="e">
            <v>#VALUE!</v>
          </cell>
          <cell r="H115" t="str">
            <v>CIB</v>
          </cell>
          <cell r="I115" t="str">
            <v>Álvaro Valdez - VP Operaciones</v>
          </cell>
          <cell r="J115" t="str">
            <v xml:space="preserve">Jhoy Vargas </v>
          </cell>
          <cell r="K115" t="e">
            <v>#VALUE!</v>
          </cell>
          <cell r="L115" t="str">
            <v>Gerson Vereau</v>
          </cell>
          <cell r="M115">
            <v>46174</v>
          </cell>
          <cell r="N115" t="str">
            <v>No</v>
          </cell>
          <cell r="O115"/>
          <cell r="P115"/>
          <cell r="Q115" t="str">
            <v>Otro</v>
          </cell>
          <cell r="R115" t="e">
            <v>#VALUE!</v>
          </cell>
          <cell r="S115"/>
          <cell r="T115" t="str">
            <v xml:space="preserve">Gestión de seguimiento Intracycle, tipificación y registro de interacciones con estudiantes, control de calidad de datos, campañas de matrícula y recaudación, atención y soporte estudiantil.
</v>
          </cell>
          <cell r="U115" t="str">
            <v>Administrativos</v>
          </cell>
          <cell r="V115" t="str">
            <v>Excelencia operativa</v>
          </cell>
          <cell r="W115" t="str">
            <v>No</v>
          </cell>
          <cell r="X115" t="str">
            <v>No cuantificado o S/0</v>
          </cell>
          <cell r="Y115" t="str">
            <v xml:space="preserve">Impacta en los controles de cumplimiento normativo (protección de datos personales), control de calidad de datos, control de acceso y seguridad de la información, y control operativo de campañas de seguimiento Intracycle.
</v>
          </cell>
          <cell r="Z115" t="e">
            <v>#VALUE!</v>
          </cell>
          <cell r="AA115">
            <v>0.45000000000000007</v>
          </cell>
        </row>
        <row r="116">
          <cell r="A116">
            <v>138</v>
          </cell>
          <cell r="B116">
            <v>46149.350358796299</v>
          </cell>
          <cell r="C116">
            <v>46149.484409722201</v>
          </cell>
          <cell r="D116" t="str">
            <v>javier.santiago@laureate.pe</v>
          </cell>
          <cell r="E116" t="str">
            <v>Javier Santiago Modesto</v>
          </cell>
          <cell r="F116" t="str">
            <v>Implementación de nueva API Banner de validación de solicitud de Constancia de Matricula simple y con cursos incluidos</v>
          </cell>
          <cell r="G116" t="str">
            <v>Necesitamos validar el proceso de solicitud de constancia de matricula, para garantizar la integridad de la información de los estudiantes solicitantes, logrando que el 100% de solicitudes se apliquen correctamente.</v>
          </cell>
          <cell r="H116" t="str">
            <v>UPC</v>
          </cell>
          <cell r="I116" t="str">
            <v>Mónica García - VP Operaciones Digitales y Online</v>
          </cell>
          <cell r="J116" t="str">
            <v xml:space="preserve">Janny Nicasio </v>
          </cell>
          <cell r="K116" t="str">
            <v>https://educorpperu-my.sharepoint.com/personal/diana_zapata_laureate_pe1/_layouts/15/Doc.aspx?sourcedoc=%7B291EB381-3170-4446-8D73-91136D380F38%7D&amp;file=Aprobacion-VP-11-05-2026_Javier%20Santiago%20Mode.docx&amp;action=default&amp;mobileredirect=true</v>
          </cell>
          <cell r="L116" t="str">
            <v>Ninguno</v>
          </cell>
          <cell r="M116">
            <v>46172</v>
          </cell>
          <cell r="N116" t="str">
            <v>No</v>
          </cell>
          <cell r="O116"/>
          <cell r="P116"/>
          <cell r="Q116" t="str">
            <v>Otro</v>
          </cell>
          <cell r="R116" t="str">
            <v>El proceso de solicitud de constancia de matricula se consultan cuatro distintas APIs para validar la información del estudiante solicitante, afectando la performance de la respuesta y generando errores de consistencia de datos.</v>
          </cell>
          <cell r="S116" t="str">
            <v>Tener una unica API que valide la elegibilidad de constancia de matrícula.</v>
          </cell>
          <cell r="T116" t="str">
            <v>Proceso de solicitud de constancia de matricula simple y con cursos incluidos</v>
          </cell>
          <cell r="U116" t="str">
            <v>Alumnos</v>
          </cell>
          <cell r="V116" t="str">
            <v>Experiencia</v>
          </cell>
          <cell r="W116" t="str">
            <v>No</v>
          </cell>
          <cell r="X116" t="str">
            <v>No cuantificado o S/0</v>
          </cell>
          <cell r="Y116" t="str">
            <v>Mejora la experiencia del estudiante en la solicitud de la constancia de matricula.</v>
          </cell>
          <cell r="Z116" t="e">
            <v>#VALUE!</v>
          </cell>
          <cell r="AA116">
            <v>1.3</v>
          </cell>
        </row>
        <row r="117">
          <cell r="A117">
            <v>139</v>
          </cell>
          <cell r="B117">
            <v>46149.750567129602</v>
          </cell>
          <cell r="C117">
            <v>46149.757731481499</v>
          </cell>
          <cell r="D117" t="str">
            <v>johnny.rodriguez@laureate.pe</v>
          </cell>
          <cell r="E117" t="str">
            <v>Johnny Rodríguez Godos</v>
          </cell>
          <cell r="F117" t="str">
            <v>Estimación de cambios para liberación de Backfill - Área de Experiencia</v>
          </cell>
          <cell r="G117"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7" t="str">
            <v>UPC</v>
          </cell>
          <cell r="I117" t="str">
            <v>Mónica García - VP Operaciones Digitales y Online</v>
          </cell>
          <cell r="J117" t="str">
            <v>Luis Roncal</v>
          </cell>
          <cell r="K117" t="e">
            <v>#VALUE!</v>
          </cell>
          <cell r="L117" t="str">
            <v>Carla Arias-Schreiber</v>
          </cell>
          <cell r="M117">
            <v>46265</v>
          </cell>
          <cell r="N117" t="str">
            <v>No</v>
          </cell>
          <cell r="O117"/>
          <cell r="P117"/>
          <cell r="Q117" t="str">
            <v>Otro</v>
          </cell>
          <cell r="R117" t="str">
            <v>Estimación para liberar backfills</v>
          </cell>
          <cell r="S117"/>
          <cell r="T117" t="str">
            <v>Trámites, Balckboard, MiUPC</v>
          </cell>
          <cell r="U117" t="str">
            <v>Ninguno</v>
          </cell>
          <cell r="V117" t="str">
            <v>Excelencia operativa</v>
          </cell>
          <cell r="W117" t="str">
            <v>No</v>
          </cell>
          <cell r="X117" t="str">
            <v>Mayor a S/500,000.00</v>
          </cell>
          <cell r="Y117" t="str">
            <v>Mejor servicio a los alumnos</v>
          </cell>
          <cell r="Z117" t="e">
            <v>#VALUE!</v>
          </cell>
          <cell r="AA117">
            <v>1.05</v>
          </cell>
        </row>
        <row r="118">
          <cell r="A118">
            <v>140</v>
          </cell>
          <cell r="B118">
            <v>46150.379953703698</v>
          </cell>
          <cell r="C118">
            <v>46150.452800925901</v>
          </cell>
          <cell r="D118" t="str">
            <v>franco.vera@laureate.pe</v>
          </cell>
          <cell r="E118" t="str">
            <v>Franco Manuel Vera Sanchez</v>
          </cell>
          <cell r="F118" t="str">
            <v>Requerimiento reporte CB008 en BI - Compra de carpetas de becas socioeconómicas</v>
          </cell>
          <cell r="G118" t="str">
            <v>Este se requiere para identificar a estudiantes que han adquirido su carpeta para postular a esta beca e iniciar su postulación para el 2026-2.</v>
          </cell>
          <cell r="H118" t="str">
            <v>UPN</v>
          </cell>
          <cell r="I118" t="str">
            <v>Alex Pendavis - VP Finanzas</v>
          </cell>
          <cell r="J118" t="str">
            <v>Loussiana Pacheco</v>
          </cell>
          <cell r="K118" t="e">
            <v>#VALUE!</v>
          </cell>
          <cell r="L118" t="str">
            <v>Franco Vera</v>
          </cell>
          <cell r="M118">
            <v>46153</v>
          </cell>
          <cell r="N118" t="str">
            <v>No</v>
          </cell>
          <cell r="O118"/>
          <cell r="P118"/>
          <cell r="Q118" t="str">
            <v>Otro</v>
          </cell>
          <cell r="R118" t="str">
            <v xml:space="preserve">No se cuenta con un reporte de compra de becas socioeconómicas, lo cual genera un trabajo manual y por lo tanto, demora en las comunicaciones hacia el estudiante.
</v>
          </cell>
          <cell r="S118"/>
          <cell r="T118" t="str">
            <v>Compra de becas socioeconómicas.</v>
          </cell>
          <cell r="U118" t="str">
            <v>Administrativos</v>
          </cell>
          <cell r="V118" t="str">
            <v>Excelencia operativa</v>
          </cell>
          <cell r="W118" t="str">
            <v>No</v>
          </cell>
          <cell r="X118" t="str">
            <v>No cuantificado o S/0</v>
          </cell>
          <cell r="Y118" t="str">
            <v>Integración, automatización y mejora de la experiencia del estudiante.</v>
          </cell>
          <cell r="Z118" t="e">
            <v>#VALUE!</v>
          </cell>
          <cell r="AA118">
            <v>0.45000000000000007</v>
          </cell>
        </row>
        <row r="119">
          <cell r="A119">
            <v>141</v>
          </cell>
          <cell r="B119">
            <v>46153.3528703704</v>
          </cell>
          <cell r="C119">
            <v>46153.391863425903</v>
          </cell>
          <cell r="D119" t="str">
            <v>angela.lucano@laureate.pe</v>
          </cell>
          <cell r="E119" t="str">
            <v>Angela Lucano Carranza</v>
          </cell>
          <cell r="F119" t="str">
            <v>Implementación del Portal Web de Course Catalog UPC</v>
          </cell>
          <cell r="G119" t="e">
            <v>#VALUE!</v>
          </cell>
          <cell r="H119" t="str">
            <v>UPC</v>
          </cell>
          <cell r="I119" t="str">
            <v>Milagros Morgan - Rectorado UPC</v>
          </cell>
          <cell r="J119" t="str">
            <v xml:space="preserve">Daniel Ticona </v>
          </cell>
          <cell r="K119" t="e">
            <v>#VALUE!</v>
          </cell>
          <cell r="L119" t="str">
            <v>Gerson Vereau</v>
          </cell>
          <cell r="M119">
            <v>46234</v>
          </cell>
          <cell r="N119" t="str">
            <v>No</v>
          </cell>
          <cell r="O119"/>
          <cell r="P119"/>
          <cell r="Q119" t="str">
            <v>Otro</v>
          </cell>
          <cell r="R119" t="e">
            <v>#VALUE!</v>
          </cell>
          <cell r="S119"/>
          <cell r="T119" t="str">
            <v>Atender las necesidades de información y consultas académicas, sobre la información de las asignaturas que se ofrecen en UPC, requeridas por estudiantes, docentes y staff.</v>
          </cell>
          <cell r="U119" t="str">
            <v>Ninguno</v>
          </cell>
          <cell r="V119" t="str">
            <v>Excelencia operativa</v>
          </cell>
          <cell r="W119" t="str">
            <v>No</v>
          </cell>
          <cell r="X119" t="str">
            <v>No cuantificado o S/0</v>
          </cell>
          <cell r="Y119" t="e">
            <v>#VALUE!</v>
          </cell>
          <cell r="Z119" t="e">
            <v>#VALUE!</v>
          </cell>
          <cell r="AA119">
            <v>0.30000000000000004</v>
          </cell>
        </row>
        <row r="120">
          <cell r="A120">
            <v>142</v>
          </cell>
          <cell r="B120">
            <v>46153.365740740701</v>
          </cell>
          <cell r="C120">
            <v>46153.404918981498</v>
          </cell>
          <cell r="D120" t="str">
            <v>angela.lucano@laureate.pe</v>
          </cell>
          <cell r="E120" t="str">
            <v>Angela Lucano Carranza</v>
          </cell>
          <cell r="F120" t="str">
            <v>Implementación de WEB SICA 2.0: Plataforma Centralizada de Gestión y Consulta de Documentación Oficial UPC</v>
          </cell>
          <cell r="G120" t="e">
            <v>#VALUE!</v>
          </cell>
          <cell r="H120" t="str">
            <v>UPC</v>
          </cell>
          <cell r="I120" t="str">
            <v>Milagros Morgan - Rectorado UPC</v>
          </cell>
          <cell r="J120" t="str">
            <v xml:space="preserve">Daniel Ticona </v>
          </cell>
          <cell r="K120" t="e">
            <v>#VALUE!</v>
          </cell>
          <cell r="L120" t="str">
            <v>Gerson Vereau</v>
          </cell>
          <cell r="M120">
            <v>46249</v>
          </cell>
          <cell r="N120" t="str">
            <v>No</v>
          </cell>
          <cell r="O120"/>
          <cell r="P120"/>
          <cell r="Q120" t="str">
            <v>Otro</v>
          </cell>
          <cell r="R120" t="e">
            <v>#VALUE!</v>
          </cell>
          <cell r="S120"/>
          <cell r="T120" t="str">
            <v>Mapa de procesos de la UPC (SICA)</v>
          </cell>
          <cell r="U120" t="str">
            <v>Administrativos</v>
          </cell>
          <cell r="V120" t="str">
            <v>Excelencia operativa</v>
          </cell>
          <cell r="W120" t="str">
            <v>No</v>
          </cell>
          <cell r="X120" t="str">
            <v>No cuantificado o S/0</v>
          </cell>
          <cell r="Y120" t="e">
            <v>#VALUE!</v>
          </cell>
          <cell r="Z120" t="e">
            <v>#VALUE!</v>
          </cell>
          <cell r="AA120">
            <v>0.45000000000000007</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CIBERTEC</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LAUREATE</v>
          </cell>
          <cell r="I124"/>
          <cell r="J124" t="str">
            <v>.</v>
          </cell>
          <cell r="K124"/>
          <cell r="L124" t="str">
            <v>Bruno Chiappe </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CIBERTEC</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LAUREATE</v>
          </cell>
          <cell r="I127"/>
          <cell r="J127" t="str">
            <v>.</v>
          </cell>
          <cell r="K127"/>
          <cell r="L127" t="str">
            <v>Bruno Chiappe </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Carla Arias-Schreiber</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 </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 </v>
          </cell>
          <cell r="M137">
            <v>46173</v>
          </cell>
          <cell r="N137" t="str">
            <v>No</v>
          </cell>
          <cell r="O137"/>
          <cell r="P137"/>
          <cell r="Q137" t="str">
            <v>Otro</v>
          </cell>
          <cell r="R137" t="e">
            <v>#VALUE!</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 </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LAUREATE</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 </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 </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Ivan Olivares - VP Marketing y Comercial</v>
          </cell>
          <cell r="J143" t="str">
            <v>Roberto Yepez</v>
          </cell>
          <cell r="K143" t="e">
            <v>#VALUE!</v>
          </cell>
          <cell r="L143" t="str">
            <v>Carla Arias-Schreiber</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Marota - Tecnologías y transformación digital</v>
          </cell>
          <cell r="J144" t="str">
            <v>Iván Rengifo</v>
          </cell>
          <cell r="K144" t="e">
            <v>#VALUE!</v>
          </cell>
          <cell r="L144" t="str">
            <v>Franco Vera</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Activación Copilot en CRM</v>
          </cell>
          <cell r="G145" t="e">
            <v>#VALUE!</v>
          </cell>
          <cell r="H145" t="str">
            <v>LAUREATE</v>
          </cell>
          <cell r="I145" t="str">
            <v>Mónica García - VP Operaciones Digitales y Online</v>
          </cell>
          <cell r="J145" t="str">
            <v>Lizbeth Bautista</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Integración de Microsoft Teams con el CRM Institucional</v>
          </cell>
          <cell r="G146" t="e">
            <v>#VALUE!</v>
          </cell>
          <cell r="H146" t="str">
            <v>CORPORATIVO</v>
          </cell>
          <cell r="I146" t="str">
            <v>Mónica García - VP Operaciones Digitales y Online</v>
          </cell>
          <cell r="J146" t="str">
            <v>Lizbeth Bautista</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v>
          </cell>
          <cell r="K147" t="e">
            <v>#VALUE!</v>
          </cell>
          <cell r="L147" t="str">
            <v>Ángela Lucano</v>
          </cell>
          <cell r="M147">
            <v>46188</v>
          </cell>
          <cell r="N147" t="str">
            <v>No</v>
          </cell>
          <cell r="O147"/>
          <cell r="P147"/>
          <cell r="Q147" t="str">
            <v>Otro</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1.3</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v>
          </cell>
          <cell r="K149" t="e">
            <v>#VALUE!</v>
          </cell>
          <cell r="L149" t="str">
            <v>Ángela Lucano</v>
          </cell>
          <cell r="M149">
            <v>46178</v>
          </cell>
          <cell r="N149" t="str">
            <v>No</v>
          </cell>
          <cell r="O149"/>
          <cell r="P149"/>
          <cell r="Q149" t="str">
            <v>Normativa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Optimización del proceso del relevamiento de la necesidad del cliente interno con protocolos de comunicación; y Producción y difusión de piezas de contenido para comunicación </v>
          </cell>
          <cell r="G150" t="e">
            <v>#VALUE!</v>
          </cell>
          <cell r="H150" t="str">
            <v>LAUREATE</v>
          </cell>
          <cell r="I150" t="str">
            <v>Tairi Ruillier- VP Personas y Cultura</v>
          </cell>
          <cell r="J150" t="str">
            <v>Alfredo Ávalos</v>
          </cell>
          <cell r="K150" t="e">
            <v>#VALUE!</v>
          </cell>
          <cell r="L150" t="str">
            <v>Carla Arias-Schreiber</v>
          </cell>
          <cell r="M150">
            <v>46387</v>
          </cell>
          <cell r="N150" t="str">
            <v>Si</v>
          </cell>
          <cell r="O150" t="str">
            <v>G&amp;A</v>
          </cell>
          <cell r="P150" t="str">
            <v>77432</v>
          </cell>
          <cell r="Q150" t="str">
            <v>Otro</v>
          </cell>
          <cell r="R150" t="e">
            <v>#VALUE!</v>
          </cell>
          <cell r="S150" t="e">
            <v>#VALUE!</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LAUREATE</v>
          </cell>
          <cell r="I151" t="str">
            <v>Tairi Ruillier- VP Personas y Cultura</v>
          </cell>
          <cell r="J151" t="str">
            <v>Alfredo Ávalos</v>
          </cell>
          <cell r="K151" t="e">
            <v>#VALUE!</v>
          </cell>
          <cell r="L151" t="str">
            <v>Carla Arias-Schreiber</v>
          </cell>
          <cell r="M151">
            <v>46387</v>
          </cell>
          <cell r="N151" t="str">
            <v>Si</v>
          </cell>
          <cell r="O151" t="str">
            <v>G&amp;A</v>
          </cell>
          <cell r="P151" t="str">
            <v>77432</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Miller</v>
          </cell>
          <cell r="K152" t="e">
            <v>#VALUE!</v>
          </cell>
          <cell r="L152" t="str">
            <v>Ángela Lucano</v>
          </cell>
          <cell r="M152">
            <v>46387</v>
          </cell>
          <cell r="N152" t="str">
            <v>Si</v>
          </cell>
          <cell r="O152" t="str">
            <v>G&amp;A</v>
          </cell>
          <cell r="P152" t="str">
            <v>77544</v>
          </cell>
          <cell r="Q152" t="str">
            <v>Otro</v>
          </cell>
          <cell r="R152" t="e">
            <v>#VALUE!</v>
          </cell>
          <cell r="S152" t="e">
            <v>#VALUE!</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Miller</v>
          </cell>
          <cell r="K153" t="e">
            <v>#VALUE!</v>
          </cell>
          <cell r="L153" t="str">
            <v>Ángela Lucano</v>
          </cell>
          <cell r="M153">
            <v>46387</v>
          </cell>
          <cell r="N153" t="str">
            <v>Si</v>
          </cell>
          <cell r="O153" t="str">
            <v>G&amp;A</v>
          </cell>
          <cell r="P153" t="str">
            <v>77545</v>
          </cell>
          <cell r="Q153" t="str">
            <v>Otro</v>
          </cell>
          <cell r="R153" t="e">
            <v>#VALUE!</v>
          </cell>
          <cell r="S153" t="e">
            <v>#VALUE!</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Miller</v>
          </cell>
          <cell r="K154" t="e">
            <v>#VALUE!</v>
          </cell>
          <cell r="L154" t="str">
            <v>Ángela Lucano</v>
          </cell>
          <cell r="M154">
            <v>46387</v>
          </cell>
          <cell r="N154" t="str">
            <v>Si</v>
          </cell>
          <cell r="O154" t="str">
            <v>G&amp;A</v>
          </cell>
          <cell r="P154" t="str">
            <v>77546</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CORPORATIVO</v>
          </cell>
          <cell r="I155" t="str">
            <v>Martin Fienkeng - CISO/CIO Corp</v>
          </cell>
          <cell r="J155" t="str">
            <v>Carlos Sánchez</v>
          </cell>
          <cell r="K155" t="e">
            <v>#VALUE!</v>
          </cell>
          <cell r="L155" t="str">
            <v>Ninguno</v>
          </cell>
          <cell r="M155">
            <v>46356</v>
          </cell>
          <cell r="N155" t="str">
            <v>No</v>
          </cell>
          <cell r="O155"/>
          <cell r="P155"/>
          <cell r="Q155" t="str">
            <v>Seguridad TI</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CORPORATIVO</v>
          </cell>
          <cell r="I156" t="str">
            <v>Martin Fienkeng - CISO/CIO Corp</v>
          </cell>
          <cell r="J156" t="str">
            <v>Carlos Sánchez</v>
          </cell>
          <cell r="K156" t="e">
            <v>#VALUE!</v>
          </cell>
          <cell r="L156" t="str">
            <v>Ninguno</v>
          </cell>
          <cell r="M156">
            <v>46356</v>
          </cell>
          <cell r="N156" t="str">
            <v>No</v>
          </cell>
          <cell r="O156"/>
          <cell r="P156"/>
          <cell r="Q156" t="str">
            <v>Seguridad TI</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CORPORATIVO</v>
          </cell>
          <cell r="I157" t="str">
            <v>Martin Fienkeng - CISO/CIO Corp</v>
          </cell>
          <cell r="J157" t="str">
            <v>Carlos Sánchez</v>
          </cell>
          <cell r="K157" t="e">
            <v>#VALUE!</v>
          </cell>
          <cell r="L157" t="str">
            <v>Ninguno</v>
          </cell>
          <cell r="M157">
            <v>46356</v>
          </cell>
          <cell r="N157" t="str">
            <v>No</v>
          </cell>
          <cell r="O157"/>
          <cell r="P157"/>
          <cell r="Q157" t="str">
            <v>Seguridad TI</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CORPORATIVO</v>
          </cell>
          <cell r="I158" t="str">
            <v>Martin Fienkeng - CISO/CIO Corp</v>
          </cell>
          <cell r="J158" t="str">
            <v>Carlos Sánchez</v>
          </cell>
          <cell r="K158" t="e">
            <v>#VALUE!</v>
          </cell>
          <cell r="L158" t="str">
            <v>Ninguno</v>
          </cell>
          <cell r="M158">
            <v>46356</v>
          </cell>
          <cell r="N158" t="str">
            <v>No</v>
          </cell>
          <cell r="O158"/>
          <cell r="P158"/>
          <cell r="Q158" t="str">
            <v>Seguridad TI</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CORPORATIVO</v>
          </cell>
          <cell r="I159" t="str">
            <v>Martin Fienkeng - CISO/CIO Corp</v>
          </cell>
          <cell r="J159" t="str">
            <v>Carlos Sánchez</v>
          </cell>
          <cell r="K159" t="e">
            <v>#VALUE!</v>
          </cell>
          <cell r="L159" t="str">
            <v>Ninguno</v>
          </cell>
          <cell r="M159">
            <v>46356</v>
          </cell>
          <cell r="N159" t="str">
            <v>No</v>
          </cell>
          <cell r="O159"/>
          <cell r="P159"/>
          <cell r="Q159" t="str">
            <v>Seguridad TI</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CORPORATIVO</v>
          </cell>
          <cell r="I160" t="str">
            <v>Martin Fienkeng - CISO/CIO Corp</v>
          </cell>
          <cell r="J160" t="str">
            <v>Carlos Sánchez</v>
          </cell>
          <cell r="K160" t="e">
            <v>#VALUE!</v>
          </cell>
          <cell r="L160" t="str">
            <v>Ninguno</v>
          </cell>
          <cell r="M160">
            <v>46356</v>
          </cell>
          <cell r="N160" t="str">
            <v>No</v>
          </cell>
          <cell r="O160"/>
          <cell r="P160"/>
          <cell r="Q160" t="str">
            <v>Seguridad TI</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Ninguno</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LAUREATE</v>
          </cell>
          <cell r="I162" t="str">
            <v>Rossina Caballero - VP Legal</v>
          </cell>
          <cell r="J162" t="str">
            <v>Pamela Espinoza Tavera</v>
          </cell>
          <cell r="K162" t="e">
            <v>#VALUE!</v>
          </cell>
          <cell r="L162" t="str">
            <v>Franco Vera</v>
          </cell>
          <cell r="M162">
            <v>46203</v>
          </cell>
          <cell r="N162" t="str">
            <v>No</v>
          </cell>
          <cell r="O162"/>
          <cell r="P162"/>
          <cell r="Q162" t="str">
            <v>Compliance</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2.0999999999999996</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 xml:space="preserve">Diego Vega </v>
          </cell>
          <cell r="K163" t="e">
            <v>#VALUE!</v>
          </cell>
          <cell r="L163" t="str">
            <v>Ninguno</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Ninguno</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Ninguno</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Ninguno</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Ninguno</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Ninguno</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Ninguno</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Cortéz</v>
          </cell>
          <cell r="K170" t="e">
            <v>#VALUE!</v>
          </cell>
          <cell r="L170" t="str">
            <v>Ninguno</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Ninguno</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Ninguno</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Ninguno</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1.2000000000000002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v>
          </cell>
          <cell r="K174" t="e">
            <v>#VALUE!</v>
          </cell>
          <cell r="L174" t="str">
            <v>Ninguno</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Ninguno</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Ninguno</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Ninguno</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Ninguno</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Ninguno</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Ninguno</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Ninguno</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 xml:space="preserve">Maria Cifuentes </v>
          </cell>
          <cell r="K182" t="e">
            <v>#VALUE!</v>
          </cell>
          <cell r="L182" t="str">
            <v>Ninguno</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Danilo Tauil - GM TecVoc</v>
          </cell>
          <cell r="J183" t="str">
            <v>Davi Paula Lima Goulart</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Danilo Tauil - GM TecVoc</v>
          </cell>
          <cell r="J184" t="str">
            <v>Davi Paula Lima Goulart</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Ninguno</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Ninguno</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Ninguno</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Ninguno</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Ninguno</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Ninguno</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Ninguno</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Ninguno</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Ninguno</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Ninguno</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Ninguno</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e">
            <v>#VALUE!</v>
          </cell>
          <cell r="H196" t="str">
            <v>UPC</v>
          </cell>
          <cell r="I196" t="str">
            <v>Milagros Morgan - Rectorado UPC</v>
          </cell>
          <cell r="J196" t="str">
            <v>Cecilia Justino</v>
          </cell>
          <cell r="K196" t="e">
            <v>#VALUE!</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e">
            <v>#VALUE!</v>
          </cell>
          <cell r="U196" t="str">
            <v>Todos</v>
          </cell>
          <cell r="V196" t="str">
            <v>Excelencia operativa</v>
          </cell>
          <cell r="W196" t="str">
            <v>No</v>
          </cell>
          <cell r="X196" t="str">
            <v>No cuantificado o S/0</v>
          </cell>
          <cell r="Y196" t="e">
            <v>#VALUE!</v>
          </cell>
          <cell r="Z196" t="e">
            <v>#VALUE!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e">
            <v>#VALUE!</v>
          </cell>
          <cell r="H197" t="str">
            <v>UPN</v>
          </cell>
          <cell r="I197" t="str">
            <v>Martín Santana - Rectorado UPN</v>
          </cell>
          <cell r="J197" t="str">
            <v>Adolfo Correa</v>
          </cell>
          <cell r="K197" t="e">
            <v>#VALUE!</v>
          </cell>
          <cell r="L197" t="str">
            <v>Carla Arias-Schreiber</v>
          </cell>
          <cell r="M197">
            <v>46185</v>
          </cell>
          <cell r="N197" t="str">
            <v>No</v>
          </cell>
          <cell r="O197"/>
          <cell r="P197"/>
          <cell r="Q197" t="str">
            <v>Otro</v>
          </cell>
          <cell r="R197" t="e">
            <v>#VALUE!</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e">
            <v>#VALUE!</v>
          </cell>
          <cell r="H198" t="str">
            <v>UPN</v>
          </cell>
          <cell r="I198" t="str">
            <v>Martín Santana - Rectorado UPN</v>
          </cell>
          <cell r="J198" t="str">
            <v>Luz Marina Flores</v>
          </cell>
          <cell r="K198" t="e">
            <v>#VALUE!</v>
          </cell>
          <cell r="L198" t="str">
            <v>Carla Arias-Schreiber</v>
          </cell>
          <cell r="M198">
            <v>46178</v>
          </cell>
          <cell r="N198" t="str">
            <v>No</v>
          </cell>
          <cell r="O198"/>
          <cell r="P198"/>
          <cell r="Q198" t="str">
            <v>Normativa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e">
            <v>#VALUE!</v>
          </cell>
          <cell r="AA198">
            <v>2.9</v>
          </cell>
        </row>
        <row r="199">
          <cell r="A199">
            <v>225</v>
          </cell>
          <cell r="B199">
            <v>46181.983622685198</v>
          </cell>
          <cell r="C199">
            <v>46181.992662037002</v>
          </cell>
          <cell r="D199" t="str">
            <v>nicolas.morales@laureate.pe</v>
          </cell>
          <cell r="E199" t="str">
            <v>Nicolas Morales Chumpitaz</v>
          </cell>
          <cell r="F199" t="str">
            <v>Mejora en el proceso de Matrícula WeTalk</v>
          </cell>
          <cell r="G199" t="str">
            <v>Necesitamos mejorar el proceso de Matrícula con reglas de negocio claras, a fin de tener agilidad del proceso mediante la simplificación y soporte de soluciones tecnológicas.</v>
          </cell>
          <cell r="H199" t="str">
            <v>UPC</v>
          </cell>
          <cell r="I199" t="str">
            <v>Milagros Morgan - Rectorado UPC</v>
          </cell>
          <cell r="J199" t="str">
            <v>Sara Miller</v>
          </cell>
          <cell r="K199" t="e">
            <v>#VALUE!</v>
          </cell>
          <cell r="L199" t="str">
            <v>Ninguno</v>
          </cell>
          <cell r="M199">
            <v>46387</v>
          </cell>
          <cell r="N199" t="str">
            <v>Si</v>
          </cell>
          <cell r="O199" t="str">
            <v>G&amp;A</v>
          </cell>
          <cell r="P199">
            <v>77544</v>
          </cell>
          <cell r="Q199" t="str">
            <v>Otro</v>
          </cell>
          <cell r="R199" t="e">
            <v>#VALUE!</v>
          </cell>
          <cell r="S199" t="e">
            <v>#VALUE!</v>
          </cell>
          <cell r="T199" t="str">
            <v>WeTalk UPC</v>
          </cell>
          <cell r="U199" t="str">
            <v>Alumnos</v>
          </cell>
          <cell r="V199" t="str">
            <v>Excelencia operativa</v>
          </cell>
          <cell r="W199" t="str">
            <v>No</v>
          </cell>
          <cell r="X199" t="str">
            <v>Menor a S/100,000.00</v>
          </cell>
          <cell r="Y199" t="str">
            <v>Mejora en la experiencia del colaborador
Reducción de un tiempo operativo por demoras en tiempo de respuesta</v>
          </cell>
          <cell r="Z199" t="str">
            <v>https://educorpperu-my.sharepoint.com/personal/diana_zapata_laureate_pe1/_layouts/15/Doc.aspx?sourcedoc=%7B8CDBE70E-7BB8-4804-AF04-26DEBBF272D7%7D&amp;file=LEAN%2BIA_Pitch%20TI_WeTALK%20(1)_Nicolas%20Morales%20Chum.pptx&amp;action=edit&amp;mobileredirect=true</v>
          </cell>
          <cell r="AA199">
            <v>2.85</v>
          </cell>
        </row>
        <row r="200">
          <cell r="A200">
            <v>226</v>
          </cell>
          <cell r="B200">
            <v>46182.696863425903</v>
          </cell>
          <cell r="C200">
            <v>46182.705856481502</v>
          </cell>
          <cell r="D200" t="str">
            <v>jose.herbozo@laureate.pe</v>
          </cell>
          <cell r="E200" t="str">
            <v>José Paredes Herbozo</v>
          </cell>
          <cell r="F200" t="str">
            <v>Actualización en tiempo real del campo "Monto a Pagar" del CRM</v>
          </cell>
          <cell r="G200" t="str">
            <v xml:space="preserve">Poder extraer este campo como parte de las vistas de "Matrícula" que se tiene desde CRM. </v>
          </cell>
          <cell r="H200" t="str">
            <v>UPN</v>
          </cell>
          <cell r="I200" t="str">
            <v>Alex Pendavis - VP Finanzas</v>
          </cell>
          <cell r="J200" t="str">
            <v>Álvaro Verástegui</v>
          </cell>
          <cell r="K200" t="str">
            <v>https://educorpperu-my.sharepoint.com/personal/diana_zapata_laureate_pe1/Documents/Aplicaciones/Microsoft%20Forms/REGISTRO%20DE%20INICIATIVAS%20-%20GESTI%C3%93N%20DE%20LA%20DEMANDA%20(2%201/Pregunta/olk_tSJiqCRjNS_Jos%C3%A9%20Paredes%20Herbozo.png</v>
          </cell>
          <cell r="L200" t="str">
            <v>Jose Paredes</v>
          </cell>
          <cell r="M200">
            <v>46198</v>
          </cell>
          <cell r="N200" t="str">
            <v>No</v>
          </cell>
          <cell r="O200"/>
          <cell r="P200"/>
          <cell r="Q200" t="str">
            <v>Otro</v>
          </cell>
          <cell r="R200" t="str">
            <v>El campo "Monto a Pagar" del CRM no se actualiza en tiempo real, a pesar de que sí tiene conceptos asociados y visibles (DA/DI, PM, CM).
Esta lógica viene así desde hace tiempo pero últimamente este campo demora más en actualizar, no se sabe el motivo.</v>
          </cell>
          <cell r="S200" t="str">
            <v>Que el campo "Monto a Pagar" se actualiza en tiempo real de acuerdo a los montos de los conceptos que vayan llegando al CRM (DA/DI, PM, CM)</v>
          </cell>
          <cell r="T200" t="str">
            <v>- Funnel Comercial
- Admisión
- Ratio de ventas</v>
          </cell>
          <cell r="U200" t="str">
            <v>Administrativos</v>
          </cell>
          <cell r="V200" t="str">
            <v>Crecimiento escalable</v>
          </cell>
          <cell r="W200" t="str">
            <v>No</v>
          </cell>
          <cell r="X200" t="str">
            <v>Entre S/100,000.00 y S/500,000.00</v>
          </cell>
          <cell r="Y200" t="str">
            <v>Tener la información a tiempo y poder tomar decisiones estratégicas desde el frente comercial.</v>
          </cell>
          <cell r="Z200" t="e">
            <v>#VALUE!</v>
          </cell>
          <cell r="AA200">
            <v>1.0999999999999999</v>
          </cell>
        </row>
        <row r="201">
          <cell r="A201">
            <v>227</v>
          </cell>
          <cell r="B201">
            <v>46183.502546296302</v>
          </cell>
          <cell r="C201">
            <v>46183.627280092602</v>
          </cell>
          <cell r="D201" t="str">
            <v>diana.zapata@laureate.pe</v>
          </cell>
          <cell r="E201" t="str">
            <v>Diana Zapata Del Mar</v>
          </cell>
          <cell r="F201" t="str">
            <v>Aplicación de la gestión de la demanda - Fase 1</v>
          </cell>
          <cell r="G201" t="e">
            <v>#VALUE!</v>
          </cell>
          <cell r="H201" t="str">
            <v>LAUREATE</v>
          </cell>
          <cell r="I201" t="str">
            <v>Humberto Marota - Tecnologías y transformación digital</v>
          </cell>
          <cell r="J201" t="str">
            <v>Omar Zuñiga</v>
          </cell>
          <cell r="K201" t="e">
            <v>#VALUE!</v>
          </cell>
          <cell r="L201" t="str">
            <v>Ninguno</v>
          </cell>
          <cell r="M201">
            <v>46263</v>
          </cell>
          <cell r="N201" t="str">
            <v>No</v>
          </cell>
          <cell r="O201"/>
          <cell r="P201"/>
          <cell r="Q201" t="str">
            <v>Otro</v>
          </cell>
          <cell r="R201" t="str">
            <v>Actualmente el proceso de la demanda se realiza con carios excel y todos los cambios de estado son manuales. Esto tiene un gran riesgo a nivel de data y por otro lado una gran limitación para el seguimiento</v>
          </cell>
          <cell r="S201" t="str">
            <v>Contar con una plataforma que soporte todo el proceso de la gestión de la demanda</v>
          </cell>
          <cell r="T201" t="str">
            <v>Cross a la TTD y negocio</v>
          </cell>
          <cell r="U201" t="str">
            <v>Administrativos</v>
          </cell>
          <cell r="V201" t="str">
            <v>Excelencia operativa</v>
          </cell>
          <cell r="W201" t="str">
            <v>No</v>
          </cell>
          <cell r="X201" t="str">
            <v>No cuantificado o S/0</v>
          </cell>
          <cell r="Y201" t="str">
            <v>Mejorar el proceso de la gestión de la demanda, permitiendo mayor rapidez en la signación de casos, mejor trazzabilidad y reduciendo el riesgo por cambios manuales.</v>
          </cell>
          <cell r="Z201" t="e">
            <v>#VALUE!</v>
          </cell>
          <cell r="AA201">
            <v>0.60000000000000009</v>
          </cell>
        </row>
        <row r="202">
          <cell r="A202">
            <v>228</v>
          </cell>
          <cell r="B202">
            <v>46183.504374999997</v>
          </cell>
          <cell r="C202">
            <v>46183.728298611102</v>
          </cell>
          <cell r="D202" t="str">
            <v>julio.avalos@upc.pe</v>
          </cell>
          <cell r="E202" t="str">
            <v>Jeremy Avalos Chumpitaz</v>
          </cell>
          <cell r="F202" t="str">
            <v>Uso de iProyection en ambientes academicos</v>
          </cell>
          <cell r="G202" t="e">
            <v>#VALUE!</v>
          </cell>
          <cell r="H202" t="str">
            <v>UPC</v>
          </cell>
          <cell r="I202" t="str">
            <v>Alex Pendavis - VP Finanzas</v>
          </cell>
          <cell r="J202" t="str">
            <v>Efferson Flores</v>
          </cell>
          <cell r="K202" t="e">
            <v>#VALUE!</v>
          </cell>
          <cell r="L202" t="str">
            <v>Franco Vera</v>
          </cell>
          <cell r="M202">
            <v>46183</v>
          </cell>
          <cell r="N202" t="str">
            <v>No</v>
          </cell>
          <cell r="O202"/>
          <cell r="P202"/>
          <cell r="Q202" t="str">
            <v>Otro</v>
          </cell>
          <cell r="R202" t="e">
            <v>#VALUE!</v>
          </cell>
          <cell r="S202" t="str">
            <v>Se espera aprovechar las capacidades nativas de los proyectores Epson para la proyección inalámbrica de contenido, eliminando la necesidad de dispositivos Apple TV, optimizando recursos tecnológicos y reduciendo costos de operación y mantenimiento.</v>
          </cell>
          <cell r="T202" t="str">
            <v xml:space="preserve">Proyección de contenido en sesiones académicas
Area Academica
</v>
          </cell>
          <cell r="U202" t="str">
            <v>Todos</v>
          </cell>
          <cell r="V202" t="str">
            <v>Excelencia operativa</v>
          </cell>
          <cell r="W202" t="str">
            <v>Si</v>
          </cell>
          <cell r="X202" t="str">
            <v>No cuantificado o S/0</v>
          </cell>
          <cell r="Y202" t="e">
            <v>#VALUE!</v>
          </cell>
          <cell r="Z202" t="str">
            <v>https://educorpperu-my.sharepoint.com/personal/diana_zapata_laureate_pe1/_layouts/15/Doc.aspx?sourcedoc=%7B78BF4257-5AC1-4164-89AA-8538FA4C3F76%7D&amp;file=Epson%20iProjection_Jeremy%20Avalos%20Chumpi.pptx&amp;action=edit&amp;mobileredirect=true</v>
          </cell>
          <cell r="AA202">
            <v>1.2000000000000002</v>
          </cell>
        </row>
        <row r="203">
          <cell r="A203">
            <v>229</v>
          </cell>
          <cell r="B203">
            <v>46183.674386574101</v>
          </cell>
          <cell r="C203">
            <v>46183.766238425902</v>
          </cell>
          <cell r="D203" t="str">
            <v>alejandro.tello@laureate.pe</v>
          </cell>
          <cell r="E203" t="str">
            <v>Alejandro Tello Llosa</v>
          </cell>
          <cell r="F203" t="str">
            <v>Plataforma de Convalidación Online (Parte del proyecto de Admisión Online)</v>
          </cell>
          <cell r="G203" t="e">
            <v>#VALUE!</v>
          </cell>
          <cell r="H203" t="str">
            <v>UPN</v>
          </cell>
          <cell r="I203" t="str">
            <v>Ivan Olivares - VP Marketing y Comercial</v>
          </cell>
          <cell r="J203" t="str">
            <v>Roberto Yepez</v>
          </cell>
          <cell r="K203" t="e">
            <v>#VALUE!</v>
          </cell>
          <cell r="L203" t="str">
            <v>Carla Arias-Schreiber</v>
          </cell>
          <cell r="M203">
            <v>46230</v>
          </cell>
          <cell r="N203" t="str">
            <v>Si</v>
          </cell>
          <cell r="O203" t="str">
            <v>Revenue Growth</v>
          </cell>
          <cell r="P203" t="str">
            <v>7541</v>
          </cell>
          <cell r="Q203" t="str">
            <v>Otro</v>
          </cell>
          <cell r="R203" t="e">
            <v>#VALUE!</v>
          </cell>
          <cell r="S203" t="str">
            <v>La solución permite cargar los documentos asociados a la convalidación (Recórd de notras u otro similar y el Resultado de Convalidación - RC)en GDO y consultar su estado de validación antes de realizar el registro correspondiente en Banner.</v>
          </cell>
          <cell r="T203" t="e">
            <v>#VALUE!</v>
          </cell>
          <cell r="U203" t="str">
            <v>Administrativos</v>
          </cell>
          <cell r="V203" t="str">
            <v>Crecimiento escalable</v>
          </cell>
          <cell r="W203" t="str">
            <v>No</v>
          </cell>
          <cell r="X203" t="str">
            <v>Mayor a S/500,000.00</v>
          </cell>
          <cell r="Y203" t="str">
            <v xml:space="preserve">-Cargar documentación de sustento (sílabos, certificados de estudios, constancias) en GDO de manera automatizada
-Evaluación automatizada de estados de validación de los documentos
</v>
          </cell>
          <cell r="Z203" t="e">
            <v>#VALUE!</v>
          </cell>
          <cell r="AA203">
            <v>2.9</v>
          </cell>
        </row>
        <row r="204">
          <cell r="A204">
            <v>230</v>
          </cell>
          <cell r="B204">
            <v>46184.483460648102</v>
          </cell>
          <cell r="C204">
            <v>46185.651273148098</v>
          </cell>
          <cell r="D204" t="str">
            <v>carla.arias@laureate.pe</v>
          </cell>
          <cell r="E204" t="str">
            <v>Carla Arias Schreiber Ulloa</v>
          </cell>
          <cell r="F204" t="str">
            <v>Inclusión del nuevo nivel "SE - Segunda Especialización" en integración Banner-Portal EPEC</v>
          </cell>
          <cell r="G204" t="e">
            <v>#VALUE!</v>
          </cell>
          <cell r="H204" t="str">
            <v>UPN</v>
          </cell>
          <cell r="I204" t="str">
            <v>Martín Santana - Rectorado UPN</v>
          </cell>
          <cell r="J204" t="str">
            <v>William Cruzado</v>
          </cell>
          <cell r="K204" t="e">
            <v>#VALUE!</v>
          </cell>
          <cell r="L204" t="str">
            <v>Carla Arias-Schreiber</v>
          </cell>
          <cell r="M204">
            <v>46190</v>
          </cell>
          <cell r="N204" t="str">
            <v>No</v>
          </cell>
          <cell r="O204"/>
          <cell r="P204"/>
          <cell r="Q204" t="str">
            <v>Normativa</v>
          </cell>
          <cell r="R204" t="e">
            <v>#VALUE!</v>
          </cell>
          <cell r="S204" t="str">
            <v>Que la integración Banner-Portal EPEC soporte la implementación de este nuevo producto, de manera bidireccional: Para que los estudiantes migran a Portal y las notas lleguen de retorno a Banner.</v>
          </cell>
          <cell r="T204" t="str">
            <v>Cierre de ciclo: registro de notas
Emisión de constancias académicas
Usuarios: Estudiantes y Academia EPEC</v>
          </cell>
          <cell r="U204" t="str">
            <v>Alumnos</v>
          </cell>
          <cell r="V204" t="str">
            <v>Experiencia</v>
          </cell>
          <cell r="W204" t="str">
            <v>No</v>
          </cell>
          <cell r="X204" t="str">
            <v>No cuantificado o S/0</v>
          </cell>
          <cell r="Y204" t="str">
            <v>Mitigar impacto actual a estudiantes.</v>
          </cell>
          <cell r="Z204" t="e">
            <v>#VALUE!</v>
          </cell>
          <cell r="AA204">
            <v>2.8</v>
          </cell>
        </row>
        <row r="205">
          <cell r="A205">
            <v>231</v>
          </cell>
          <cell r="B205">
            <v>46188.750972222202</v>
          </cell>
          <cell r="C205">
            <v>46189.521018518499</v>
          </cell>
          <cell r="D205" t="str">
            <v>nicolas.morales@laureate.pe</v>
          </cell>
          <cell r="E205" t="str">
            <v>Nicolas Morales Chumpitaz</v>
          </cell>
          <cell r="F205" t="e">
            <v>#VALUE!</v>
          </cell>
          <cell r="G205" t="str">
            <v>Obtener su egreso y posteriormente su bachiller de manera simple, digital y sin fricciones, con visibilidad clara del estado de su trámite, sin reprocesos ni seguimiento manual, y con su diploma disponible oportunamente cuando cumple los requisitos</v>
          </cell>
          <cell r="H205" t="str">
            <v>UPC</v>
          </cell>
          <cell r="I205" t="str">
            <v>Sebastian Lindley - VP Transformación</v>
          </cell>
          <cell r="J205" t="str">
            <v>José Horna</v>
          </cell>
          <cell r="K205" t="str">
            <v>https://educorpperu-my.sharepoint.com/personal/diana_zapata_laureate_pe1/Documents/Aplicaciones/Microsoft%20Forms/REGISTRO%20DE%20INICIATIVAS%20-%20GESTI%C3%93N%20DE%20LA%20DEMANDA%20(2%201/Pregunta/G%26T%20UPC%20-%20UPN_Nicolas%20Morales%20Chum.png</v>
          </cell>
          <cell r="L205" t="str">
            <v>Ninguno</v>
          </cell>
          <cell r="M205">
            <v>46387</v>
          </cell>
          <cell r="N205" t="str">
            <v>Si</v>
          </cell>
          <cell r="O205" t="str">
            <v>G&amp;A</v>
          </cell>
          <cell r="P205" t="str">
            <v>76557</v>
          </cell>
          <cell r="Q205" t="str">
            <v>Otro</v>
          </cell>
          <cell r="R205" t="e">
            <v>#VALUE!</v>
          </cell>
          <cell r="S205" t="str">
            <v>asdada</v>
          </cell>
          <cell r="T205" t="e">
            <v>#VALUE!</v>
          </cell>
          <cell r="U205" t="str">
            <v>Alumnos</v>
          </cell>
          <cell r="V205" t="str">
            <v>Excelencia operativa</v>
          </cell>
          <cell r="W205" t="str">
            <v>No</v>
          </cell>
          <cell r="X205" t="str">
            <v>Mayor a S/500,000.00</v>
          </cell>
          <cell r="Y205" t="str">
            <v xml:space="preserve">Liberación de horas operativas
Incremento del NPS del estudiante
Reducción de SLA
</v>
          </cell>
          <cell r="Z205" t="e">
            <v>#VALUE!</v>
          </cell>
          <cell r="AA205">
            <v>3.3</v>
          </cell>
        </row>
      </sheetData>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94" dataDxfId="93">
  <autoFilter ref="A1:AM62" xr:uid="{00000000-0009-0000-0100-000001000000}"/>
  <tableColumns count="39">
    <tableColumn id="1" xr3:uid="{4A683C2A-AC54-420A-9DB3-F3F03BF5BBE4}" name="Id" dataDxfId="92"/>
    <tableColumn id="2" xr3:uid="{F0F768EC-80AA-4BA1-8B70-05645D19063E}" name="Hora de inicio" dataDxfId="91"/>
    <tableColumn id="3" xr3:uid="{EA28C657-795C-412F-971D-6B20CA01F44C}" name="Hora de finalización" dataDxfId="90"/>
    <tableColumn id="4" xr3:uid="{03B1A565-83D7-4086-9D58-734955641E05}" name="Correo electrónico" dataDxfId="89"/>
    <tableColumn id="5" xr3:uid="{399ECA28-258B-4A15-AB90-2D3B53778637}" name="Nombre" dataDxfId="88"/>
    <tableColumn id="6" xr3:uid="{BF75C2E9-BCAF-4A38-9C60-EE3D3E308FB8}" name="Título de la INICIATIVA" dataDxfId="87"/>
    <tableColumn id="7" xr3:uid="{9E0A594A-0158-4908-9738-F9F780754B3D}" name="Institución" dataDxfId="86"/>
    <tableColumn id="34" xr3:uid="{62942DD0-71AE-4388-B1E0-E21978870DF0}" name="VP del área solicitante" dataDxfId="85"/>
    <tableColumn id="35" xr3:uid="{E31E4D86-F382-49EA-8F4F-8712F808E807}" name="Usuario - Gerencia, Área solicitante" dataDxfId="84"/>
    <tableColumn id="8" xr3:uid="{199ADA45-AAA7-4CA1-920F-FD9DE0D49522}" name="Usuario - VP, Gerencia, Área solicitante  - NO UTILIZAR" dataDxfId="83"/>
    <tableColumn id="27" xr3:uid="{71E74F3C-7829-4FC0-9EB1-13B5123A0F01}" name="BRM   - NO UTILIZAR" dataDxfId="82"/>
    <tableColumn id="31" xr3:uid="{F83AC330-A3DA-4311-98E3-9AB03CFB9813}" name="BRM UPC" dataDxfId="81"/>
    <tableColumn id="33" xr3:uid="{76DDED6C-C9B7-4F81-8228-377441584411}" name="BRM CIB" dataDxfId="80"/>
    <tableColumn id="32" xr3:uid="{BE61020B-CA01-499E-A5AB-F4592239B434}" name="BRM UPN" dataDxfId="79"/>
    <tableColumn id="9" xr3:uid="{5CAA60E1-FBF4-4C50-A40C-9A3092FFF9BA}" name="Gerente de BRM" dataDxfId="78"/>
    <tableColumn id="10" xr3:uid="{C09AA396-0532-40DD-99BA-B1EAC6F73CB9}" name="Nro de ticket de service now (RIT) - NO UTILIZAR" dataDxfId="77"/>
    <tableColumn id="11" xr3:uid="{F79C4863-61D2-44CB-837C-F78C7244CD2B}" name="Cuando se necesita  - NO UTILIZAR" dataDxfId="76"/>
    <tableColumn id="36" xr3:uid="{FADA7662-5227-45E3-A8D8-AC0963C31495}" name="Proyecto SPO" dataDxfId="75"/>
    <tableColumn id="38" xr3:uid="{881C29A3-B0D8-4FAA-8C07-30D1434E2A8A}" name="Seleccionar el workstream del proyecto SPO" dataDxfId="74"/>
    <tableColumn id="39" xr3:uid="{DCFF65CF-77B7-4552-B8C1-2185A011F61D}" name="Iniciativa de seguridad de la información" dataDxfId="73"/>
    <tableColumn id="37" xr3:uid="{6CB31A4A-179C-409A-9EBD-77EF615D9AB0}" name="Indicar id del proyecto SPO - NO UTILIZAR" dataDxfId="72"/>
    <tableColumn id="28" xr3:uid="{A70B5D42-FB8C-4BF8-9280-F017D473DB72}" name="Para cuando se necesita?" dataDxfId="71"/>
    <tableColumn id="12" xr3:uid="{62F0451A-D198-42EF-8A9F-B7C3D2D11934}" name="Presupuesto " dataDxfId="70"/>
    <tableColumn id="13" xr3:uid="{35B2183E-0256-49B3-940C-56A589574ABA}" name="Proyecto SPO (Oficina Proyectos Estrategicos) - NO UTILIZAR" dataDxfId="69"/>
    <tableColumn id="14" xr3:uid="{641B86AE-97BC-48C5-A9B2-CBA336317344}" name="Descripción del problema o desafío" dataDxfId="68"/>
    <tableColumn id="15" xr3:uid="{08812FD5-895D-4CC1-934D-64437D13FF61}" name="Procesos impactados" dataDxfId="67"/>
    <tableColumn id="29" xr3:uid="{289E3FB4-593F-4206-BF5B-F966AA22AD45}" name="Situación deseada" dataDxfId="66"/>
    <tableColumn id="16" xr3:uid="{3957924E-3F85-4620-A067-BB449AD46736}" name="Situación actual " dataDxfId="65"/>
    <tableColumn id="17" xr3:uid="{0CCC7449-A3F0-42DD-9334-436B92CADA96}" name="Origen - Causa Raiz" dataDxfId="64"/>
    <tableColumn id="30" xr3:uid="{3B92662F-226F-474D-B210-C6DB7424FCD2}" name="Otros usuarios que deben ser considerados" dataDxfId="63"/>
    <tableColumn id="18" xr3:uid="{1A35CA55-D2CA-4D17-90EC-D2A3AE986F48}" name="Usuarios afectados" dataDxfId="62"/>
    <tableColumn id="19" xr3:uid="{60950DF5-931D-48E9-9592-A8E066D478A3}" name="Impacto en el negocio" dataDxfId="61"/>
    <tableColumn id="20" xr3:uid="{5F8CCD7D-A404-4351-83FF-1FB68757F275}" name="Objetivo" dataDxfId="60"/>
    <tableColumn id="21" xr3:uid="{D9AD8BC8-B7BF-4F73-BFA1-10DD4D56D291}" name="Pilar estratégico" dataDxfId="59"/>
    <tableColumn id="22" xr3:uid="{6097867D-78A7-4803-A799-F12AE152B955}" name="Forma parte de la estabilización de procesos  SIS" dataDxfId="58"/>
    <tableColumn id="23" xr3:uid="{85412C1A-8853-4727-8140-2458326990FF}" name="Impacto SOX" dataDxfId="57"/>
    <tableColumn id="24" xr3:uid="{3ED96E13-09EB-434A-BD0B-EC3907D12440}" name="Beneficio cuantitativo" dataDxfId="56"/>
    <tableColumn id="25" xr3:uid="{C6580178-8849-42F6-95C0-609316E4CFC7}" name="Beneficios cualitativos" dataDxfId="55"/>
    <tableColumn id="26" xr3:uid="{85E5E21A-3EC9-4208-9A2B-C240C2F2C4B2}" name="Adjuntar sustentos que ayuden al entendimiento de la necesidad ( Correos de aprobación VP, Lineamientos Corporativos, Nuevas regulaciones , Cartas de aplicación de multas, informes SOX, etc)" dataDxfId="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53" dataDxfId="52">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51"/>
    <tableColumn id="2" xr3:uid="{C8548EDF-A475-4D47-826C-8F637EACFC74}" name="Moneda" dataDxfId="50"/>
    <tableColumn id="3" xr3:uid="{9ADE5808-4A4A-46DE-BB03-B62DF03D589E}" name="Costo estimado" dataDxfId="49"/>
    <tableColumn id="4" xr3:uid="{4354C3C3-A87D-41D0-BF2B-85CA0C22F486}" name="Complejidad" dataDxfId="48"/>
    <tableColumn id="5" xr3:uid="{A1E42836-4A3C-453F-A595-C14A6858A715}" name="Asunciones" dataDxfId="47"/>
    <tableColumn id="6" xr3:uid="{7B15762D-7488-4D4E-9D59-7F4E369CE9C4}" name="Recursos internos o externos" dataDxfId="46"/>
    <tableColumn id="7" xr3:uid="{0B05F230-0D16-4565-A140-10AFD04D1B61}" name="Líder de Dominio" dataDxfId="45"/>
    <tableColumn id="8" xr3:uid="{9F3D0FB0-7EC8-493D-8E99-29F1E48A3273}" name="Estatus Estimación"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43" dataDxfId="42">
  <autoFilter ref="AV1:AX58" xr:uid="{9A5036D7-6020-4A8D-8204-D507FBD7A5FC}"/>
  <tableColumns count="3">
    <tableColumn id="1" xr3:uid="{9278904A-D846-4E7F-8963-B676B5DBDBAB}" name=" Acción (Atender, desestimar o backlog)" dataDxfId="41"/>
    <tableColumn id="2" xr3:uid="{92541C75-B2C6-4B82-BB06-D756CD1302F4}" name="Priorización de atención (A, B, C)" dataDxfId="40"/>
    <tableColumn id="3" xr3:uid="{EF2BBEBA-C812-4E12-81C2-B811C7D930B9}" name="Comentarios BRM" dataDxfId="39"/>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6C58F-6CD7-45E1-8951-94298CC0FB35}" name="OfficeForms.Table3" displayName="OfficeForms.Table3" ref="A1:AK6" totalsRowShown="0" headerRowDxfId="38" dataDxfId="37">
  <autoFilter ref="A1:AK6" xr:uid="{00000000-0009-0000-0100-000001000000}"/>
  <tableColumns count="37">
    <tableColumn id="1" xr3:uid="{89AD058B-81AE-4654-992C-501A1359D5B6}" name="Id" dataDxfId="36"/>
    <tableColumn id="2" xr3:uid="{6FBB7EF9-B3EF-4288-B25E-31D4BD1A9C4B}" name="Hora de inicio" dataDxfId="35"/>
    <tableColumn id="3" xr3:uid="{3C3BD559-14A0-4379-9CF2-90563F52A03D}" name="Hora de finalización" dataDxfId="34"/>
    <tableColumn id="4" xr3:uid="{F7ADC3EC-13F8-4A7E-8E88-F0DF5170B190}" name="Correo electrónico" dataDxfId="33"/>
    <tableColumn id="5" xr3:uid="{8DDBC418-6118-4404-A66C-17469259E489}" name="Nombre" dataDxfId="32"/>
    <tableColumn id="6" xr3:uid="{0A7EB3C7-21B1-4A38-993B-1FF4B8811D9C}" name="Título de la INICIATIVA" dataDxfId="31"/>
    <tableColumn id="7" xr3:uid="{FA8F6B92-281C-4549-B51F-658ED65232F3}" name="Institución" dataDxfId="30"/>
    <tableColumn id="34" xr3:uid="{FE60C90E-6204-4919-8C9C-C246A613F60B}" name="VP del área solicitante" dataDxfId="29"/>
    <tableColumn id="35" xr3:uid="{23DF0CFE-5156-49CB-AD03-BF0423C3ED61}" name="Usuario - Gerencia, Área solicitante" dataDxfId="28"/>
    <tableColumn id="8" xr3:uid="{818B26B4-6110-42A7-9F04-C6446500588F}" name="Usuario - VP, Gerencia, Área solicitante" dataDxfId="27"/>
    <tableColumn id="27" xr3:uid="{A87DA350-7C1D-4F27-B766-40F9DEBEABF6}" name="BRM " dataDxfId="26"/>
    <tableColumn id="31" xr3:uid="{96AAB0CC-8DA8-4006-91C8-946E3BFE504D}" name="BRM UPC" dataDxfId="25"/>
    <tableColumn id="33" xr3:uid="{DFC411C2-230E-4CD2-B2CE-D0E2E8C7B8F3}" name="BRM CIB" dataDxfId="24"/>
    <tableColumn id="32" xr3:uid="{C5C6682B-9C56-49FA-86D8-FD940CB46237}" name="BRM UPN" dataDxfId="23"/>
    <tableColumn id="9" xr3:uid="{316DE177-09A0-4D74-B94B-11F7490F2859}" name="Gerente de BRM" dataDxfId="22"/>
    <tableColumn id="10" xr3:uid="{B1B33E2A-EAEC-4C7E-8387-6F8BD18197F9}" name="Nro de ticket de service now (RIT)" dataDxfId="21"/>
    <tableColumn id="11" xr3:uid="{125A59CC-5B12-4116-95FA-1B48A04E3AFA}" name="Cuando se necesita " dataDxfId="20"/>
    <tableColumn id="36" xr3:uid="{9C5DA83A-7801-44F6-A8ED-5369F64A4AAD}" name="Proyecto SPO" dataDxfId="19"/>
    <tableColumn id="37" xr3:uid="{AF1701E8-2F4C-4B08-853E-9C606A32F1DD}" name="Indicar id del proyecto SPO" dataDxfId="18"/>
    <tableColumn id="28" xr3:uid="{C76B0C1F-1A65-40E1-851D-DF4B1D879B1A}" name="Para cuando se necesita?" dataDxfId="17"/>
    <tableColumn id="12" xr3:uid="{32913E45-28A8-4F31-BFA3-F69E5FA8BA2F}" name="Presupuesto " dataDxfId="16"/>
    <tableColumn id="13" xr3:uid="{8950FBCF-F16B-4700-A2E7-3FE55C3CD528}" name="Proyecto SPO (Oficina Proyectos Estrategicos)" dataDxfId="15"/>
    <tableColumn id="14" xr3:uid="{F46BDA5D-D77B-4E0A-94E6-F328EF40A3D5}" name="Descripción del problema o desafío" dataDxfId="14"/>
    <tableColumn id="15" xr3:uid="{074B2AA9-64EF-49CA-9BF7-89FC9540313A}" name="Procesos impactados" dataDxfId="13"/>
    <tableColumn id="29" xr3:uid="{2ED60112-F3FF-4DB8-8B1D-5FA0C79DC1C0}" name="Situación deseada" dataDxfId="12"/>
    <tableColumn id="16" xr3:uid="{6677B329-BF3F-4C88-8F81-5492DC197C49}" name="Situación actual " dataDxfId="11"/>
    <tableColumn id="17" xr3:uid="{BC620522-3FBE-4F3E-BAAB-758EFC4FEFEE}" name="Origen - Causa Raiz" dataDxfId="10"/>
    <tableColumn id="30" xr3:uid="{55BE6407-32C0-458E-826D-1B23BD2820CA}" name="Otros usuarios que deben ser considerados" dataDxfId="9"/>
    <tableColumn id="18" xr3:uid="{798C0273-A0F5-499C-A307-12BEB1AE8954}" name="Usuarios afectados" dataDxfId="8"/>
    <tableColumn id="19" xr3:uid="{3B0087CA-77DA-4CD2-B033-033DA8883051}" name="Impacto en el negocio" dataDxfId="7"/>
    <tableColumn id="20" xr3:uid="{1D33AA4F-C512-4490-860D-E33A7FBD509C}" name="Objetivo" dataDxfId="6"/>
    <tableColumn id="21" xr3:uid="{8481CC59-BCD0-48F4-9577-278F2BB13436}" name="Pilar estratégico" dataDxfId="5"/>
    <tableColumn id="22" xr3:uid="{A4ED4265-71E4-478C-B140-7EB48BC9E06F}" name="Forma parte de la estabilización de procesos  SIS" dataDxfId="4"/>
    <tableColumn id="23" xr3:uid="{614CA6E5-4248-42DD-B825-CCC387E5E390}" name="Impacto SOX" dataDxfId="3"/>
    <tableColumn id="24" xr3:uid="{F8494C97-B03B-46BD-AE9E-03CD2647C298}" name="Beneficio cuantitativo" dataDxfId="2"/>
    <tableColumn id="25" xr3:uid="{3859FA7D-A1E0-40C7-8C1F-5B3DBAADB313}" name="Beneficios cualitativos" dataDxfId="1"/>
    <tableColumn id="26" xr3:uid="{A9F082BE-2BBC-46D0-880B-9065FC93708A}" name="Adjuntar sustentos que ayuden al entendimiento de la necesidad ( Correos de aprobación VP, Lineamientos Corporativos, Nuevas regulaciones , Cartas de aplicación de multas, informes SOX, e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educorpperu-my.sharepoint.com/personal/diana_zapata_laureate_pe1/_layouts/15/Doc.aspx?sourcedoc=%7BA0EE780B-D66F-42EC-83A6-4E699CDA9EE9%7D&amp;file=Solicitud%20de%20requerimientos%20Idea%20nueva%20y%20mejo_Angela%20Lucano%20Carran%203.pptx&amp;action=edit&amp;mobileredirect=true" TargetMode="External"/><Relationship Id="rId7"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2" Type="http://schemas.openxmlformats.org/officeDocument/2006/relationships/hyperlink" Target="https://educorpperu-my.sharepoint.com/personal/diana_zapata_laureate_pe1/_layouts/15/Doc.aspx?sourcedoc=%7BB39AC545-1870-4154-8454-CF4F59F2FC26%7D&amp;file=Resultados%20de%20la%20prefactibilidad_Angela%20Lucano%20Carran.pptx&amp;action=edit&amp;mobileredirect=true;%20https://educorpperu-my.sharepoint.com/personal/diana_zapata_laureate_pe1/_layouts/15/Doc.aspx?sourcedoc=%7BF57DEFCE-DDA7-445C-AFEB-EADF4F637CAB%7D&amp;file=Presentaci%C3%B3n%20de%20Business%20Case%20V02_Angela%20Lucano%20Carran.pptx&amp;action=edit&amp;mobileredirect=true" TargetMode="External"/><Relationship Id="rId1" Type="http://schemas.openxmlformats.org/officeDocument/2006/relationships/hyperlink" Target="https://educorpperu-my.sharepoint.com/personal/diana_zapata_laureate_pe1/_layouts/15/Doc.aspx?sourcedoc=%7B624F527C-33C1-4CED-9E49-04BF8077595A%7D&amp;file=Goldenbelt_presentaci%C3%B3n_Jorge%20Santa%20Cruz%20Esp.pptx&amp;action=edit&amp;mobileredirect=true" TargetMode="External"/><Relationship Id="rId6"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5" Type="http://schemas.openxmlformats.org/officeDocument/2006/relationships/hyperlink" Target="https://educorpperu-my.sharepoint.com/personal/diana_zapata_laureate_pe1/Documents/Aplicaciones/Microsoft%20Forms/REGISTRO%20DE%20INICIATIVAS%20-%20GESTI%C3%93N%20DE%20LA%20DEMANDA%20(2%201/Pregunta/RE_%20Requerimiento%20-%20Soporte%20para%20despliegue%20d_Angela%20Lucano%20Carran.pdf" TargetMode="External"/><Relationship Id="rId4"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ducorpperu-my.sharepoint.com/personal/diana_zapata_laureate_pe1/_layouts/15/Doc.aspx?sourcedoc=%7B7C53894D-03AA-42F5-A4BD-49E3C8456DE1%7D&amp;file=Formato%20Solicitud%20de%20Requerimientos%201_Eduardo%20Paul%20Aguilar.pptx&amp;action=edit&amp;mobileredirect=true" TargetMode="External"/><Relationship Id="rId7" Type="http://schemas.openxmlformats.org/officeDocument/2006/relationships/comments" Target="../comments1.xml"/><Relationship Id="rId2" Type="http://schemas.openxmlformats.org/officeDocument/2006/relationships/hyperlink" Target="https://educorpperu-my.sharepoint.com/personal/diana_zapata_laureate_pe1/_layouts/15/Doc.aspx?sourcedoc=%7B7C571A66-11AC-480F-B19C-571BDF070428%7D&amp;file=Implementaci%C3%B3n%20de%20informacion%20en%20CRM_Variable_Jose%20Paredes%20Herbozo.pptx&amp;action=edit&amp;mobileredirect=true" TargetMode="External"/><Relationship Id="rId1" Type="http://schemas.openxmlformats.org/officeDocument/2006/relationships/hyperlink" Target="mailto:daniel.cino@upc.pe" TargetMode="External"/><Relationship Id="rId6" Type="http://schemas.openxmlformats.org/officeDocument/2006/relationships/vmlDrawing" Target="../drawings/vmlDrawing1.vml"/><Relationship Id="rId5" Type="http://schemas.openxmlformats.org/officeDocument/2006/relationships/hyperlink" Target="https://educorpperu-my.sharepoint.com/personal/diana_zapata_laureate_pe1/_layouts/15/Doc.aspx?sourcedoc=%7BDFC21620-6800-4A8A-BA6E-F348AECF7EBE%7D&amp;file=Solicitud%20de%20requerimientos_Mejora%20para%20la%20Pl_Giancarlo%20Villacorta.pptx&amp;action=edit&amp;mobileredirect=true" TargetMode="External"/><Relationship Id="rId4"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2.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1.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2.vml"/><Relationship Id="rId5" Type="http://schemas.openxmlformats.org/officeDocument/2006/relationships/hyperlink" Target="javascript:void(0)" TargetMode="External"/><Relationship Id="rId15" Type="http://schemas.openxmlformats.org/officeDocument/2006/relationships/comments" Target="../comments2.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_layouts/15/Doc.aspx?sourcedoc=%7B1182D8E1-CAEE-4FFB-A8A2-B813699EFD86%7D&amp;file=DP-02-Formato_Petici%C3%B3n_de_cambio_Tr%C3%A1mite%20Tras_Angela%20Lucano%20Carran.docx&amp;action=default&amp;mobileredirect=true"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FCF2BAF2-A2BE-40AB-B859-1D5B92387773%7D&amp;file=Solicitud%20de%20query%20retiros%20formales%20-%20ACT_Luis%20Alberto%20Almeyda.pptx&amp;action=edit&amp;mobileredirect=true"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2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28"/>
  <sheetViews>
    <sheetView zoomScale="54" zoomScaleNormal="54" workbookViewId="0">
      <pane xSplit="6" ySplit="1" topLeftCell="J202" activePane="bottomRight" state="frozen"/>
      <selection pane="bottomRight" activeCell="B204" sqref="B204"/>
      <selection pane="bottomLeft" activeCell="A2" sqref="A2"/>
      <selection pane="topRight" activeCell="F1" sqref="F1"/>
    </sheetView>
  </sheetViews>
  <sheetFormatPr defaultColWidth="115.42578125" defaultRowHeight="260.25" customHeight="1"/>
  <cols>
    <col min="1" max="1" width="6.140625" style="59" customWidth="1"/>
    <col min="2" max="3" width="10.42578125" style="207" customWidth="1"/>
    <col min="4" max="4" width="26.42578125" style="59" customWidth="1"/>
    <col min="5" max="5" width="8.28515625" style="59" customWidth="1"/>
    <col min="6" max="6" width="58.42578125" style="59" customWidth="1"/>
    <col min="7" max="7" width="72.85546875" style="59" customWidth="1"/>
    <col min="8" max="8" width="29.140625" style="59" customWidth="1"/>
    <col min="9" max="9" width="32.85546875" style="59" customWidth="1"/>
    <col min="10" max="11" width="42" style="59" customWidth="1"/>
    <col min="12" max="12" width="21.85546875" style="59" customWidth="1"/>
    <col min="13" max="13" width="18.42578125" style="68" customWidth="1"/>
    <col min="14" max="14" width="19" style="68" customWidth="1"/>
    <col min="15" max="16" width="19" style="59" customWidth="1"/>
    <col min="17" max="17" width="22.140625" style="59" customWidth="1"/>
    <col min="18" max="18" width="43.140625" style="59" customWidth="1"/>
    <col min="19" max="19" width="38.42578125" style="59" customWidth="1"/>
    <col min="20" max="20" width="61.42578125" style="59" customWidth="1"/>
    <col min="21" max="28" width="31.85546875" style="59" customWidth="1"/>
    <col min="29" max="134" width="115.42578125" style="59" bestFit="1" customWidth="1"/>
    <col min="135" max="16322" width="115.42578125" style="59"/>
    <col min="16323" max="16323" width="115.42578125" style="59" bestFit="1"/>
    <col min="16324" max="16384" width="115.42578125" style="59"/>
  </cols>
  <sheetData>
    <row r="1" spans="1:125" ht="45.95" customHeight="1">
      <c r="A1" s="227" t="s">
        <v>5</v>
      </c>
      <c r="B1" s="228" t="s">
        <v>6</v>
      </c>
      <c r="C1" s="228" t="s">
        <v>7</v>
      </c>
      <c r="D1" s="228" t="s">
        <v>8</v>
      </c>
      <c r="E1" s="228" t="s">
        <v>9</v>
      </c>
      <c r="F1" s="228" t="s">
        <v>10</v>
      </c>
      <c r="G1" s="228" t="s">
        <v>11</v>
      </c>
      <c r="H1" s="228" t="s">
        <v>12</v>
      </c>
      <c r="I1" s="228" t="s">
        <v>13</v>
      </c>
      <c r="J1" s="228" t="s">
        <v>14</v>
      </c>
      <c r="K1" s="228" t="s">
        <v>15</v>
      </c>
      <c r="L1" s="228" t="s">
        <v>16</v>
      </c>
      <c r="M1" s="228" t="s">
        <v>17</v>
      </c>
      <c r="N1" s="228" t="s">
        <v>18</v>
      </c>
      <c r="O1" s="228" t="s">
        <v>19</v>
      </c>
      <c r="P1" s="228" t="s">
        <v>20</v>
      </c>
      <c r="Q1" s="228" t="s">
        <v>21</v>
      </c>
      <c r="R1" s="228" t="s">
        <v>22</v>
      </c>
      <c r="S1" s="228" t="s">
        <v>23</v>
      </c>
      <c r="T1" s="228" t="s">
        <v>24</v>
      </c>
      <c r="U1" s="228" t="s">
        <v>25</v>
      </c>
      <c r="V1" s="228" t="s">
        <v>26</v>
      </c>
      <c r="W1" s="228" t="s">
        <v>27</v>
      </c>
      <c r="X1" s="228" t="s">
        <v>28</v>
      </c>
      <c r="Y1" s="228" t="s">
        <v>29</v>
      </c>
      <c r="Z1" s="229" t="s">
        <v>30</v>
      </c>
      <c r="AA1" s="229" t="s">
        <v>31</v>
      </c>
    </row>
    <row r="2" spans="1:125" s="206" customFormat="1" ht="45.95" customHeight="1">
      <c r="A2" s="59">
        <f>[1]Sheet1!A2</f>
        <v>15</v>
      </c>
      <c r="B2" s="220">
        <f>[1]Sheet1!B2</f>
        <v>46006.494444444441</v>
      </c>
      <c r="C2" s="220">
        <f>[1]Sheet1!C2</f>
        <v>46008.702777777777</v>
      </c>
      <c r="D2" s="59" t="str">
        <f>[1]Sheet1!D2</f>
        <v>luis.almeyda@upc.pe</v>
      </c>
      <c r="E2" s="59" t="str">
        <f>[1]Sheet1!E2</f>
        <v>Luis Alberto Almeyda Porras</v>
      </c>
      <c r="F2" s="59" t="str">
        <f>[1]Sheet1!F2</f>
        <v>Mejoras en SPRING - Facturación por nuevo registro de Ventas SIRE</v>
      </c>
      <c r="G2" s="59"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59" t="str">
        <f>[1]Sheet1!H2</f>
        <v>UPC</v>
      </c>
      <c r="I2" s="59" t="str">
        <f>[1]Sheet1!I2</f>
        <v>Alex Pendavis - VP Finanzas</v>
      </c>
      <c r="J2" s="59" t="str">
        <f>[1]Sheet1!J2</f>
        <v xml:space="preserve">Karol Espinoza </v>
      </c>
      <c r="K2" s="59">
        <f>[1]Sheet1!K2</f>
        <v>0</v>
      </c>
      <c r="L2" s="59" t="str">
        <f>[1]Sheet1!L2</f>
        <v>Gerson Vereau</v>
      </c>
      <c r="M2" s="68">
        <f>[1]Sheet1!M2</f>
        <v>46057</v>
      </c>
      <c r="N2" s="68" t="str">
        <f>[1]Sheet1!N2</f>
        <v>No</v>
      </c>
      <c r="O2" s="59" t="str">
        <f>[1]Sheet1!O2</f>
        <v> </v>
      </c>
      <c r="P2" s="59">
        <f>[1]Sheet1!P2</f>
        <v>0</v>
      </c>
      <c r="Q2" s="59" t="str">
        <f>[1]Sheet1!Q2</f>
        <v>Normativa</v>
      </c>
      <c r="R2" s="59"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59">
        <f>[1]Sheet1!S2</f>
        <v>0</v>
      </c>
      <c r="T2" s="59" t="str">
        <f>[1]Sheet1!T2</f>
        <v>Proceso de emisión comprobantes fiscales, Proceso de conversión de comprobantes y proceso de declaración del registro de ventas SUNAT.</v>
      </c>
      <c r="U2" s="59" t="str">
        <f>[1]Sheet1!U2</f>
        <v>Administrativos</v>
      </c>
      <c r="V2" s="59" t="str">
        <f>[1]Sheet1!V2</f>
        <v>Excelencia Operativa</v>
      </c>
      <c r="W2" s="59" t="str">
        <f>[1]Sheet1!W2</f>
        <v>No</v>
      </c>
      <c r="X2" s="59" t="str">
        <f>[1]Sheet1!X2</f>
        <v>Entre S/100,000.00 y S/500,000.00</v>
      </c>
      <c r="Y2" s="59" t="str">
        <f>[1]Sheet1!Y2</f>
        <v>Mejorar el enrolamiento del alumno para el pago durante el proceso de matrícula.
Reducción de horas hombre en trabajo manual para realizar las conversiones de los documentos temporales a fiscales.</v>
      </c>
      <c r="Z2" s="59" t="str">
        <f>[1]Sheet1!Z2</f>
        <v>https://educorpperu-my.sharepoint.com/personal/diana_zapata_laureate_pe1/_layouts/15/Doc.aspx?sourcedoc=%7B5D74949E-141D-42A9-BFEB-1A2662F16C98%7D&amp;file=Solicitud%20de%20Mejoras%20en%20SPRING%20-%20Facturaci%C3%B3n_Luis%20Alberto%20Almeyda.pptx&amp;action=edit&amp;mobileredirect=true</v>
      </c>
      <c r="AA2" s="59">
        <f>[1]Sheet1!AA2</f>
        <v>2.4</v>
      </c>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row>
    <row r="3" spans="1:125" s="206" customFormat="1" ht="45.95" customHeight="1">
      <c r="A3" s="59">
        <f>[1]Sheet1!A3</f>
        <v>16</v>
      </c>
      <c r="B3" s="220">
        <f>[1]Sheet1!B3</f>
        <v>46036.439583333333</v>
      </c>
      <c r="C3" s="220">
        <f>[1]Sheet1!C3</f>
        <v>46036.443055555559</v>
      </c>
      <c r="D3" s="59" t="str">
        <f>[1]Sheet1!D3</f>
        <v>giancarlo.villacorta@upc.pe</v>
      </c>
      <c r="E3" s="59" t="str">
        <f>[1]Sheet1!E3</f>
        <v>Giancarlo Villacorta Quiñones</v>
      </c>
      <c r="F3" s="59" t="str">
        <f>[1]Sheet1!F3</f>
        <v>Mejoras en trámites de retiro de ciclo</v>
      </c>
      <c r="G3" s="59"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59" t="str">
        <f>[1]Sheet1!H3</f>
        <v>UPC</v>
      </c>
      <c r="I3" s="59" t="str">
        <f>[1]Sheet1!I3</f>
        <v>Álvaro Valdez - VP Operaciones</v>
      </c>
      <c r="J3" s="59" t="str">
        <f>[1]Sheet1!J3</f>
        <v>Martha Apaza</v>
      </c>
      <c r="K3" s="59">
        <f>[1]Sheet1!K3</f>
        <v>0</v>
      </c>
      <c r="L3" s="59" t="str">
        <f>[1]Sheet1!L3</f>
        <v>Giancarlo Villacorta</v>
      </c>
      <c r="M3" s="68">
        <f>[1]Sheet1!M3</f>
        <v>46045</v>
      </c>
      <c r="N3" s="68" t="str">
        <f>[1]Sheet1!N3</f>
        <v>No</v>
      </c>
      <c r="O3" s="59" t="str">
        <f>[1]Sheet1!O3</f>
        <v> </v>
      </c>
      <c r="P3" s="59">
        <f>[1]Sheet1!P3</f>
        <v>0</v>
      </c>
      <c r="Q3" s="59" t="str">
        <f>[1]Sheet1!Q3</f>
        <v>Otro</v>
      </c>
      <c r="R3" s="59"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59">
        <f>[1]Sheet1!S3</f>
        <v>0</v>
      </c>
      <c r="T3" s="59" t="str">
        <f>[1]Sheet1!T3</f>
        <v>Retiro de ciclo</v>
      </c>
      <c r="U3" s="59">
        <f>[1]Sheet1!U3</f>
        <v>0</v>
      </c>
      <c r="V3" s="59" t="str">
        <f>[1]Sheet1!V3</f>
        <v>Excelencia Operativa</v>
      </c>
      <c r="W3" s="59" t="str">
        <f>[1]Sheet1!W3</f>
        <v>No</v>
      </c>
      <c r="X3" s="59">
        <f>[1]Sheet1!X3</f>
        <v>0</v>
      </c>
      <c r="Y3" s="59" t="str">
        <f>[1]Sheet1!Y3</f>
        <v>Mitigación de riesgos reputacionales y reclamos hacia la universidad.</v>
      </c>
      <c r="Z3" s="59" t="str">
        <f>[1]Sheet1!Z3</f>
        <v>https://educorpperu-my.sharepoint.com/personal/diana_zapata_laureate_pe1/_layouts/15/Doc.aspx?sourcedoc=%7B951FD7E4-9B48-4809-A091-06F4F7996B32%7D&amp;file=Solicitud%20de%20requerimientos%20Mejoras%20tramite%20d_Giancarlo%20Villacorta.pptx&amp;action=edit&amp;mobileredirect=true</v>
      </c>
      <c r="AA3" s="59">
        <f>[1]Sheet1!AA3</f>
        <v>0.30000000000000004</v>
      </c>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row>
    <row r="4" spans="1:125" s="69" customFormat="1" ht="45.95" customHeight="1">
      <c r="A4" s="59">
        <f>[1]Sheet1!A4</f>
        <v>22</v>
      </c>
      <c r="B4" s="220">
        <f>[1]Sheet1!B4</f>
        <v>46042.586111111108</v>
      </c>
      <c r="C4" s="220">
        <f>[1]Sheet1!C4</f>
        <v>46042.665277777778</v>
      </c>
      <c r="D4" s="59" t="str">
        <f>[1]Sheet1!D4</f>
        <v>alejandro.tello@laureate.pe</v>
      </c>
      <c r="E4" s="59" t="str">
        <f>[1]Sheet1!E4</f>
        <v>Alejandro Tello Llosa</v>
      </c>
      <c r="F4" s="59" t="str">
        <f>[1]Sheet1!F4</f>
        <v>Requerimiento de servicios de CRM para el desarrollo de la plataforma de Admisión Online</v>
      </c>
      <c r="G4" s="59"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59" t="str">
        <f>[1]Sheet1!H4</f>
        <v>UPN</v>
      </c>
      <c r="I4" s="59" t="str">
        <f>[1]Sheet1!I4</f>
        <v>Humberto Marota - Tecnologías y transformación digital</v>
      </c>
      <c r="J4" s="59" t="str">
        <f>[1]Sheet1!J4</f>
        <v xml:space="preserve">Alejandro Tello Llosa </v>
      </c>
      <c r="K4" s="59">
        <f>[1]Sheet1!K4</f>
        <v>0</v>
      </c>
      <c r="L4" s="59" t="str">
        <f>[1]Sheet1!L4</f>
        <v>Jose Paredes</v>
      </c>
      <c r="M4" s="68">
        <f>[1]Sheet1!M4</f>
        <v>46063</v>
      </c>
      <c r="N4" s="68" t="str">
        <f>[1]Sheet1!N4</f>
        <v>Si</v>
      </c>
      <c r="O4" s="59">
        <f>[1]Sheet1!O4</f>
        <v>0</v>
      </c>
      <c r="P4" s="59">
        <f>[1]Sheet1!P4</f>
        <v>75411</v>
      </c>
      <c r="Q4" s="59" t="str">
        <f>[1]Sheet1!Q4</f>
        <v>Otro</v>
      </c>
      <c r="R4" s="59"/>
      <c r="S4" s="59">
        <f>[1]Sheet1!S4</f>
        <v>0</v>
      </c>
      <c r="T4" s="59" t="str">
        <f>[1]Sheet1!T4</f>
        <v>Proceso de Admisión</v>
      </c>
      <c r="U4" s="59">
        <f>[1]Sheet1!U4</f>
        <v>0</v>
      </c>
      <c r="V4" s="59" t="str">
        <f>[1]Sheet1!V4</f>
        <v>Transformación Digital</v>
      </c>
      <c r="W4" s="59" t="str">
        <f>[1]Sheet1!W4</f>
        <v>No</v>
      </c>
      <c r="X4" s="59">
        <f>[1]Sheet1!X4</f>
        <v>0</v>
      </c>
      <c r="Y4" s="59" t="str">
        <f>[1]Sheet1!Y4</f>
        <v>Mejorar la experiencia del prospecto, reducir la operatividad del equipo de admisión, reducción los tiempos de matrícula en al menos 48 hrs</v>
      </c>
      <c r="Z4" s="59" t="str">
        <f>[1]Sheet1!Z4</f>
        <v>https://educorpperu-my.sharepoint.com/personal/diana_zapata_laureate_pe1/Documents/Aplicaciones/Microsoft%20Forms/REGISTRO%20DE%20INICIATIVAS/Pregunta/funnel-de-desercion-carreras-a-distancia-UPN_Alejandro%20Tello%20Llos.png</v>
      </c>
      <c r="AA4" s="59">
        <f>[1]Sheet1!AA4</f>
        <v>1.5</v>
      </c>
    </row>
    <row r="5" spans="1:125" s="69" customFormat="1" ht="45.95" customHeight="1">
      <c r="A5" s="59">
        <f>[1]Sheet1!A5</f>
        <v>23</v>
      </c>
      <c r="B5" s="220">
        <f>[1]Sheet1!B5</f>
        <v>46042.744444444441</v>
      </c>
      <c r="C5" s="220">
        <f>[1]Sheet1!C5</f>
        <v>46042.760416666664</v>
      </c>
      <c r="D5" s="59" t="str">
        <f>[1]Sheet1!D5</f>
        <v>luis.almeyda@upc.pe</v>
      </c>
      <c r="E5" s="59" t="str">
        <f>[1]Sheet1!E5</f>
        <v>Luis Alberto Almeyda Porras</v>
      </c>
      <c r="F5" s="59" t="str">
        <f>[1]Sheet1!F5</f>
        <v>Reporte para Seguimiento de Retiros de Ciclo formales</v>
      </c>
      <c r="G5" s="59"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59" t="str">
        <f>[1]Sheet1!H5</f>
        <v>UPC</v>
      </c>
      <c r="I5" s="59" t="str">
        <f>[1]Sheet1!I5</f>
        <v>Alex Pendavis - VP Finanzas</v>
      </c>
      <c r="J5" s="59" t="str">
        <f>[1]Sheet1!J5</f>
        <v>Jose Luis Ramos</v>
      </c>
      <c r="K5" s="59">
        <f>[1]Sheet1!K5</f>
        <v>0</v>
      </c>
      <c r="L5" s="59" t="str">
        <f>[1]Sheet1!L5</f>
        <v>Gerson Vereau</v>
      </c>
      <c r="M5" s="68">
        <f>[1]Sheet1!M5</f>
        <v>46112</v>
      </c>
      <c r="N5" s="68" t="str">
        <f>[1]Sheet1!N5</f>
        <v>No</v>
      </c>
      <c r="O5" s="59">
        <f>[1]Sheet1!O5</f>
        <v>0</v>
      </c>
      <c r="P5" s="59" t="str">
        <f>[1]Sheet1!P5</f>
        <v> </v>
      </c>
      <c r="Q5" s="59" t="str">
        <f>[1]Sheet1!Q5</f>
        <v>Otro</v>
      </c>
      <c r="R5" s="59"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59">
        <f>[1]Sheet1!S5</f>
        <v>0</v>
      </c>
      <c r="T5" s="59" t="str">
        <f>[1]Sheet1!T5</f>
        <v>Proceso Retiros de Ciclos y Proceso de Recaudación.</v>
      </c>
      <c r="U5" s="59" t="str">
        <f>[1]Sheet1!U5</f>
        <v>Alumnos</v>
      </c>
      <c r="V5" s="59" t="str">
        <f>[1]Sheet1!V5</f>
        <v>Excelencia Operativa</v>
      </c>
      <c r="W5" s="59" t="str">
        <f>[1]Sheet1!W5</f>
        <v>No</v>
      </c>
      <c r="X5" s="59" t="str">
        <f>[1]Sheet1!X5</f>
        <v>No cuantificado o S/0</v>
      </c>
      <c r="Y5" s="59" t="str">
        <f>[1]Sheet1!Y5</f>
        <v>Asegurar la integridad de toda la población de alumnos que cuentan con retiros de ciclos aprobados.</v>
      </c>
      <c r="Z5" s="59" t="str">
        <f>[1]Sheet1!Z5</f>
        <v>https://educorpperu-my.sharepoint.com/personal/diana_zapata_laureate_pe1/_layouts/15/Doc.aspx?sourcedoc=%7BFCF2BAF2-A2BE-40AB-B859-1D5B92387773%7D&amp;file=Solicitud%20de%20query%20retiros%20formales%20-%20ACT_Luis%20Alberto%20Almeyda.pptx&amp;action=edit&amp;mobileredirect=true</v>
      </c>
      <c r="AA5" s="59">
        <f>[1]Sheet1!AA5</f>
        <v>1.2000000000000002</v>
      </c>
    </row>
    <row r="6" spans="1:125" s="69" customFormat="1" ht="45.95" customHeight="1">
      <c r="A6" s="59">
        <f>[1]Sheet1!A6</f>
        <v>24</v>
      </c>
      <c r="B6" s="220">
        <f>[1]Sheet1!B6</f>
        <v>46043.46875</v>
      </c>
      <c r="C6" s="220">
        <f>[1]Sheet1!C6</f>
        <v>46043.536805555559</v>
      </c>
      <c r="D6" s="59" t="str">
        <f>[1]Sheet1!D6</f>
        <v>liz.medina@upc.pe</v>
      </c>
      <c r="E6" s="59" t="str">
        <f>[1]Sheet1!E6</f>
        <v>Carolina Medina Suarez</v>
      </c>
      <c r="F6" s="59" t="str">
        <f>[1]Sheet1!F6</f>
        <v xml:space="preserve">Mejora del Reporte de Matriculados de Licencias Coursera </v>
      </c>
      <c r="G6" s="59"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59" t="str">
        <f>[1]Sheet1!H6</f>
        <v>UPC</v>
      </c>
      <c r="I6" s="59" t="str">
        <f>[1]Sheet1!I6</f>
        <v>Mónica García - VP Operaciones Digitales y Online</v>
      </c>
      <c r="J6" s="59" t="str">
        <f>[1]Sheet1!J6</f>
        <v xml:space="preserve">Soledad Alfaro </v>
      </c>
      <c r="K6" s="59">
        <f>[1]Sheet1!K6</f>
        <v>0</v>
      </c>
      <c r="L6" s="59" t="str">
        <f>[1]Sheet1!L6</f>
        <v>Ángela Lucano</v>
      </c>
      <c r="M6" s="68">
        <f>[1]Sheet1!M6</f>
        <v>46087</v>
      </c>
      <c r="N6" s="68" t="str">
        <f>[1]Sheet1!N6</f>
        <v>No</v>
      </c>
      <c r="O6" s="59">
        <f>[1]Sheet1!O6</f>
        <v>0</v>
      </c>
      <c r="P6" s="59" t="str">
        <f>[1]Sheet1!P6</f>
        <v> </v>
      </c>
      <c r="Q6" s="59" t="str">
        <f>[1]Sheet1!Q6</f>
        <v>Otro</v>
      </c>
      <c r="R6" s="59"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59">
        <f>[1]Sheet1!S6</f>
        <v>0</v>
      </c>
      <c r="T6" s="59"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59">
        <f>[1]Sheet1!U6</f>
        <v>0</v>
      </c>
      <c r="V6" s="59" t="str">
        <f>[1]Sheet1!V6</f>
        <v>Excelencia Operativa</v>
      </c>
      <c r="W6" s="59" t="str">
        <f>[1]Sheet1!W6</f>
        <v>Si</v>
      </c>
      <c r="X6" s="59">
        <f>[1]Sheet1!X6</f>
        <v>0</v>
      </c>
      <c r="Y6" s="59"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59"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59">
        <f>[1]Sheet1!AA6</f>
        <v>0.30000000000000004</v>
      </c>
    </row>
    <row r="7" spans="1:125" ht="45.95" customHeight="1">
      <c r="A7" s="59">
        <f>[1]Sheet1!A7</f>
        <v>25</v>
      </c>
      <c r="B7" s="220">
        <f>[1]Sheet1!B7</f>
        <v>46048.588194444441</v>
      </c>
      <c r="C7" s="220">
        <f>[1]Sheet1!C7</f>
        <v>46048.615277777775</v>
      </c>
      <c r="D7" s="59" t="str">
        <f>[1]Sheet1!D7</f>
        <v>makarena.ramos@laureate.pe</v>
      </c>
      <c r="E7" s="59" t="str">
        <f>[1]Sheet1!E7</f>
        <v>Makarena Ramos Aleman</v>
      </c>
      <c r="F7" s="59" t="str">
        <f>[1]Sheet1!F7</f>
        <v>Modificación de MDUU de elegibles en Banner.</v>
      </c>
      <c r="G7" s="59"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59" t="str">
        <f>[1]Sheet1!H7</f>
        <v>UPN</v>
      </c>
      <c r="I7" s="59" t="str">
        <f>[1]Sheet1!I7</f>
        <v>Tairi Ruillier - VP Transformación</v>
      </c>
      <c r="J7" s="59" t="str">
        <f>[1]Sheet1!J7</f>
        <v xml:space="preserve">Janeth Albujar Rodriguez </v>
      </c>
      <c r="K7" s="59">
        <f>[1]Sheet1!K7</f>
        <v>0</v>
      </c>
      <c r="L7" s="59" t="str">
        <f>[1]Sheet1!L7</f>
        <v>Carla Arias-Schreiber</v>
      </c>
      <c r="M7" s="68">
        <f>[1]Sheet1!M7</f>
        <v>46083</v>
      </c>
      <c r="N7" s="68" t="str">
        <f>[1]Sheet1!N7</f>
        <v>No</v>
      </c>
      <c r="O7" s="59">
        <f>[1]Sheet1!O7</f>
        <v>0</v>
      </c>
      <c r="P7" s="59">
        <f>[1]Sheet1!P7</f>
        <v>76553</v>
      </c>
      <c r="Q7" s="59" t="str">
        <f>[1]Sheet1!Q7</f>
        <v>Otro</v>
      </c>
      <c r="R7" s="59"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59">
        <f>[1]Sheet1!S7</f>
        <v>0</v>
      </c>
      <c r="T7" s="59" t="str">
        <f>[1]Sheet1!T7</f>
        <v>Apertura de Matricula
Cierre Matricula
Creación de Campaña</v>
      </c>
      <c r="U7" s="59">
        <f>[1]Sheet1!U7</f>
        <v>0</v>
      </c>
      <c r="V7" s="59" t="str">
        <f>[1]Sheet1!V7</f>
        <v>Crecimiento escalable</v>
      </c>
      <c r="W7" s="59" t="str">
        <f>[1]Sheet1!W7</f>
        <v>No</v>
      </c>
      <c r="X7" s="59">
        <f>[1]Sheet1!X7</f>
        <v>0</v>
      </c>
      <c r="Y7" s="59" t="str">
        <f>[1]Sheet1!Y7</f>
        <v xml:space="preserve">El retorno de los alumnos desaprobados por 3ra vez </v>
      </c>
      <c r="Z7" s="59"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59">
        <f>[1]Sheet1!AA7</f>
        <v>0.5</v>
      </c>
    </row>
    <row r="8" spans="1:125" ht="45.95" customHeight="1">
      <c r="A8" s="59">
        <f>[1]Sheet1!A8</f>
        <v>26</v>
      </c>
      <c r="B8" s="220">
        <f>[1]Sheet1!B8</f>
        <v>46048.615277777775</v>
      </c>
      <c r="C8" s="220">
        <f>[1]Sheet1!C8</f>
        <v>46048.623611111114</v>
      </c>
      <c r="D8" s="59" t="str">
        <f>[1]Sheet1!D8</f>
        <v>makarena.ramos@laureate.pe</v>
      </c>
      <c r="E8" s="59" t="str">
        <f>[1]Sheet1!E8</f>
        <v>Makarena Ramos Aleman</v>
      </c>
      <c r="F8" s="59" t="str">
        <f>[1]Sheet1!F8</f>
        <v>Actualización de Reportes PF012 y AC006 -Penalidad por 4to curso repetido</v>
      </c>
      <c r="G8" s="59" t="str">
        <f>[1]Sheet1!G8</f>
        <v>[SPO]Necesitamos la actualización de los reportes para que pueda incluir la Validación de carga de  las penalidades(PF012), Cierre de Campaña - AC006. Logrando que incluya la casuistica de las penalidades por 4ta en los controles SOX.</v>
      </c>
      <c r="H8" s="59" t="str">
        <f>[1]Sheet1!H8</f>
        <v>UPN</v>
      </c>
      <c r="I8" s="59" t="str">
        <f>[1]Sheet1!I8</f>
        <v>Tairi Ruillier - VP Transformación</v>
      </c>
      <c r="J8" s="59" t="str">
        <f>[1]Sheet1!J8</f>
        <v xml:space="preserve">Janeth Albujar Rodriguez </v>
      </c>
      <c r="K8" s="59">
        <f>[1]Sheet1!K8</f>
        <v>0</v>
      </c>
      <c r="L8" s="59" t="str">
        <f>[1]Sheet1!L8</f>
        <v>Carla Arias-Schreiber</v>
      </c>
      <c r="M8" s="68">
        <f>[1]Sheet1!M8</f>
        <v>46035</v>
      </c>
      <c r="N8" s="68" t="str">
        <f>[1]Sheet1!N8</f>
        <v>No</v>
      </c>
      <c r="O8" s="59">
        <f>[1]Sheet1!O8</f>
        <v>0</v>
      </c>
      <c r="P8" s="59">
        <f>[1]Sheet1!P8</f>
        <v>76553</v>
      </c>
      <c r="Q8" s="59" t="str">
        <f>[1]Sheet1!Q8</f>
        <v>Otro</v>
      </c>
      <c r="R8" s="59" t="str">
        <f>[1]Sheet1!R8</f>
        <v>Actualmente los reportes no incluyen las penalidades por 4ta</v>
      </c>
      <c r="S8" s="59">
        <f>[1]Sheet1!S8</f>
        <v>0</v>
      </c>
      <c r="T8" s="59" t="str">
        <f>[1]Sheet1!T8</f>
        <v>Creacion de campaña
Cierre de Matricula</v>
      </c>
      <c r="U8" s="59">
        <f>[1]Sheet1!U8</f>
        <v>0</v>
      </c>
      <c r="V8" s="59" t="str">
        <f>[1]Sheet1!V8</f>
        <v>Crecimiento escalable</v>
      </c>
      <c r="W8" s="59" t="str">
        <f>[1]Sheet1!W8</f>
        <v>No</v>
      </c>
      <c r="X8" s="59">
        <f>[1]Sheet1!X8</f>
        <v>0</v>
      </c>
      <c r="Y8" s="59" t="str">
        <f>[1]Sheet1!Y8</f>
        <v>Reportes SOX (PF012), Cierre de Campaña - AC006</v>
      </c>
      <c r="Z8" s="59" t="str">
        <f>[1]Sheet1!Z8</f>
        <v>https://educorpperu-my.sharepoint.com/personal/diana_zapata_laureate_pe1/_layouts/15/Doc.aspx?sourcedoc=%7BA5A84171-075B-4674-B91E-F72A86A61703%7D&amp;file=Solicitud_Reportes%20incluyen%20reglas%20de%20c%20-%204ta_Makarena%20Ramos%20Alema.pptx&amp;action=edit&amp;mobileredirect=true</v>
      </c>
      <c r="AA8" s="59">
        <f>[1]Sheet1!AA8</f>
        <v>0.5</v>
      </c>
    </row>
    <row r="9" spans="1:125" ht="45.95" customHeight="1">
      <c r="A9" s="59">
        <f>[1]Sheet1!A9</f>
        <v>27</v>
      </c>
      <c r="B9" s="220">
        <f>[1]Sheet1!B9</f>
        <v>46048.633333333331</v>
      </c>
      <c r="C9" s="220">
        <f>[1]Sheet1!C9</f>
        <v>46048.648611111108</v>
      </c>
      <c r="D9" s="59" t="str">
        <f>[1]Sheet1!D9</f>
        <v>makarena.ramos@laureate.pe</v>
      </c>
      <c r="E9" s="59" t="str">
        <f>[1]Sheet1!E9</f>
        <v>Makarena Ramos Aleman</v>
      </c>
      <c r="F9" s="59" t="str">
        <f>[1]Sheet1!F9</f>
        <v>Mejora en la estimación de penalidades – 4ta repitencia.</v>
      </c>
      <c r="G9" s="59" t="str">
        <f>[1]Sheet1!G9</f>
        <v>[SPO]Mejora del proceso de estimación de penalidad para que genere los cargos con penalidad por cuarta repitencia. Logrando que los alumnos puedan matricularse nuevamente pagando la penalidad correspondiente.</v>
      </c>
      <c r="H9" s="59" t="str">
        <f>[1]Sheet1!H9</f>
        <v>UPN</v>
      </c>
      <c r="I9" s="59" t="str">
        <f>[1]Sheet1!I9</f>
        <v>Tairi Ruillier - VP Transformación</v>
      </c>
      <c r="J9" s="59" t="str">
        <f>[1]Sheet1!J9</f>
        <v xml:space="preserve">Janeth Albujar Rodriguez </v>
      </c>
      <c r="K9" s="59">
        <f>[1]Sheet1!K9</f>
        <v>0</v>
      </c>
      <c r="L9" s="59" t="str">
        <f>[1]Sheet1!L9</f>
        <v>Carla Arias-Schreiber</v>
      </c>
      <c r="M9" s="68">
        <f>[1]Sheet1!M9</f>
        <v>46113</v>
      </c>
      <c r="N9" s="68" t="str">
        <f>[1]Sheet1!N9</f>
        <v>No</v>
      </c>
      <c r="O9" s="59">
        <f>[1]Sheet1!O9</f>
        <v>0</v>
      </c>
      <c r="P9" s="59">
        <f>[1]Sheet1!P9</f>
        <v>76553</v>
      </c>
      <c r="Q9" s="59" t="str">
        <f>[1]Sheet1!Q9</f>
        <v>Otro</v>
      </c>
      <c r="R9" s="59" t="str">
        <f>[1]Sheet1!R9</f>
        <v xml:space="preserve">No se genera de manera automática las penalidades de 4ta </v>
      </c>
      <c r="S9" s="59">
        <f>[1]Sheet1!S9</f>
        <v>0</v>
      </c>
      <c r="T9" s="59" t="str">
        <f>[1]Sheet1!T9</f>
        <v>Cierre de Matricula</v>
      </c>
      <c r="U9" s="59" t="str">
        <f>[1]Sheet1!U9</f>
        <v>Alumnos</v>
      </c>
      <c r="V9" s="59" t="str">
        <f>[1]Sheet1!V9</f>
        <v>Crecimiento escalable</v>
      </c>
      <c r="W9" s="59" t="str">
        <f>[1]Sheet1!W9</f>
        <v>No</v>
      </c>
      <c r="X9" s="59" t="str">
        <f>[1]Sheet1!X9</f>
        <v>No cuantificado o S/0</v>
      </c>
      <c r="Y9" s="59" t="str">
        <f>[1]Sheet1!Y9</f>
        <v xml:space="preserve">Estudiantes puedan realizar sus pagos de penalidades por 4ta </v>
      </c>
      <c r="Z9" s="59"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59">
        <f>[1]Sheet1!AA9</f>
        <v>1.4</v>
      </c>
    </row>
    <row r="10" spans="1:125" ht="45.95" customHeight="1">
      <c r="A10" s="59">
        <f>[1]Sheet1!A10</f>
        <v>28</v>
      </c>
      <c r="B10" s="220">
        <f>[1]Sheet1!B10</f>
        <v>46048.633333333331</v>
      </c>
      <c r="C10" s="220">
        <f>[1]Sheet1!C10</f>
        <v>46048.654166666667</v>
      </c>
      <c r="D10" s="59" t="str">
        <f>[1]Sheet1!D10</f>
        <v>makarena.ramos@laureate.pe</v>
      </c>
      <c r="E10" s="59" t="str">
        <f>[1]Sheet1!E10</f>
        <v>Makarena Ramos Aleman</v>
      </c>
      <c r="F10" s="59" t="str">
        <f>[1]Sheet1!F10</f>
        <v>Marcación de reingresantes desaprobados por tercera vez (4TAV)</v>
      </c>
      <c r="G10" s="59"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59" t="str">
        <f>[1]Sheet1!H10</f>
        <v>UPN</v>
      </c>
      <c r="I10" s="59" t="str">
        <f>[1]Sheet1!I10</f>
        <v>Tairi Ruillier - VP Transformación</v>
      </c>
      <c r="J10" s="59" t="str">
        <f>[1]Sheet1!J10</f>
        <v xml:space="preserve">Janeth Albujar Rodriguez </v>
      </c>
      <c r="K10" s="59">
        <f>[1]Sheet1!K10</f>
        <v>0</v>
      </c>
      <c r="L10" s="59" t="str">
        <f>[1]Sheet1!L10</f>
        <v>Carla Arias-Schreiber</v>
      </c>
      <c r="M10" s="68">
        <f>[1]Sheet1!M10</f>
        <v>46113</v>
      </c>
      <c r="N10" s="68" t="str">
        <f>[1]Sheet1!N10</f>
        <v>No</v>
      </c>
      <c r="O10" s="59">
        <f>[1]Sheet1!O10</f>
        <v>0</v>
      </c>
      <c r="P10" s="59">
        <f>[1]Sheet1!P10</f>
        <v>76553</v>
      </c>
      <c r="Q10" s="59" t="str">
        <f>[1]Sheet1!Q10</f>
        <v>Otro</v>
      </c>
      <c r="R10" s="59"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59">
        <f>[1]Sheet1!S10</f>
        <v>0</v>
      </c>
      <c r="T10" s="59" t="str">
        <f>[1]Sheet1!T10</f>
        <v>Admisión de Reingresos</v>
      </c>
      <c r="U10" s="59">
        <f>[1]Sheet1!U10</f>
        <v>0</v>
      </c>
      <c r="V10" s="59" t="str">
        <f>[1]Sheet1!V10</f>
        <v>Crecimiento escalable</v>
      </c>
      <c r="W10" s="59" t="str">
        <f>[1]Sheet1!W10</f>
        <v>No</v>
      </c>
      <c r="X10" s="59">
        <f>[1]Sheet1!X10</f>
        <v>0</v>
      </c>
      <c r="Y10" s="59" t="str">
        <f>[1]Sheet1!Y10</f>
        <v>Reingreso de Alumnos por 4ta</v>
      </c>
      <c r="Z10" s="59" t="str">
        <f>[1]Sheet1!Z10</f>
        <v>https://educorpperu-my.sharepoint.com/personal/diana_zapata_laureate_pe1/_layouts/15/Doc.aspx?sourcedoc=%7BB90D1AC2-48A3-4CB6-B535-02BC5163EAEC%7D&amp;file=Requerimiento_Reingresos_Makarena%20Ramos%20Alema.pptx&amp;action=edit&amp;mobileredirect=true</v>
      </c>
      <c r="AA10" s="59">
        <f>[1]Sheet1!AA10</f>
        <v>0.5</v>
      </c>
    </row>
    <row r="11" spans="1:125" ht="45.95" customHeight="1">
      <c r="A11" s="59">
        <f>[1]Sheet1!A11</f>
        <v>29</v>
      </c>
      <c r="B11" s="220">
        <f>[1]Sheet1!B11</f>
        <v>46048.633333333331</v>
      </c>
      <c r="C11" s="220">
        <f>[1]Sheet1!C11</f>
        <v>46048.661805555559</v>
      </c>
      <c r="D11" s="59" t="str">
        <f>[1]Sheet1!D11</f>
        <v>makarena.ramos@laureate.pe</v>
      </c>
      <c r="E11" s="59" t="str">
        <f>[1]Sheet1!E11</f>
        <v>Makarena Ramos Aleman</v>
      </c>
      <c r="F11" s="59" t="str">
        <f>[1]Sheet1!F11</f>
        <v>Proyección automática de cursos por 4ta vez</v>
      </c>
      <c r="G11" s="59"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59" t="str">
        <f>[1]Sheet1!H11</f>
        <v>UPN</v>
      </c>
      <c r="I11" s="59" t="str">
        <f>[1]Sheet1!I11</f>
        <v>Sebastian Lindley - VP Transformación</v>
      </c>
      <c r="J11" s="59" t="str">
        <f>[1]Sheet1!J11</f>
        <v xml:space="preserve">Janeth Albujar Rodriguez </v>
      </c>
      <c r="K11" s="59">
        <f>[1]Sheet1!K11</f>
        <v>0</v>
      </c>
      <c r="L11" s="59" t="str">
        <f>[1]Sheet1!L11</f>
        <v>Carla Arias-Schreiber</v>
      </c>
      <c r="M11" s="68">
        <f>[1]Sheet1!M11</f>
        <v>46113</v>
      </c>
      <c r="N11" s="68" t="str">
        <f>[1]Sheet1!N11</f>
        <v>No</v>
      </c>
      <c r="O11" s="59">
        <f>[1]Sheet1!O11</f>
        <v>0</v>
      </c>
      <c r="P11" s="59">
        <f>[1]Sheet1!P11</f>
        <v>76553</v>
      </c>
      <c r="Q11" s="59" t="str">
        <f>[1]Sheet1!Q11</f>
        <v>Otro</v>
      </c>
      <c r="R11" s="59" t="str">
        <f>[1]Sheet1!R11</f>
        <v xml:space="preserve">El desafío seria que si no se realizo se tendría que hacer de manera manual </v>
      </c>
      <c r="S11" s="59">
        <f>[1]Sheet1!S11</f>
        <v>0</v>
      </c>
      <c r="T11" s="59" t="str">
        <f>[1]Sheet1!T11</f>
        <v>Proceso de Matricula de Reingresos</v>
      </c>
      <c r="U11" s="59" t="str">
        <f>[1]Sheet1!U11</f>
        <v>Alumnos</v>
      </c>
      <c r="V11" s="59" t="str">
        <f>[1]Sheet1!V11</f>
        <v>Crecimiento escalable</v>
      </c>
      <c r="W11" s="59" t="str">
        <f>[1]Sheet1!W11</f>
        <v>No</v>
      </c>
      <c r="X11" s="59" t="str">
        <f>[1]Sheet1!X11</f>
        <v>No cuantificado o S/0</v>
      </c>
      <c r="Y11" s="59" t="str">
        <f>[1]Sheet1!Y11</f>
        <v>Los estudiantes puedan continuar sus estudios al matricular en el o los cursos por 4ta vez.</v>
      </c>
      <c r="Z11" s="59"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59">
        <f>[1]Sheet1!AA11</f>
        <v>1.4</v>
      </c>
    </row>
    <row r="12" spans="1:125" ht="45.95" customHeight="1">
      <c r="A12" s="59">
        <f>[1]Sheet1!A12</f>
        <v>30</v>
      </c>
      <c r="B12" s="220">
        <f>[1]Sheet1!B12</f>
        <v>46048.651388888888</v>
      </c>
      <c r="C12" s="220">
        <f>[1]Sheet1!C12</f>
        <v>46048.669444444444</v>
      </c>
      <c r="D12" s="59" t="str">
        <f>[1]Sheet1!D12</f>
        <v>gerson.vereau@upn.edu.pe</v>
      </c>
      <c r="E12" s="59" t="str">
        <f>[1]Sheet1!E12</f>
        <v>Gerson Vereau Rosas</v>
      </c>
      <c r="F12" s="59" t="str">
        <f>[1]Sheet1!F12</f>
        <v>Franja horaria no visible para horas adicionales</v>
      </c>
      <c r="G12" s="59"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59" t="str">
        <f>[1]Sheet1!H12</f>
        <v>UPN</v>
      </c>
      <c r="I12" s="59" t="str">
        <f>[1]Sheet1!I12</f>
        <v>Álvaro Valdez - VP Operaciones</v>
      </c>
      <c r="J12" s="59" t="str">
        <f>[1]Sheet1!J12</f>
        <v xml:space="preserve">Adolfo Correa </v>
      </c>
      <c r="K12" s="59">
        <f>[1]Sheet1!K12</f>
        <v>0</v>
      </c>
      <c r="L12" s="59" t="str">
        <f>[1]Sheet1!L12</f>
        <v>Gerson Vereau</v>
      </c>
      <c r="M12" s="68">
        <f>[1]Sheet1!M12</f>
        <v>46078</v>
      </c>
      <c r="N12" s="68" t="str">
        <f>[1]Sheet1!N12</f>
        <v>No</v>
      </c>
      <c r="O12" s="59" t="str">
        <f>[1]Sheet1!O12</f>
        <v> </v>
      </c>
      <c r="P12" s="59">
        <f>[1]Sheet1!P12</f>
        <v>0</v>
      </c>
      <c r="Q12" s="59" t="str">
        <f>[1]Sheet1!Q12</f>
        <v>Otro</v>
      </c>
      <c r="R12" s="59" t="str">
        <f>[1]Sheet1!R12</f>
        <v>Hoy en día se generan planillas manuales que aseguran la coherencia entre la programación académica junto con el pago docente. Un error en las planillas manuales puede ocasionar un pago doble al docente.</v>
      </c>
      <c r="S12" s="59">
        <f>[1]Sheet1!S12</f>
        <v>0</v>
      </c>
      <c r="T12" s="59" t="str">
        <f>[1]Sheet1!T12</f>
        <v>Programación Horaria / Nómina ( Planillas docente) / Control de horas y teaching cost /Monitoreo académico de Educación virtual</v>
      </c>
      <c r="U12" s="59">
        <f>[1]Sheet1!U12</f>
        <v>0</v>
      </c>
      <c r="V12" s="59" t="str">
        <f>[1]Sheet1!V12</f>
        <v>Excelencia Operativa</v>
      </c>
      <c r="W12" s="59" t="str">
        <f>[1]Sheet1!W12</f>
        <v>No</v>
      </c>
      <c r="X12" s="59">
        <f>[1]Sheet1!X12</f>
        <v>0</v>
      </c>
      <c r="Y12" s="59" t="str">
        <f>[1]Sheet1!Y12</f>
        <v>Cuando migre para pago por Portal Dirección está sujeto al siguiente control ARO.UPN.HRPay.03.01. Asegurar la coherencia entre la programación académica junto con el pago docente.</v>
      </c>
      <c r="Z12" s="59"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59">
        <f>[1]Sheet1!AA12</f>
        <v>0.30000000000000004</v>
      </c>
    </row>
    <row r="13" spans="1:125" ht="45.95" customHeight="1">
      <c r="A13" s="59">
        <f>[1]Sheet1!A13</f>
        <v>31</v>
      </c>
      <c r="B13" s="220">
        <f>[1]Sheet1!B13</f>
        <v>46048.645833333336</v>
      </c>
      <c r="C13" s="220">
        <f>[1]Sheet1!C13</f>
        <v>46048.67291666667</v>
      </c>
      <c r="D13" s="59" t="str">
        <f>[1]Sheet1!D13</f>
        <v>jose.herbozo@upn.edu.pe</v>
      </c>
      <c r="E13" s="59" t="str">
        <f>[1]Sheet1!E13</f>
        <v>Jose Paredes Herbozo</v>
      </c>
      <c r="F13" s="59" t="str">
        <f>[1]Sheet1!F13</f>
        <v>Incorporar sección de "variable étnica" a la Ficha de Postulación y CRM</v>
      </c>
      <c r="G13" s="59"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59" t="str">
        <f>[1]Sheet1!H13</f>
        <v>UPN</v>
      </c>
      <c r="I13" s="59" t="str">
        <f>[1]Sheet1!I13</f>
        <v>Rossina Caballero - VP Legal</v>
      </c>
      <c r="J13" s="59" t="str">
        <f>[1]Sheet1!J13</f>
        <v>Sandra Chirinos Villavicencio</v>
      </c>
      <c r="K13" s="59">
        <f>[1]Sheet1!K13</f>
        <v>0</v>
      </c>
      <c r="L13" s="59" t="str">
        <f>[1]Sheet1!L13</f>
        <v>Jose Paredes</v>
      </c>
      <c r="M13" s="68">
        <f>[1]Sheet1!M13</f>
        <v>46081</v>
      </c>
      <c r="N13" s="68" t="str">
        <f>[1]Sheet1!N13</f>
        <v>No</v>
      </c>
      <c r="O13" s="59" t="str">
        <f>[1]Sheet1!O13</f>
        <v> </v>
      </c>
      <c r="P13" s="59">
        <f>[1]Sheet1!P13</f>
        <v>0</v>
      </c>
      <c r="Q13" s="59" t="str">
        <f>[1]Sheet1!Q13</f>
        <v>Normativa</v>
      </c>
      <c r="R13" s="59" t="str">
        <f>[1]Sheet1!R13</f>
        <v>Incluir estas nuevas preguntas en la ficha de postulación y que estas respuestas viajen al CRM a modo consulta.
El equipo comercial extrae los reportes de SUNEDU de postulantes desde el CRM, es por eso que se requiere tenerlo ahí tambien.</v>
      </c>
      <c r="S13" s="59">
        <f>[1]Sheet1!S13</f>
        <v>0</v>
      </c>
      <c r="T13" s="59" t="str">
        <f>[1]Sheet1!T13</f>
        <v>Admisión, Exportación e importación de datos SUNEDU</v>
      </c>
      <c r="U13" s="59">
        <f>[1]Sheet1!U13</f>
        <v>0</v>
      </c>
      <c r="V13" s="59" t="str">
        <f>[1]Sheet1!V13</f>
        <v>Excelencia Operativa</v>
      </c>
      <c r="W13" s="59" t="str">
        <f>[1]Sheet1!W13</f>
        <v>No</v>
      </c>
      <c r="X13" s="59">
        <f>[1]Sheet1!X13</f>
        <v>0</v>
      </c>
      <c r="Y13" s="59" t="str">
        <f>[1]Sheet1!Y13</f>
        <v>Estar alineado a lo que rige el ente regulador.</v>
      </c>
      <c r="Z13" s="59" t="str">
        <f>[1]Sheet1!Z13</f>
        <v>https://educorpperu-my.sharepoint.com/personal/diana_zapata_laureate_pe1/_layouts/15/Doc.aspx?sourcedoc=%7B7C571A66-11AC-480F-B19C-571BDF070428%7D&amp;file=Implementaci%C3%B3n%20de%20informacion%20en%20CRM_Variable_Jose%20Paredes%20Herbozo.pptx&amp;action=edit&amp;mobileredirect=true</v>
      </c>
      <c r="AA13" s="59">
        <f>[1]Sheet1!AA13</f>
        <v>1.8</v>
      </c>
    </row>
    <row r="14" spans="1:125" ht="45.95" customHeight="1">
      <c r="A14" s="59">
        <f>[1]Sheet1!A14</f>
        <v>32</v>
      </c>
      <c r="B14" s="220">
        <f>[1]Sheet1!B14</f>
        <v>46048.67291666667</v>
      </c>
      <c r="C14" s="220">
        <f>[1]Sheet1!C14</f>
        <v>46048.69027777778</v>
      </c>
      <c r="D14" s="59" t="str">
        <f>[1]Sheet1!D14</f>
        <v>jose.herbozo@upn.edu.pe</v>
      </c>
      <c r="E14" s="59" t="str">
        <f>[1]Sheet1!E14</f>
        <v>Jose Paredes Herbozo</v>
      </c>
      <c r="F14" s="59" t="str">
        <f>[1]Sheet1!F14</f>
        <v>Desactivación del proceso automático de reembolsos en el retiro formal</v>
      </c>
      <c r="G14" s="59"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59" t="str">
        <f>[1]Sheet1!H14</f>
        <v>UPN</v>
      </c>
      <c r="I14" s="59" t="str">
        <f>[1]Sheet1!I14</f>
        <v>Alex Pendavis - VP Finanzas</v>
      </c>
      <c r="J14" s="59" t="str">
        <f>[1]Sheet1!J14</f>
        <v>Cindy Chuco</v>
      </c>
      <c r="K14" s="59">
        <f>[1]Sheet1!K14</f>
        <v>0</v>
      </c>
      <c r="L14" s="59" t="str">
        <f>[1]Sheet1!L14</f>
        <v>Jose Paredes</v>
      </c>
      <c r="M14" s="68">
        <f>[1]Sheet1!M14</f>
        <v>46080</v>
      </c>
      <c r="N14" s="68" t="str">
        <f>[1]Sheet1!N14</f>
        <v>No</v>
      </c>
      <c r="O14" s="59" t="str">
        <f>[1]Sheet1!O14</f>
        <v> </v>
      </c>
      <c r="P14" s="59">
        <f>[1]Sheet1!P14</f>
        <v>0</v>
      </c>
      <c r="Q14" s="59" t="str">
        <f>[1]Sheet1!Q14</f>
        <v>Otro</v>
      </c>
      <c r="R14" s="59"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59">
        <f>[1]Sheet1!S14</f>
        <v>0</v>
      </c>
      <c r="T14" s="59" t="str">
        <f>[1]Sheet1!T14</f>
        <v>- Reembolsos automáticos de retiro formal
- Proceso Financiero de Cuentas por Pagar
- Proceso de Tesorería
- Proceso de Retiro Formal del Estudiante</v>
      </c>
      <c r="U14" s="59">
        <f>[1]Sheet1!U14</f>
        <v>0</v>
      </c>
      <c r="V14" s="59" t="str">
        <f>[1]Sheet1!V14</f>
        <v>Excelencia Operativa</v>
      </c>
      <c r="W14" s="59" t="str">
        <f>[1]Sheet1!W14</f>
        <v>No</v>
      </c>
      <c r="X14" s="59">
        <f>[1]Sheet1!X14</f>
        <v>0</v>
      </c>
      <c r="Y14" s="59" t="str">
        <f>[1]Sheet1!Y14</f>
        <v>Reducción operativa.</v>
      </c>
      <c r="Z14" s="59" t="str">
        <f>[1]Sheet1!Z14</f>
        <v>https://educorpperu-my.sharepoint.com/personal/diana_zapata_laureate_pe1/_layouts/15/Doc.aspx?sourcedoc=%7B45291CE6-8C02-4BA8-8304-F8E9A67BF9C6%7D&amp;file=Solicitud%20de%20requerimientos%20%20-%20Retiro%20WOC%20REF_Jose%20Paredes%20Herbozo.pptx&amp;action=edit&amp;mobileredirect=true</v>
      </c>
      <c r="AA14" s="59">
        <f>[1]Sheet1!AA14</f>
        <v>0.30000000000000004</v>
      </c>
    </row>
    <row r="15" spans="1:125" ht="45.95" customHeight="1">
      <c r="A15" s="59">
        <f>[1]Sheet1!A15</f>
        <v>33</v>
      </c>
      <c r="B15" s="220">
        <f>[1]Sheet1!B15</f>
        <v>46049.461111111108</v>
      </c>
      <c r="C15" s="220">
        <f>[1]Sheet1!C15</f>
        <v>46049.47152777778</v>
      </c>
      <c r="D15" s="59" t="str">
        <f>[1]Sheet1!D15</f>
        <v>daniella.poppe@laureate.pe</v>
      </c>
      <c r="E15" s="59" t="str">
        <f>[1]Sheet1!E15</f>
        <v>Daniella Poppe Medina</v>
      </c>
      <c r="F15" s="59" t="str">
        <f>[1]Sheet1!F15</f>
        <v>Lead Scoring - Integración de modelo Lead Scoring a CRM</v>
      </c>
      <c r="G15" s="59" t="str">
        <f>[1]Sheet1!G15</f>
        <v>Necesitamos integrar el Lead Scoring al CRM para que el equipo comercial pueda priorizar de manera más efectiva los leads que recibe para la venta logrando un ratio de conversión mayor.</v>
      </c>
      <c r="H15" s="59" t="str">
        <f>[1]Sheet1!H15</f>
        <v>UPN</v>
      </c>
      <c r="I15" s="59" t="str">
        <f>[1]Sheet1!I15</f>
        <v>Humberto Marota - Tecnologías y transformación digital</v>
      </c>
      <c r="J15" s="59" t="str">
        <f>[1]Sheet1!J15</f>
        <v>Daniella Poppe</v>
      </c>
      <c r="K15" s="59">
        <f>[1]Sheet1!K15</f>
        <v>0</v>
      </c>
      <c r="L15" s="59" t="str">
        <f>[1]Sheet1!L15</f>
        <v>Jose Paredes</v>
      </c>
      <c r="M15" s="68">
        <f>[1]Sheet1!M15</f>
        <v>46081</v>
      </c>
      <c r="N15" s="68" t="str">
        <f>[1]Sheet1!N15</f>
        <v>Si</v>
      </c>
      <c r="O15" s="59">
        <f>[1]Sheet1!O15</f>
        <v>0</v>
      </c>
      <c r="P15" s="59">
        <f>[1]Sheet1!P15</f>
        <v>75364</v>
      </c>
      <c r="Q15" s="59" t="str">
        <f>[1]Sheet1!Q15</f>
        <v>Otro</v>
      </c>
      <c r="R15" s="59"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59">
        <f>[1]Sheet1!S15</f>
        <v>0</v>
      </c>
      <c r="T15" s="59" t="str">
        <f>[1]Sheet1!T15</f>
        <v>Proceso de venta - con este modelo en el CRM se va a poder priorizar los leads de manera eficiente</v>
      </c>
      <c r="U15" s="59">
        <f>[1]Sheet1!U15</f>
        <v>0</v>
      </c>
      <c r="V15" s="59" t="str">
        <f>[1]Sheet1!V15</f>
        <v>Excelencia Operativa</v>
      </c>
      <c r="W15" s="59" t="str">
        <f>[1]Sheet1!W15</f>
        <v>No</v>
      </c>
      <c r="X15" s="59">
        <f>[1]Sheet1!X15</f>
        <v>0</v>
      </c>
      <c r="Y15" s="59" t="str">
        <f>[1]Sheet1!Y15</f>
        <v>Priorización de leads para mejorar la conversión de venta</v>
      </c>
      <c r="Z15" s="59" t="str">
        <f>[1]Sheet1!Z15</f>
        <v>https://educorpperu-my.sharepoint.com/personal/diana_zapata_laureate_pe1/_layouts/15/Doc.aspx?sourcedoc=%7B686E36E1-E655-427B-84A6-9FB3EBC63D5A%7D&amp;file=Solicitud%20de%20requerimientos%20Lead%20Scoring_CRM_Daniella%20Poppe%20Medin.pptx&amp;action=edit&amp;mobileredirect=true</v>
      </c>
      <c r="AA15" s="59">
        <f>[1]Sheet1!AA15</f>
        <v>1.8</v>
      </c>
    </row>
    <row r="16" spans="1:125" ht="45.95" customHeight="1">
      <c r="A16" s="59">
        <f>[1]Sheet1!A16</f>
        <v>34</v>
      </c>
      <c r="B16" s="220">
        <f>[1]Sheet1!B16</f>
        <v>46049.599305555559</v>
      </c>
      <c r="C16" s="220">
        <f>[1]Sheet1!C16</f>
        <v>46049.717361111114</v>
      </c>
      <c r="D16" s="59" t="str">
        <f>[1]Sheet1!D16</f>
        <v>eduardo.paul@cibertec.pe</v>
      </c>
      <c r="E16" s="59" t="str">
        <f>[1]Sheet1!E16</f>
        <v>Eduardo Paul Aguilar</v>
      </c>
      <c r="F16" s="59" t="str">
        <f>[1]Sheet1!F16</f>
        <v>Actualización en Gestión Docente sobre cambios realizados en Banner</v>
      </c>
      <c r="G16" s="59"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59" t="str">
        <f>[1]Sheet1!H16</f>
        <v>CIB</v>
      </c>
      <c r="I16" s="59" t="str">
        <f>[1]Sheet1!I16</f>
        <v>Danilo Tauil - GM TecVoc</v>
      </c>
      <c r="J16" s="59" t="str">
        <f>[1]Sheet1!J16</f>
        <v>Paola Mora</v>
      </c>
      <c r="K16" s="59">
        <f>[1]Sheet1!K16</f>
        <v>0</v>
      </c>
      <c r="L16" s="59" t="str">
        <f>[1]Sheet1!L16</f>
        <v>Ángela Lucano</v>
      </c>
      <c r="M16" s="68">
        <f>[1]Sheet1!M16</f>
        <v>46081</v>
      </c>
      <c r="N16" s="68" t="str">
        <f>[1]Sheet1!N16</f>
        <v>No</v>
      </c>
      <c r="O16" s="59" t="str">
        <f>[1]Sheet1!O16</f>
        <v> </v>
      </c>
      <c r="P16" s="59">
        <f>[1]Sheet1!P16</f>
        <v>0</v>
      </c>
      <c r="Q16" s="59" t="str">
        <f>[1]Sheet1!Q16</f>
        <v>Otro</v>
      </c>
      <c r="R16" s="59" t="str">
        <f>[1]Sheet1!R16</f>
        <v>Impacto, los docentes tiene que validar antes de tomar lista la consistencia de la información. Valida la lista de alumnos. Este tiempo impacto en el desempeño de la clases. Riesgos de deserción de alumnos al no aparecer en la lista de asistencia.</v>
      </c>
      <c r="S16" s="59">
        <f>[1]Sheet1!S16</f>
        <v>0</v>
      </c>
      <c r="T16" s="59"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59">
        <f>[1]Sheet1!U16</f>
        <v>0</v>
      </c>
      <c r="V16" s="59" t="str">
        <f>[1]Sheet1!V16</f>
        <v>Excelencia Operativa</v>
      </c>
      <c r="W16" s="59" t="str">
        <f>[1]Sheet1!W16</f>
        <v>No</v>
      </c>
      <c r="X16" s="59">
        <f>[1]Sheet1!X16</f>
        <v>0</v>
      </c>
      <c r="Y16" s="59" t="str">
        <f>[1]Sheet1!Y16</f>
        <v>Mejora calidad de servicio.
Reducir el riesgo de deserción alumnos.</v>
      </c>
      <c r="Z16" s="59" t="str">
        <f>[1]Sheet1!Z16</f>
        <v>https://educorpperu-my.sharepoint.com/personal/diana_zapata_laureate_pe1/_layouts/15/Doc.aspx?sourcedoc=%7BCABCAFC8-A16F-4590-A579-6FA25A77E247%7D&amp;file=Comite%20gestion%20Problemas_Eduardo%20Paul%20Aguilar.pptx&amp;action=edit&amp;mobileredirect=true</v>
      </c>
      <c r="AA16" s="59">
        <f>[1]Sheet1!AA16</f>
        <v>0.30000000000000004</v>
      </c>
    </row>
    <row r="17" spans="1:27" ht="45.95" customHeight="1">
      <c r="A17" s="59">
        <f>[1]Sheet1!A17</f>
        <v>36</v>
      </c>
      <c r="B17" s="220">
        <f>[1]Sheet1!B17</f>
        <v>46055.426388888889</v>
      </c>
      <c r="C17" s="220">
        <f>[1]Sheet1!C17</f>
        <v>46055.469444444447</v>
      </c>
      <c r="D17" s="59" t="str">
        <f>[1]Sheet1!D17</f>
        <v>carla.arias@upn.edu.pe</v>
      </c>
      <c r="E17" s="59" t="str">
        <f>[1]Sheet1!E17</f>
        <v>Carla Arias Schreiber Ulloa</v>
      </c>
      <c r="F17" s="59" t="str">
        <f>[1]Sheet1!F17</f>
        <v>Adelantar el primer horario diario de sincronización de data en CRM.</v>
      </c>
      <c r="G17" s="59"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59" t="str">
        <f>[1]Sheet1!H17</f>
        <v>UPN</v>
      </c>
      <c r="I17" s="59" t="str">
        <f>[1]Sheet1!I17</f>
        <v>Ivan Olivares - VP Marketing y Comercial</v>
      </c>
      <c r="J17" s="59" t="str">
        <f>[1]Sheet1!J17</f>
        <v xml:space="preserve">Alvaro Verástegui </v>
      </c>
      <c r="K17" s="59">
        <f>[1]Sheet1!K17</f>
        <v>0</v>
      </c>
      <c r="L17" s="59" t="str">
        <f>[1]Sheet1!L17</f>
        <v>Carla Arias-Schreiber</v>
      </c>
      <c r="M17" s="68">
        <f>[1]Sheet1!M17</f>
        <v>46068</v>
      </c>
      <c r="N17" s="68" t="str">
        <f>[1]Sheet1!N17</f>
        <v>No</v>
      </c>
      <c r="O17" s="59" t="str">
        <f>[1]Sheet1!O17</f>
        <v> </v>
      </c>
      <c r="P17" s="59">
        <f>[1]Sheet1!P17</f>
        <v>0</v>
      </c>
      <c r="Q17" s="59" t="str">
        <f>[1]Sheet1!Q17</f>
        <v>Otro</v>
      </c>
      <c r="R17" s="59"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59">
        <f>[1]Sheet1!S17</f>
        <v>0</v>
      </c>
      <c r="T17" s="59" t="str">
        <f>[1]Sheet1!T17</f>
        <v>Estrategia Comercial</v>
      </c>
      <c r="U17" s="59">
        <f>[1]Sheet1!U17</f>
        <v>0</v>
      </c>
      <c r="V17" s="59" t="str">
        <f>[1]Sheet1!V17</f>
        <v>Crecimiento escalable</v>
      </c>
      <c r="W17" s="59" t="str">
        <f>[1]Sheet1!W17</f>
        <v>No</v>
      </c>
      <c r="X17" s="59">
        <f>[1]Sheet1!X17</f>
        <v>0</v>
      </c>
      <c r="Y17" s="59" t="str">
        <f>[1]Sheet1!Y17</f>
        <v>Falta de información actualizada para la toma de decisiones estratégicas.</v>
      </c>
      <c r="Z17" s="59" t="str">
        <f>[1]Sheet1!Z17</f>
        <v>https://educorpperu-my.sharepoint.com/personal/diana_zapata_laureate_pe1/_layouts/15/Doc.aspx?sourcedoc=%7BBAAADD7D-7CDA-4090-B002-FFC2BF1B3DF3%7D&amp;file=Problema%20con%20BI%20Corp_Carla%20Arias%20Schreibe.xlsx&amp;action=default&amp;mobileredirect=true</v>
      </c>
      <c r="AA17" s="59">
        <f>[1]Sheet1!AA17</f>
        <v>0.5</v>
      </c>
    </row>
    <row r="18" spans="1:27" ht="45.95" customHeight="1">
      <c r="A18" s="59">
        <f>[1]Sheet1!A18</f>
        <v>37</v>
      </c>
      <c r="B18" s="220">
        <f>[1]Sheet1!B18</f>
        <v>46055.469444444447</v>
      </c>
      <c r="C18" s="220">
        <f>[1]Sheet1!C18</f>
        <v>46055.481249999997</v>
      </c>
      <c r="D18" s="59" t="str">
        <f>[1]Sheet1!D18</f>
        <v>carla.arias@upn.edu.pe</v>
      </c>
      <c r="E18" s="59" t="str">
        <f>[1]Sheet1!E18</f>
        <v>Carla Arias Schreiber Ulloa</v>
      </c>
      <c r="F18" s="59" t="str">
        <f>[1]Sheet1!F18</f>
        <v>Mejora de RPA Horarios para estudiantes nuevos convalidantes</v>
      </c>
      <c r="G18" s="59"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59" t="str">
        <f>[1]Sheet1!H18</f>
        <v>UPN</v>
      </c>
      <c r="I18" s="59" t="str">
        <f>[1]Sheet1!I18</f>
        <v>Ivan Olivares - VP Marketing y Comercial</v>
      </c>
      <c r="J18" s="59" t="str">
        <f>[1]Sheet1!J18</f>
        <v xml:space="preserve">Saby Granda </v>
      </c>
      <c r="K18" s="59">
        <f>[1]Sheet1!K18</f>
        <v>0</v>
      </c>
      <c r="L18" s="59" t="str">
        <f>[1]Sheet1!L18</f>
        <v>Carla Arias-Schreiber</v>
      </c>
      <c r="M18" s="68">
        <f>[1]Sheet1!M18</f>
        <v>46056</v>
      </c>
      <c r="N18" s="68" t="str">
        <f>[1]Sheet1!N18</f>
        <v>No</v>
      </c>
      <c r="O18" s="59" t="str">
        <f>[1]Sheet1!O18</f>
        <v> </v>
      </c>
      <c r="P18" s="59">
        <f>[1]Sheet1!P18</f>
        <v>0</v>
      </c>
      <c r="Q18" s="59" t="str">
        <f>[1]Sheet1!Q18</f>
        <v>Otro</v>
      </c>
      <c r="R18" s="59" t="str">
        <f>[1]Sheet1!R18</f>
        <v>Impacto operativo en el proceso de new enrollment. Actualmente el RPA matricula a todos los estudiantes en el módulo 1, y el equipo de S.A. tiene que ajustar los horarios manualmente. Esto lentifica el cumplimiento de metas de matrícula.</v>
      </c>
      <c r="S18" s="59">
        <f>[1]Sheet1!S18</f>
        <v>0</v>
      </c>
      <c r="T18" s="59" t="str">
        <f>[1]Sheet1!T18</f>
        <v>Registro de horarios de nuevos estudiantes</v>
      </c>
      <c r="U18" s="59">
        <f>[1]Sheet1!U18</f>
        <v>0</v>
      </c>
      <c r="V18" s="59" t="str">
        <f>[1]Sheet1!V18</f>
        <v>Crecimiento escalable</v>
      </c>
      <c r="W18" s="59" t="str">
        <f>[1]Sheet1!W18</f>
        <v>No</v>
      </c>
      <c r="X18" s="59">
        <f>[1]Sheet1!X18</f>
        <v>0</v>
      </c>
      <c r="Y18" s="59" t="str">
        <f>[1]Sheet1!Y18</f>
        <v>Mejorar la experiencia de estudiantes nuevos en la recepción de sus horarios.
Minimizar carga operativa en equipo de Secretaría Académica</v>
      </c>
      <c r="Z18" s="59" t="str">
        <f>[1]Sheet1!Z18</f>
        <v>https://educorpperu-my.sharepoint.com/personal/diana_zapata_laureate_pe1/Documents/Aplicaciones/Microsoft%20Forms/REGISTRO%20DE%20INICIATIVAS/Pregunta/Captura%20de%20pantalla%202026-02-02%20113238_Carla%20Arias%20Schreibe.png</v>
      </c>
      <c r="AA18" s="59">
        <f>[1]Sheet1!AA18</f>
        <v>0.5</v>
      </c>
    </row>
    <row r="19" spans="1:27" ht="45.95" customHeight="1">
      <c r="A19" s="59">
        <f>[1]Sheet1!A19</f>
        <v>38</v>
      </c>
      <c r="B19" s="220">
        <f>[1]Sheet1!B19</f>
        <v>46056.961805555555</v>
      </c>
      <c r="C19" s="220">
        <f>[1]Sheet1!C19</f>
        <v>46056.992361111108</v>
      </c>
      <c r="D19" s="59" t="str">
        <f>[1]Sheet1!D19</f>
        <v>eduardo.paul@cibertec.pe</v>
      </c>
      <c r="E19" s="59" t="str">
        <f>[1]Sheet1!E19</f>
        <v>Eduardo Paul Aguilar</v>
      </c>
      <c r="F19" s="59" t="str">
        <f>[1]Sheet1!F19</f>
        <v>Extraccion de Datos Para retención.</v>
      </c>
      <c r="G19" s="59"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59" t="str">
        <f>[1]Sheet1!H19</f>
        <v>CIB</v>
      </c>
      <c r="I19" s="59" t="str">
        <f>[1]Sheet1!I19</f>
        <v>Danilo Tauil - GM TecVoc</v>
      </c>
      <c r="J19" s="59" t="str">
        <f>[1]Sheet1!J19</f>
        <v>Francis Siancas</v>
      </c>
      <c r="K19" s="59">
        <f>[1]Sheet1!K19</f>
        <v>0</v>
      </c>
      <c r="L19" s="59" t="str">
        <f>[1]Sheet1!L19</f>
        <v>Frank Palomino</v>
      </c>
      <c r="M19" s="68">
        <f>[1]Sheet1!M19</f>
        <v>46070</v>
      </c>
      <c r="N19" s="68" t="str">
        <f>[1]Sheet1!N19</f>
        <v>No</v>
      </c>
      <c r="O19" s="59" t="str">
        <f>[1]Sheet1!O19</f>
        <v> </v>
      </c>
      <c r="P19" s="59">
        <f>[1]Sheet1!P19</f>
        <v>0</v>
      </c>
      <c r="Q19" s="59" t="str">
        <f>[1]Sheet1!Q19</f>
        <v>Otro</v>
      </c>
      <c r="R19" s="59" t="str">
        <f>[1]Sheet1!R19</f>
        <v xml:space="preserve">No se tiene identificado aquellos alumnos que podrian desertar y retirarse del curso. actualmente esto se identifica el proximo ciclo cuando el alumno ya perdió el ciclo anterior. </v>
      </c>
      <c r="S19" s="59">
        <f>[1]Sheet1!S19</f>
        <v>0</v>
      </c>
      <c r="T19" s="59" t="str">
        <f>[1]Sheet1!T19</f>
        <v>Proceso de retención y proceso de matricula.</v>
      </c>
      <c r="U19" s="59">
        <f>[1]Sheet1!U19</f>
        <v>0</v>
      </c>
      <c r="V19" s="59" t="str">
        <f>[1]Sheet1!V19</f>
        <v>Crecimiento escalable</v>
      </c>
      <c r="W19" s="59" t="str">
        <f>[1]Sheet1!W19</f>
        <v>No</v>
      </c>
      <c r="X19" s="59">
        <f>[1]Sheet1!X19</f>
        <v>0</v>
      </c>
      <c r="Y19" s="59" t="str">
        <f>[1]Sheet1!Y19</f>
        <v>Reducir esfuerzos posteriores, luego que el alumno a desertado.</v>
      </c>
      <c r="Z19" s="59" t="str">
        <f>[1]Sheet1!Z19</f>
        <v> </v>
      </c>
      <c r="AA19" s="59">
        <f>[1]Sheet1!AA19</f>
        <v>0.5</v>
      </c>
    </row>
    <row r="20" spans="1:27" ht="45.95" customHeight="1">
      <c r="A20" s="59">
        <f>[1]Sheet1!A20</f>
        <v>39</v>
      </c>
      <c r="B20" s="220">
        <f>[1]Sheet1!B20</f>
        <v>46057.382638888892</v>
      </c>
      <c r="C20" s="220">
        <f>[1]Sheet1!C20</f>
        <v>46057.402083333334</v>
      </c>
      <c r="D20" s="59" t="str">
        <f>[1]Sheet1!D20</f>
        <v>giancarlo.villacorta@upc.pe</v>
      </c>
      <c r="E20" s="59" t="str">
        <f>[1]Sheet1!E20</f>
        <v>Giancarlo Villacorta Quiñones</v>
      </c>
      <c r="F20" s="59" t="str">
        <f>[1]Sheet1!F20</f>
        <v>Implementación de un proceso automatizado en Banner para la generación de turnos de Planificación Horaria</v>
      </c>
      <c r="G20" s="59"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59" t="str">
        <f>[1]Sheet1!H20</f>
        <v>UPC</v>
      </c>
      <c r="I20" s="59" t="str">
        <f>[1]Sheet1!I20</f>
        <v>Milagros Morgan - Rectorado UPC</v>
      </c>
      <c r="J20" s="59" t="str">
        <f>[1]Sheet1!J20</f>
        <v xml:space="preserve">Miguel Chang </v>
      </c>
      <c r="K20" s="59">
        <f>[1]Sheet1!K20</f>
        <v>0</v>
      </c>
      <c r="L20" s="59" t="str">
        <f>[1]Sheet1!L20</f>
        <v>Carla Arias-Schreiber</v>
      </c>
      <c r="M20" s="68">
        <f>[1]Sheet1!M20</f>
        <v>46094</v>
      </c>
      <c r="N20" s="68" t="str">
        <f>[1]Sheet1!N20</f>
        <v>No</v>
      </c>
      <c r="O20" s="59" t="str">
        <f>[1]Sheet1!O20</f>
        <v> </v>
      </c>
      <c r="P20" s="59">
        <f>[1]Sheet1!P20</f>
        <v>0</v>
      </c>
      <c r="Q20" s="59" t="str">
        <f>[1]Sheet1!Q20</f>
        <v>Otro</v>
      </c>
      <c r="R20" s="59"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59">
        <f>[1]Sheet1!S20</f>
        <v>0</v>
      </c>
      <c r="T20" s="59" t="str">
        <f>[1]Sheet1!T20</f>
        <v>Generación de turnos para la Planificación Horaria (gestión administrativa).
Acceso e interacción de los alumnos con la Planificación Horaria.
Matrícula</v>
      </c>
      <c r="U20" s="59">
        <f>[1]Sheet1!U20</f>
        <v>0</v>
      </c>
      <c r="V20" s="59" t="str">
        <f>[1]Sheet1!V20</f>
        <v>Excelencia Operativa</v>
      </c>
      <c r="W20" s="59" t="str">
        <f>[1]Sheet1!W20</f>
        <v>No</v>
      </c>
      <c r="X20" s="59">
        <f>[1]Sheet1!X20</f>
        <v>0</v>
      </c>
      <c r="Y20" s="59"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59" t="str">
        <f>[1]Sheet1!Z20</f>
        <v>https://educorpperu-my.sharepoint.com/personal/diana_zapata_laureate_pe1/_layouts/15/Doc.aspx?sourcedoc=%7BDFC21620-6800-4A8A-BA6E-F348AECF7EBE%7D&amp;file=Solicitud%20de%20requerimientos_Mejora%20para%20la%20Pl_Giancarlo%20Villacorta.pptx&amp;action=edit&amp;mobileredirect=true</v>
      </c>
      <c r="AA20" s="59">
        <f>[1]Sheet1!AA20</f>
        <v>0.30000000000000004</v>
      </c>
    </row>
    <row r="21" spans="1:27" ht="45.95" customHeight="1">
      <c r="A21" s="59">
        <f>[1]Sheet1!A21</f>
        <v>40</v>
      </c>
      <c r="B21" s="220">
        <f>[1]Sheet1!B21</f>
        <v>46057.40347222222</v>
      </c>
      <c r="C21" s="220">
        <f>[1]Sheet1!C21</f>
        <v>46057.461805555555</v>
      </c>
      <c r="D21" s="59" t="str">
        <f>[1]Sheet1!D21</f>
        <v>giancarlo.villacorta@upc.pe</v>
      </c>
      <c r="E21" s="59" t="str">
        <f>[1]Sheet1!E21</f>
        <v>Giancarlo Villacorta Quiñones</v>
      </c>
      <c r="F21" s="59" t="str">
        <f>[1]Sheet1!F21</f>
        <v>Deshabilitar la landing actual de actualización de datos para alumnos de Pregrado y EPE de la UPC, estableciendo al Portal Mi UPC como el único canal habilitado para la actualización de su información personal.</v>
      </c>
      <c r="G21" s="59"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59" t="str">
        <f>[1]Sheet1!H21</f>
        <v>UPC</v>
      </c>
      <c r="I21" s="59" t="str">
        <f>[1]Sheet1!I21</f>
        <v>Mónica García - VP Operaciones Digitales y Online</v>
      </c>
      <c r="J21" s="59" t="str">
        <f>[1]Sheet1!J21</f>
        <v xml:space="preserve">Jose Castillo </v>
      </c>
      <c r="K21" s="59">
        <f>[1]Sheet1!K21</f>
        <v>0</v>
      </c>
      <c r="L21" s="59" t="str">
        <f>[1]Sheet1!L21</f>
        <v>Ángela Lucano</v>
      </c>
      <c r="M21" s="68">
        <f>[1]Sheet1!M21</f>
        <v>46101</v>
      </c>
      <c r="N21" s="68" t="str">
        <f>[1]Sheet1!N21</f>
        <v>No</v>
      </c>
      <c r="O21" s="59" t="str">
        <f>[1]Sheet1!O21</f>
        <v> </v>
      </c>
      <c r="P21" s="59">
        <f>[1]Sheet1!P21</f>
        <v>0</v>
      </c>
      <c r="Q21" s="59" t="str">
        <f>[1]Sheet1!Q21</f>
        <v>Otro</v>
      </c>
      <c r="R21" s="59"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59">
        <f>[1]Sheet1!S21</f>
        <v>0</v>
      </c>
      <c r="T21" s="59" t="str">
        <f>[1]Sheet1!T21</f>
        <v>Actualización de datos, Ejecución de campañas de retención</v>
      </c>
      <c r="U21" s="59">
        <f>[1]Sheet1!U21</f>
        <v>0</v>
      </c>
      <c r="V21" s="59" t="str">
        <f>[1]Sheet1!V21</f>
        <v>Excelencia operativa</v>
      </c>
      <c r="W21" s="59" t="str">
        <f>[1]Sheet1!W21</f>
        <v>No</v>
      </c>
      <c r="X21" s="59">
        <f>[1]Sheet1!X21</f>
        <v>0</v>
      </c>
      <c r="Y21" s="59"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59" t="str">
        <f>[1]Sheet1!Z21</f>
        <v>https://educorpperu-my.sharepoint.com/personal/diana_zapata_laureate_pe1/_layouts/15/Doc.aspx?sourcedoc=%7B942DDD4C-2472-4E72-9455-38659628E317%7D&amp;file=Solicitud%20de%20requerimientos%20Cambio%20en%20formula_Giancarlo%20Villacorta.pptx&amp;action=edit&amp;mobileredirect=true</v>
      </c>
      <c r="AA21" s="59">
        <f>[1]Sheet1!AA21</f>
        <v>0.30000000000000004</v>
      </c>
    </row>
    <row r="22" spans="1:27" ht="45.95" customHeight="1">
      <c r="A22" s="59">
        <f>[1]Sheet1!A22</f>
        <v>41</v>
      </c>
      <c r="B22" s="220">
        <f>[1]Sheet1!B22</f>
        <v>46055.481249999997</v>
      </c>
      <c r="C22" s="220">
        <f>[1]Sheet1!C22</f>
        <v>46057.622916666667</v>
      </c>
      <c r="D22" s="59" t="str">
        <f>[1]Sheet1!D22</f>
        <v>carla.arias@upn.edu.pe</v>
      </c>
      <c r="E22" s="59" t="str">
        <f>[1]Sheet1!E22</f>
        <v>Carla Arias Schreiber Ulloa</v>
      </c>
      <c r="F22" s="59" t="str">
        <f>[1]Sheet1!F22</f>
        <v>Incluir en Portal Docente documentos oficiales de procesos institucionales</v>
      </c>
      <c r="G22" s="59"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59" t="str">
        <f>[1]Sheet1!H22</f>
        <v>UPN</v>
      </c>
      <c r="I22" s="59" t="str">
        <f>[1]Sheet1!I22</f>
        <v>Rossina Caballero - VP Legal</v>
      </c>
      <c r="J22" s="59" t="str">
        <f>[1]Sheet1!J22</f>
        <v xml:space="preserve">Jorge Santa Cruz </v>
      </c>
      <c r="K22" s="59">
        <f>[1]Sheet1!K22</f>
        <v>0</v>
      </c>
      <c r="L22" s="59" t="str">
        <f>[1]Sheet1!L22</f>
        <v>Gerson Vereau</v>
      </c>
      <c r="M22" s="68">
        <f>[1]Sheet1!M22</f>
        <v>46108</v>
      </c>
      <c r="N22" s="68" t="str">
        <f>[1]Sheet1!N22</f>
        <v>No</v>
      </c>
      <c r="O22" s="59" t="str">
        <f>[1]Sheet1!O22</f>
        <v> </v>
      </c>
      <c r="P22" s="59">
        <f>[1]Sheet1!P22</f>
        <v>0</v>
      </c>
      <c r="Q22" s="59" t="str">
        <f>[1]Sheet1!Q22</f>
        <v>Legal</v>
      </c>
      <c r="R22" s="59"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59">
        <f>[1]Sheet1!S22</f>
        <v>0</v>
      </c>
      <c r="T22" s="59" t="str">
        <f>[1]Sheet1!T22</f>
        <v>Gestión de documentos de procesos
Enseñanza y aprendizaje (porque los documentos/ formatos son utilizados por nuestros docentes)</v>
      </c>
      <c r="U22" s="59" t="str">
        <f>[1]Sheet1!U22</f>
        <v>Docentes</v>
      </c>
      <c r="V22" s="59" t="str">
        <f>[1]Sheet1!V22</f>
        <v>Excelencia académica</v>
      </c>
      <c r="W22" s="59" t="str">
        <f>[1]Sheet1!W22</f>
        <v>No</v>
      </c>
      <c r="X22" s="59" t="str">
        <f>[1]Sheet1!X22</f>
        <v>Menor a S/100,000.00</v>
      </c>
      <c r="Y22" s="59" t="str">
        <f>[1]Sheet1!Y22</f>
        <v>Normativa ISO9001, ISO21001</v>
      </c>
      <c r="Z22" s="59" t="str">
        <f>[1]Sheet1!Z22</f>
        <v>https://educorpperu-my.sharepoint.com/personal/diana_zapata_laureate_pe1/_layouts/15/Doc.aspx?sourcedoc=%7B43CEA300-E8D6-49E1-917A-88AA73C7FCA0%7D&amp;file=Solicitud%20de%20requerimientos%20Idea%20nueva%20y%20mejo_Carla%20Arias%20Schreibe.pptx&amp;action=edit&amp;mobileredirect=true</v>
      </c>
      <c r="AA22" s="59">
        <f>[1]Sheet1!AA22</f>
        <v>2.9</v>
      </c>
    </row>
    <row r="23" spans="1:27" ht="45.95" customHeight="1">
      <c r="A23" s="59">
        <f>[1]Sheet1!A23</f>
        <v>42</v>
      </c>
      <c r="B23" s="220">
        <f>[1]Sheet1!B23</f>
        <v>46057.825694444444</v>
      </c>
      <c r="C23" s="220">
        <f>[1]Sheet1!C23</f>
        <v>46057.843055555553</v>
      </c>
      <c r="D23" s="59" t="str">
        <f>[1]Sheet1!D23</f>
        <v>carlos.sanchez@laureate.pe</v>
      </c>
      <c r="E23" s="59" t="str">
        <f>[1]Sheet1!E23</f>
        <v>Carlos Sanchez Rubio</v>
      </c>
      <c r="F23" s="59" t="str">
        <f>[1]Sheet1!F23</f>
        <v>Remediación de Vulnerabilidades Banner UPN - Actualización Karaf</v>
      </c>
      <c r="G23" s="59"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59" t="str">
        <f>[1]Sheet1!H23</f>
        <v>UPN</v>
      </c>
      <c r="I23" s="59" t="str">
        <f>[1]Sheet1!I23</f>
        <v>Donoban Meza - Director Corp IT Security</v>
      </c>
      <c r="J23" s="59" t="str">
        <f>[1]Sheet1!J23</f>
        <v>Carlos Sánchez</v>
      </c>
      <c r="K23" s="59">
        <f>[1]Sheet1!K23</f>
        <v>0</v>
      </c>
      <c r="L23" s="59" t="str">
        <f>[1]Sheet1!L23</f>
        <v>Ninguno</v>
      </c>
      <c r="M23" s="68">
        <f>[1]Sheet1!M23</f>
        <v>46081</v>
      </c>
      <c r="N23" s="68" t="str">
        <f>[1]Sheet1!N23</f>
        <v>No</v>
      </c>
      <c r="O23" s="59" t="str">
        <f>[1]Sheet1!O23</f>
        <v> </v>
      </c>
      <c r="P23" s="59">
        <f>[1]Sheet1!P23</f>
        <v>0</v>
      </c>
      <c r="Q23" s="59" t="str">
        <f>[1]Sheet1!Q23</f>
        <v>Seguridad TI</v>
      </c>
      <c r="R23" s="59"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59">
        <f>[1]Sheet1!S23</f>
        <v>0</v>
      </c>
      <c r="T23" s="59"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59" t="str">
        <f>[1]Sheet1!U23</f>
        <v>Ninguno</v>
      </c>
      <c r="V23" s="59" t="str">
        <f>[1]Sheet1!V23</f>
        <v>Excelencia operativa</v>
      </c>
      <c r="W23" s="59" t="str">
        <f>[1]Sheet1!W23</f>
        <v>No</v>
      </c>
      <c r="X23" s="59" t="str">
        <f>[1]Sheet1!X23</f>
        <v>No cuantificado o S/0</v>
      </c>
      <c r="Y23" s="59" t="str">
        <f>[1]Sheet1!Y23</f>
        <v>Mejora la confianza de nuestros stakeholders y clientes al contar con sistemas seguros, y por consiguiente, mantiene una buena reputación para la organización.</v>
      </c>
      <c r="Z23" s="59"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59">
        <f>[1]Sheet1!AA23</f>
        <v>1.3499999999999999</v>
      </c>
    </row>
    <row r="24" spans="1:27" ht="45.95" customHeight="1">
      <c r="A24" s="59">
        <f>[1]Sheet1!A24</f>
        <v>43</v>
      </c>
      <c r="B24" s="220">
        <f>[1]Sheet1!B24</f>
        <v>46059.399305555555</v>
      </c>
      <c r="C24" s="220">
        <f>[1]Sheet1!C24</f>
        <v>46059.404166666667</v>
      </c>
      <c r="D24" s="59" t="str">
        <f>[1]Sheet1!D24</f>
        <v>giancarlo.villacorta@upc.pe</v>
      </c>
      <c r="E24" s="59" t="str">
        <f>[1]Sheet1!E24</f>
        <v>Giancarlo Villacorta Quiñones</v>
      </c>
      <c r="F24" s="59" t="str">
        <f>[1]Sheet1!F24</f>
        <v>Automatización del proceso de selección e inscripción de electivos EPG</v>
      </c>
      <c r="G24" s="59"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59" t="str">
        <f>[1]Sheet1!H24</f>
        <v>UPC</v>
      </c>
      <c r="I24" s="59" t="str">
        <f>[1]Sheet1!I24</f>
        <v>Milagros Morgan - Rectorado UPC</v>
      </c>
      <c r="J24" s="59" t="str">
        <f>[1]Sheet1!J24</f>
        <v>Shoana Barragán</v>
      </c>
      <c r="K24" s="59">
        <f>[1]Sheet1!K24</f>
        <v>0</v>
      </c>
      <c r="L24" s="59" t="str">
        <f>[1]Sheet1!L24</f>
        <v>Carla Arias-Schreiber</v>
      </c>
      <c r="M24" s="68">
        <f>[1]Sheet1!M24</f>
        <v>46188</v>
      </c>
      <c r="N24" s="68" t="str">
        <f>[1]Sheet1!N24</f>
        <v>No</v>
      </c>
      <c r="O24" s="59" t="str">
        <f>[1]Sheet1!O24</f>
        <v> </v>
      </c>
      <c r="P24" s="59">
        <f>[1]Sheet1!P24</f>
        <v>0</v>
      </c>
      <c r="Q24" s="59" t="str">
        <f>[1]Sheet1!Q24</f>
        <v>Otro</v>
      </c>
      <c r="R24" s="59"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59">
        <f>[1]Sheet1!S24</f>
        <v>0</v>
      </c>
      <c r="T24" s="59" t="str">
        <f>[1]Sheet1!T24</f>
        <v>Matrícula EPG</v>
      </c>
      <c r="U24" s="59">
        <f>[1]Sheet1!U24</f>
        <v>0</v>
      </c>
      <c r="V24" s="59" t="str">
        <f>[1]Sheet1!V24</f>
        <v>Excelencia académica</v>
      </c>
      <c r="W24" s="59" t="str">
        <f>[1]Sheet1!W24</f>
        <v>No</v>
      </c>
      <c r="X24" s="59">
        <f>[1]Sheet1!X24</f>
        <v>0</v>
      </c>
      <c r="Y24" s="59"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59" t="str">
        <f>[1]Sheet1!Z24</f>
        <v>https://educorpperu-my.sharepoint.com/personal/diana_zapata_laureate_pe1/_layouts/15/Doc.aspx?sourcedoc=%7B5CA4BA41-74DC-437B-AFED-FAACD7590FCE%7D&amp;file=Solicitud%20de%20requerimientos%20Nueva%20automatizac_Giancarlo%20Villacorta.pptx&amp;action=edit&amp;mobileredirect=true</v>
      </c>
      <c r="AA24" s="59">
        <f>[1]Sheet1!AA24</f>
        <v>0.5</v>
      </c>
    </row>
    <row r="25" spans="1:27" ht="45.95" customHeight="1">
      <c r="A25" s="59">
        <f>[1]Sheet1!A25</f>
        <v>45</v>
      </c>
      <c r="B25" s="220">
        <f>[1]Sheet1!B25</f>
        <v>46064.797222222223</v>
      </c>
      <c r="C25" s="220">
        <f>[1]Sheet1!C25</f>
        <v>46064.828472222223</v>
      </c>
      <c r="D25" s="59" t="str">
        <f>[1]Sheet1!D25</f>
        <v>carlos.oviedo@upn.edu.pe</v>
      </c>
      <c r="E25" s="59" t="str">
        <f>[1]Sheet1!E25</f>
        <v>Carlos Oviedo Bolaños</v>
      </c>
      <c r="F25" s="59" t="str">
        <f>[1]Sheet1!F25</f>
        <v>Aumentar retención de estudiantes con cursos activos anticipadamente en Blackboard</v>
      </c>
      <c r="G25" s="59" t="str">
        <f>[1]Sheet1!G25</f>
        <v>Habilitar de manera oportuna las clases del primer ciclo para estudiantes de carreras a distancia, con el objetivo de fortalecer el proceso de venta, y mantener el engagement del estudiante desde el proceso de matrícula.</v>
      </c>
      <c r="H25" s="59" t="str">
        <f>[1]Sheet1!H25</f>
        <v>UPN</v>
      </c>
      <c r="I25" s="59" t="str">
        <f>[1]Sheet1!I25</f>
        <v>Mónica García - VP Operaciones Digitales y Online</v>
      </c>
      <c r="J25" s="59" t="str">
        <f>[1]Sheet1!J25</f>
        <v xml:space="preserve">Carlos Oviedo </v>
      </c>
      <c r="K25" s="59">
        <f>[1]Sheet1!K25</f>
        <v>0</v>
      </c>
      <c r="L25" s="59" t="str">
        <f>[1]Sheet1!L25</f>
        <v>Gerson Vereau</v>
      </c>
      <c r="M25" s="68">
        <f>[1]Sheet1!M25</f>
        <v>46066</v>
      </c>
      <c r="N25" s="68" t="str">
        <f>[1]Sheet1!N25</f>
        <v>No</v>
      </c>
      <c r="O25" s="59" t="str">
        <f>[1]Sheet1!O25</f>
        <v> </v>
      </c>
      <c r="P25" s="59">
        <f>[1]Sheet1!P25</f>
        <v>0</v>
      </c>
      <c r="Q25" s="59" t="str">
        <f>[1]Sheet1!Q25</f>
        <v>Otro</v>
      </c>
      <c r="R25" s="59"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59">
        <f>[1]Sheet1!S25</f>
        <v>0</v>
      </c>
      <c r="T25" s="59" t="str">
        <f>[1]Sheet1!T25</f>
        <v>Proceso de venta, Onboarding y Clonación en Blackboard</v>
      </c>
      <c r="U25" s="59">
        <f>[1]Sheet1!U25</f>
        <v>0</v>
      </c>
      <c r="V25" s="59" t="str">
        <f>[1]Sheet1!V25</f>
        <v>Experiencia</v>
      </c>
      <c r="W25" s="59" t="str">
        <f>[1]Sheet1!W25</f>
        <v>No</v>
      </c>
      <c r="X25" s="59">
        <f>[1]Sheet1!X25</f>
        <v>0</v>
      </c>
      <c r="Y25" s="59" t="str">
        <f>[1]Sheet1!Y25</f>
        <v>Mejorar la experiencia académica y engagement de los nuevos estudiantes.</v>
      </c>
      <c r="Z25" s="59"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59">
        <f>[1]Sheet1!AA25</f>
        <v>0.4</v>
      </c>
    </row>
    <row r="26" spans="1:27" ht="45.95" customHeight="1">
      <c r="A26" s="59">
        <f>[1]Sheet1!A26</f>
        <v>46</v>
      </c>
      <c r="B26" s="220">
        <f>[1]Sheet1!B26</f>
        <v>46065.35</v>
      </c>
      <c r="C26" s="220">
        <f>[1]Sheet1!C26</f>
        <v>46065.393055555556</v>
      </c>
      <c r="D26" s="59" t="str">
        <f>[1]Sheet1!D26</f>
        <v>daniel.cino@upc.pe</v>
      </c>
      <c r="E26" s="59" t="str">
        <f>[1]Sheet1!E26</f>
        <v>Daniel Cino Barreda</v>
      </c>
      <c r="F26" s="59" t="str">
        <f>[1]Sheet1!F26</f>
        <v>desplegable de fecha en el tramite de reprogramación de pruebas para deportistas destacadas</v>
      </c>
      <c r="G26" s="59"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59" t="str">
        <f>[1]Sheet1!H26</f>
        <v>UPC</v>
      </c>
      <c r="I26" s="59" t="str">
        <f>[1]Sheet1!I26</f>
        <v>Milagros Morgan - Rectorado UPC</v>
      </c>
      <c r="J26" s="59" t="str">
        <f>[1]Sheet1!J26</f>
        <v xml:space="preserve">Javiera Alcazar </v>
      </c>
      <c r="K26" s="59">
        <f>[1]Sheet1!K26</f>
        <v>0</v>
      </c>
      <c r="L26" s="59" t="str">
        <f>[1]Sheet1!L26</f>
        <v>Ángela Lucano</v>
      </c>
      <c r="M26" s="68">
        <f>[1]Sheet1!M26</f>
        <v>46110</v>
      </c>
      <c r="N26" s="68" t="str">
        <f>[1]Sheet1!N26</f>
        <v>No</v>
      </c>
      <c r="O26" s="59" t="str">
        <f>[1]Sheet1!O26</f>
        <v> </v>
      </c>
      <c r="P26" s="59">
        <f>[1]Sheet1!P26</f>
        <v>0</v>
      </c>
      <c r="Q26" s="59" t="str">
        <f>[1]Sheet1!Q26</f>
        <v>Otro</v>
      </c>
      <c r="R26" s="59"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59">
        <f>[1]Sheet1!S26</f>
        <v>0</v>
      </c>
      <c r="T26" s="59" t="str">
        <f>[1]Sheet1!T26</f>
        <v>Solicitud de servicios (reprogramación de pruebas y justificación de inasistencias) de los Deportistas Destacados</v>
      </c>
      <c r="U26" s="59">
        <f>[1]Sheet1!U26</f>
        <v>0</v>
      </c>
      <c r="V26" s="59" t="str">
        <f>[1]Sheet1!V26</f>
        <v>Calidad Académica;Excelencia Operativa;Transformación Digital</v>
      </c>
      <c r="W26" s="59" t="str">
        <f>[1]Sheet1!W26</f>
        <v>Si</v>
      </c>
      <c r="X26" s="59">
        <f>[1]Sheet1!X26</f>
        <v>0</v>
      </c>
      <c r="Y26" s="59"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59" t="str">
        <f>[1]Sheet1!Z26</f>
        <v> </v>
      </c>
      <c r="AA26" s="59">
        <f>[1]Sheet1!AA26</f>
        <v>0</v>
      </c>
    </row>
    <row r="27" spans="1:27" ht="45.95" customHeight="1">
      <c r="A27" s="59">
        <f>[1]Sheet1!A27</f>
        <v>47</v>
      </c>
      <c r="B27" s="220">
        <f>[1]Sheet1!B27</f>
        <v>46059.417361111111</v>
      </c>
      <c r="C27" s="220">
        <f>[1]Sheet1!C27</f>
        <v>46065.659722222219</v>
      </c>
      <c r="D27" s="59" t="str">
        <f>[1]Sheet1!D27</f>
        <v>giancarlo.villacorta@upc.pe</v>
      </c>
      <c r="E27" s="59" t="str">
        <f>[1]Sheet1!E27</f>
        <v>Giancarlo Villacorta Quiñones</v>
      </c>
      <c r="F27" s="59" t="str">
        <f>[1]Sheet1!F27</f>
        <v>Certificaciones Modulares</v>
      </c>
      <c r="G27" s="59"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59" t="str">
        <f>[1]Sheet1!H27</f>
        <v>UPC</v>
      </c>
      <c r="I27" s="59" t="str">
        <f>[1]Sheet1!I27</f>
        <v>Milagros Morgan - Rectorado UPC</v>
      </c>
      <c r="J27" s="59" t="str">
        <f>[1]Sheet1!J27</f>
        <v>Alfredo Hoffmann</v>
      </c>
      <c r="K27" s="59">
        <f>[1]Sheet1!K27</f>
        <v>0</v>
      </c>
      <c r="L27" s="59" t="str">
        <f>[1]Sheet1!L27</f>
        <v>Carla Arias-Schreiber</v>
      </c>
      <c r="M27" s="68">
        <f>[1]Sheet1!M27</f>
        <v>46447</v>
      </c>
      <c r="N27" s="68" t="str">
        <f>[1]Sheet1!N27</f>
        <v>No</v>
      </c>
      <c r="O27" s="59" t="str">
        <f>[1]Sheet1!O27</f>
        <v> </v>
      </c>
      <c r="P27" s="59">
        <f>[1]Sheet1!P27</f>
        <v>0</v>
      </c>
      <c r="Q27" s="59" t="str">
        <f>[1]Sheet1!Q27</f>
        <v>Otro</v>
      </c>
      <c r="R27" s="59"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59">
        <f>[1]Sheet1!S27</f>
        <v>0</v>
      </c>
      <c r="T27" s="59" t="str">
        <f>[1]Sheet1!T27</f>
        <v>Emisión de certificaciones modulares</v>
      </c>
      <c r="U27" s="59" t="str">
        <f>[1]Sheet1!U27</f>
        <v>Alumnos</v>
      </c>
      <c r="V27" s="59" t="str">
        <f>[1]Sheet1!V27</f>
        <v>Student success y empleabilidad</v>
      </c>
      <c r="W27" s="59" t="str">
        <f>[1]Sheet1!W27</f>
        <v>No</v>
      </c>
      <c r="X27" s="59" t="str">
        <f>[1]Sheet1!X27</f>
        <v>Mayor a S/500,000.00</v>
      </c>
      <c r="Y27" s="59" t="str">
        <f>[1]Sheet1!Y27</f>
        <v>Asimismo, se lograría una mejora en competitividad al mejorar la propuesta de valor frente a las universidades e institutos y un mayor valor percibido de los alumnos que se reflejaría en un incremento del NPS.</v>
      </c>
      <c r="Z27" s="59"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59">
        <f>[1]Sheet1!AA27</f>
        <v>1.9</v>
      </c>
    </row>
    <row r="28" spans="1:27" ht="45.95" customHeight="1">
      <c r="A28" s="59">
        <f>[1]Sheet1!A28</f>
        <v>49</v>
      </c>
      <c r="B28" s="220">
        <f>[1]Sheet1!B28</f>
        <v>46069.613194444442</v>
      </c>
      <c r="C28" s="220">
        <f>[1]Sheet1!C28</f>
        <v>46069.666666666664</v>
      </c>
      <c r="D28" s="59" t="str">
        <f>[1]Sheet1!D28</f>
        <v>ronald.benites@laureate.pe</v>
      </c>
      <c r="E28" s="59" t="str">
        <f>[1]Sheet1!E28</f>
        <v>Ronald Benites Vilchez</v>
      </c>
      <c r="F28" s="59" t="str">
        <f>[1]Sheet1!F28</f>
        <v xml:space="preserve"> Horacius integración con aplicativo UPC</v>
      </c>
      <c r="G28" s="59"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59" t="str">
        <f>[1]Sheet1!H28</f>
        <v>LAUREATE</v>
      </c>
      <c r="I28" s="59" t="str">
        <f>[1]Sheet1!I28</f>
        <v>Humberto Marota - Tecnologías y transformación digital</v>
      </c>
      <c r="J28" s="59" t="str">
        <f>[1]Sheet1!J28</f>
        <v xml:space="preserve">Henry Longa </v>
      </c>
      <c r="K28" s="59">
        <f>[1]Sheet1!K28</f>
        <v>0</v>
      </c>
      <c r="L28" s="59" t="str">
        <f>[1]Sheet1!L28</f>
        <v>Ninguno</v>
      </c>
      <c r="M28" s="68">
        <f>[1]Sheet1!M28</f>
        <v>46295</v>
      </c>
      <c r="N28" s="68" t="str">
        <f>[1]Sheet1!N28</f>
        <v>No</v>
      </c>
      <c r="O28" s="59" t="str">
        <f>[1]Sheet1!O28</f>
        <v> </v>
      </c>
      <c r="P28" s="59">
        <f>[1]Sheet1!P28</f>
        <v>0</v>
      </c>
      <c r="Q28" s="59" t="str">
        <f>[1]Sheet1!Q28</f>
        <v>Otro</v>
      </c>
      <c r="R28" s="59"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59">
        <f>[1]Sheet1!S28</f>
        <v>0</v>
      </c>
      <c r="T28" s="59" t="str">
        <f>[1]Sheet1!T28</f>
        <v xml:space="preserve">Gestión de Accesos, IT Compliance, Gestión Recurso Humano , Gestión Académica, Comercial </v>
      </c>
      <c r="U28" s="59" t="str">
        <f>[1]Sheet1!U28</f>
        <v>Todos</v>
      </c>
      <c r="V28" s="59" t="str">
        <f>[1]Sheet1!V28</f>
        <v>Excelencia Operativa</v>
      </c>
      <c r="W28" s="59" t="str">
        <f>[1]Sheet1!W28</f>
        <v>No</v>
      </c>
      <c r="X28" s="59" t="str">
        <f>[1]Sheet1!X28</f>
        <v>No cuantificado o S/0</v>
      </c>
      <c r="Y28" s="59"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59" t="str">
        <f>[1]Sheet1!Z28</f>
        <v>https://educorpperu-my.sharepoint.com/personal/diana_zapata_laureate_pe1/Documents/Aplicaciones/Microsoft%20Forms/REGISTRO%20DE%20INICIATIVAS/Pregunta/Roadmap%20Horacius%20fase%20II%20Per%C3%BA%20(propuesta)_Ronald%20Benites%20Vilch.pdf</v>
      </c>
      <c r="AA28" s="59">
        <f>[1]Sheet1!AA28</f>
        <v>1.2000000000000002</v>
      </c>
    </row>
    <row r="29" spans="1:27" s="69" customFormat="1" ht="45.95" customHeight="1">
      <c r="A29" s="59">
        <f>[1]Sheet1!A29</f>
        <v>50</v>
      </c>
      <c r="B29" s="220">
        <f>[1]Sheet1!B29</f>
        <v>46070.484027777777</v>
      </c>
      <c r="C29" s="220">
        <f>[1]Sheet1!C29</f>
        <v>46070.517361111109</v>
      </c>
      <c r="D29" s="59" t="str">
        <f>[1]Sheet1!D29</f>
        <v>angela.dominguez@laureate.pe</v>
      </c>
      <c r="E29" s="59" t="str">
        <f>[1]Sheet1!E29</f>
        <v>Angela Dominguez Plasencia</v>
      </c>
      <c r="F29" s="59" t="str">
        <f>[1]Sheet1!F29</f>
        <v>Implementación de un proceso automatizado de carga masiva a banner para TSP.</v>
      </c>
      <c r="G29" s="59"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59" t="str">
        <f>[1]Sheet1!H29</f>
        <v>UPC</v>
      </c>
      <c r="I29" s="59" t="str">
        <f>[1]Sheet1!I29</f>
        <v>Ivan Olivares - VP Marketing y Comercial</v>
      </c>
      <c r="J29" s="59" t="str">
        <f>[1]Sheet1!J29</f>
        <v>Gerencia de Control y Mejora</v>
      </c>
      <c r="K29" s="59">
        <f>[1]Sheet1!K29</f>
        <v>0</v>
      </c>
      <c r="L29" s="59" t="str">
        <f>[1]Sheet1!L29</f>
        <v>Ángela Lucano</v>
      </c>
      <c r="M29" s="68">
        <f>[1]Sheet1!M29</f>
        <v>46146</v>
      </c>
      <c r="N29" s="68" t="str">
        <f>[1]Sheet1!N29</f>
        <v>No</v>
      </c>
      <c r="O29" s="59" t="str">
        <f>[1]Sheet1!O29</f>
        <v> </v>
      </c>
      <c r="P29" s="59">
        <f>[1]Sheet1!P29</f>
        <v>0</v>
      </c>
      <c r="Q29" s="59" t="str">
        <f>[1]Sheet1!Q29</f>
        <v>Otro</v>
      </c>
      <c r="R29" s="59"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59">
        <f>[1]Sheet1!S29</f>
        <v>0</v>
      </c>
      <c r="T29" s="59" t="str">
        <f>[1]Sheet1!T29</f>
        <v>Proceso de admisión y proceso de matrícula</v>
      </c>
      <c r="U29" s="59">
        <f>[1]Sheet1!U29</f>
        <v>0</v>
      </c>
      <c r="V29" s="59" t="str">
        <f>[1]Sheet1!V29</f>
        <v>Excelencia Operativa;Transformación Digital;Calidad Académica</v>
      </c>
      <c r="W29" s="59" t="str">
        <f>[1]Sheet1!W29</f>
        <v>Si</v>
      </c>
      <c r="X29" s="59">
        <f>[1]Sheet1!X29</f>
        <v>0</v>
      </c>
      <c r="Y29" s="59" t="str">
        <f>[1]Sheet1!Y29</f>
        <v>Excelencia operativa y experiencia del estudiante.
Menor dependencia de procesos manuales.
Minimiza posibles impactos en la información registrada en los sistemas.
Brindarle fluidez al proceso.
Minimizar errores y futuros reclamos de los estudiantes.</v>
      </c>
      <c r="Z29" s="59" t="str">
        <f>[1]Sheet1!Z29</f>
        <v>https://educorpperu-my.sharepoint.com/personal/diana_zapata_laureate_pe1/_layouts/15/Doc.aspx?sourcedoc=%7B882DC893-3C2D-4645-BE36-DF3515314EA7%7D&amp;file=Solicitud%20de%20requerimiento_TSP-Carga%20Masiva%20d_Angela%20Dominguez%20Pla.pptx&amp;action=edit&amp;mobileredirect=true</v>
      </c>
      <c r="AA29" s="59">
        <f>[1]Sheet1!AA29</f>
        <v>0</v>
      </c>
    </row>
    <row r="30" spans="1:27" s="69" customFormat="1" ht="45.95" customHeight="1">
      <c r="A30" s="59">
        <f>[1]Sheet1!A30</f>
        <v>51</v>
      </c>
      <c r="B30" s="220">
        <f>[1]Sheet1!B30</f>
        <v>46069.480555555558</v>
      </c>
      <c r="C30" s="220">
        <f>[1]Sheet1!C30</f>
        <v>46070.595138888886</v>
      </c>
      <c r="D30" s="59" t="str">
        <f>[1]Sheet1!D30</f>
        <v>nohemi.marcelo@upc.pe</v>
      </c>
      <c r="E30" s="59" t="str">
        <f>[1]Sheet1!E30</f>
        <v>Nohemi Estefani Marcelo Torres</v>
      </c>
      <c r="F30" s="59" t="str">
        <f>[1]Sheet1!F30</f>
        <v xml:space="preserve">Sistema de integra de trayectoria y acompañamiento al estudiante becado </v>
      </c>
      <c r="G30" s="59"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59" t="str">
        <f>[1]Sheet1!H30</f>
        <v>UPC</v>
      </c>
      <c r="I30" s="59" t="str">
        <f>[1]Sheet1!I30</f>
        <v>Milagros Morgan - Rectorado UPC</v>
      </c>
      <c r="J30" s="59" t="str">
        <f>[1]Sheet1!J30</f>
        <v xml:space="preserve">Maria Cifuentes </v>
      </c>
      <c r="K30" s="59">
        <f>[1]Sheet1!K30</f>
        <v>0</v>
      </c>
      <c r="L30" s="59" t="str">
        <f>[1]Sheet1!L30</f>
        <v>Ángela Lucano</v>
      </c>
      <c r="M30" s="68">
        <f>[1]Sheet1!M30</f>
        <v>46104</v>
      </c>
      <c r="N30" s="68" t="str">
        <f>[1]Sheet1!N30</f>
        <v>No</v>
      </c>
      <c r="O30" s="59" t="str">
        <f>[1]Sheet1!O30</f>
        <v> </v>
      </c>
      <c r="P30" s="59">
        <f>[1]Sheet1!P30</f>
        <v>0</v>
      </c>
      <c r="Q30" s="59" t="str">
        <f>[1]Sheet1!Q30</f>
        <v>Otro</v>
      </c>
      <c r="R30" s="59"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59">
        <f>[1]Sheet1!S30</f>
        <v>0</v>
      </c>
      <c r="T30" s="59"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59">
        <f>[1]Sheet1!U30</f>
        <v>0</v>
      </c>
      <c r="V30" s="59" t="str">
        <f>[1]Sheet1!V30</f>
        <v>Calidad Académica;Resp. Social y Sostenibilidad</v>
      </c>
      <c r="W30" s="59" t="str">
        <f>[1]Sheet1!W30</f>
        <v>No</v>
      </c>
      <c r="X30" s="59">
        <f>[1]Sheet1!X30</f>
        <v>0</v>
      </c>
      <c r="Y30" s="59"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59" t="str">
        <f>[1]Sheet1!Z30</f>
        <v>https://educorpperu-my.sharepoint.com/personal/diana_zapata_laureate_pe1/_layouts/15/Doc.aspx?sourcedoc=%7B00A2E4B8-3D24-4147-9099-089605962BF0%7D&amp;file=Solicitud%20de%20requerimientos%20Idea%20nueva%20y%20mejo_Nohemi%20Estefani%20Marc.pptx&amp;action=edit&amp;mobileredirect=true</v>
      </c>
      <c r="AA30" s="59">
        <f>[1]Sheet1!AA30</f>
        <v>0</v>
      </c>
    </row>
    <row r="31" spans="1:27" ht="45.95" customHeight="1">
      <c r="A31" s="59">
        <f>[1]Sheet1!A31</f>
        <v>53</v>
      </c>
      <c r="B31" s="220">
        <f>[1]Sheet1!B31</f>
        <v>46070.696527777778</v>
      </c>
      <c r="C31" s="220">
        <f>[1]Sheet1!C31</f>
        <v>46070.718055555553</v>
      </c>
      <c r="D31" s="59" t="str">
        <f>[1]Sheet1!D31</f>
        <v>eduardo.paul@cibertec.pe</v>
      </c>
      <c r="E31" s="59" t="str">
        <f>[1]Sheet1!E31</f>
        <v>Eduardo Paul Aguilar</v>
      </c>
      <c r="F31" s="59" t="str">
        <f>[1]Sheet1!F31</f>
        <v>INDICADORES ACADEMICOS DE BLACKBOARD</v>
      </c>
      <c r="G31" s="59" t="str">
        <f>[1]Sheet1!G31</f>
        <v>Mejorar la calidad de servicio de docentes hacia los alumnos, para poder medir la calidad del servicio académico y dar feedback a los docentes</v>
      </c>
      <c r="H31" s="59" t="str">
        <f>[1]Sheet1!H31</f>
        <v>CIB</v>
      </c>
      <c r="I31" s="59" t="str">
        <f>[1]Sheet1!I31</f>
        <v>Danilo Tauil - GM TecVoc</v>
      </c>
      <c r="J31" s="59" t="str">
        <f>[1]Sheet1!J31</f>
        <v>Paola Mora</v>
      </c>
      <c r="K31" s="59">
        <f>[1]Sheet1!K31</f>
        <v>0</v>
      </c>
      <c r="L31" s="59" t="str">
        <f>[1]Sheet1!L31</f>
        <v>Frank Palomino</v>
      </c>
      <c r="M31" s="68">
        <f>[1]Sheet1!M31</f>
        <v>46112</v>
      </c>
      <c r="N31" s="68" t="str">
        <f>[1]Sheet1!N31</f>
        <v>No</v>
      </c>
      <c r="O31" s="59" t="str">
        <f>[1]Sheet1!O31</f>
        <v> </v>
      </c>
      <c r="P31" s="59">
        <f>[1]Sheet1!P31</f>
        <v>0</v>
      </c>
      <c r="Q31" s="59" t="str">
        <f>[1]Sheet1!Q31</f>
        <v>Otro</v>
      </c>
      <c r="R31" s="59"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59">
        <f>[1]Sheet1!S31</f>
        <v>0</v>
      </c>
      <c r="T31" s="59" t="str">
        <f>[1]Sheet1!T31</f>
        <v>Control Calidad de Docentes</v>
      </c>
      <c r="U31" s="59">
        <f>[1]Sheet1!U31</f>
        <v>0</v>
      </c>
      <c r="V31" s="59" t="str">
        <f>[1]Sheet1!V31</f>
        <v>Calidad Académica</v>
      </c>
      <c r="W31" s="59" t="str">
        <f>[1]Sheet1!W31</f>
        <v>No</v>
      </c>
      <c r="X31" s="59">
        <f>[1]Sheet1!X31</f>
        <v>0</v>
      </c>
      <c r="Y31" s="59" t="str">
        <f>[1]Sheet1!Y31</f>
        <v>Mejora de Experiencia del Alumno, Mejora en procesos de Retención, Optimización de tiempo de Docentes.</v>
      </c>
      <c r="Z31" s="59" t="str">
        <f>[1]Sheet1!Z31</f>
        <v>https://educorpperu-my.sharepoint.com/personal/diana_zapata_laureate_pe1/_layouts/15/Doc.aspx?sourcedoc=%7B7C53894D-03AA-42F5-A4BD-49E3C8456DE1%7D&amp;file=Formato%20Solicitud%20de%20Requerimientos%201_Eduardo%20Paul%20Aguilar.pptx&amp;action=edit&amp;mobileredirect=true</v>
      </c>
      <c r="AA31" s="59">
        <f>[1]Sheet1!AA31</f>
        <v>0</v>
      </c>
    </row>
    <row r="32" spans="1:27" s="69" customFormat="1" ht="45.95" customHeight="1">
      <c r="A32" s="59">
        <f>[1]Sheet1!A32</f>
        <v>54</v>
      </c>
      <c r="B32" s="220">
        <f>[1]Sheet1!B32</f>
        <v>46070.90347222222</v>
      </c>
      <c r="C32" s="220">
        <f>[1]Sheet1!C32</f>
        <v>46070.906944444447</v>
      </c>
      <c r="D32" s="59" t="str">
        <f>[1]Sheet1!D32</f>
        <v>ricky.pareja@laureate.pe</v>
      </c>
      <c r="E32" s="59" t="str">
        <f>[1]Sheet1!E32</f>
        <v>Ricky Pareja Medina</v>
      </c>
      <c r="F32" s="59" t="str">
        <f>[1]Sheet1!F32</f>
        <v>Ecommerce CIB - Automatizar Matricula Venta - CRM, Socrates, Spring, etc</v>
      </c>
      <c r="G32" s="59"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59" t="str">
        <f>[1]Sheet1!H32</f>
        <v>CIB</v>
      </c>
      <c r="I32" s="59" t="str">
        <f>[1]Sheet1!I32</f>
        <v>Ivan Olivares - VP Marketing y Comercial</v>
      </c>
      <c r="J32" s="59" t="str">
        <f>[1]Sheet1!J32</f>
        <v>Cristina del Risco</v>
      </c>
      <c r="K32" s="59">
        <f>[1]Sheet1!K32</f>
        <v>0</v>
      </c>
      <c r="L32" s="59" t="str">
        <f>[1]Sheet1!L32</f>
        <v>Jose Paredes</v>
      </c>
      <c r="M32" s="68">
        <f>[1]Sheet1!M32</f>
        <v>46203</v>
      </c>
      <c r="N32" s="68" t="str">
        <f>[1]Sheet1!N32</f>
        <v>Si</v>
      </c>
      <c r="O32" s="59" t="str">
        <f>[1]Sheet1!O32</f>
        <v>Digital &amp; IA</v>
      </c>
      <c r="P32" s="59">
        <f>[1]Sheet1!P32</f>
        <v>73951</v>
      </c>
      <c r="Q32" s="59" t="str">
        <f>[1]Sheet1!Q32</f>
        <v>Otro</v>
      </c>
      <c r="R32" s="59" t="str">
        <f>[1]Sheet1!R32</f>
        <v>El proceso de matrícula venta se ejecuta de manera manual consumiendo tiempo de los equipos involucraos (ventas, facturación, etc).</v>
      </c>
      <c r="S32" s="59">
        <f>[1]Sheet1!S32</f>
        <v>0</v>
      </c>
      <c r="T32" s="59" t="str">
        <f>[1]Sheet1!T32</f>
        <v>- Proceso de matrícula
- Proceso de facturación
- Proceso de conciliación
- Proceso de cobranza
- Proceso de generación de accesos y credenciales
Otros</v>
      </c>
      <c r="U32" s="59" t="str">
        <f>[1]Sheet1!U32</f>
        <v>Administrativos</v>
      </c>
      <c r="V32" s="59" t="str">
        <f>[1]Sheet1!V32</f>
        <v>Crecimiento escalable</v>
      </c>
      <c r="W32" s="59" t="str">
        <f>[1]Sheet1!W32</f>
        <v>No</v>
      </c>
      <c r="X32" s="59" t="str">
        <f>[1]Sheet1!X32</f>
        <v>Mayor a S/500,000.00</v>
      </c>
      <c r="Y32" s="59" t="str">
        <f>[1]Sheet1!Y32</f>
        <v>Eficiencia operativa</v>
      </c>
      <c r="Z32" s="59"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59">
        <f>[1]Sheet1!AA32</f>
        <v>2.9</v>
      </c>
    </row>
    <row r="33" spans="1:27" s="69" customFormat="1" ht="45.95" customHeight="1">
      <c r="A33" s="59">
        <f>[1]Sheet1!A33</f>
        <v>55</v>
      </c>
      <c r="B33" s="220">
        <f>[1]Sheet1!B33</f>
        <v>46071.365277777775</v>
      </c>
      <c r="C33" s="220">
        <f>[1]Sheet1!C33</f>
        <v>46071.393750000003</v>
      </c>
      <c r="D33" s="59" t="str">
        <f>[1]Sheet1!D33</f>
        <v>juan.nazario@upc.pe</v>
      </c>
      <c r="E33" s="59" t="str">
        <f>[1]Sheet1!E33</f>
        <v>Juan Francisco Nazario Vargas</v>
      </c>
      <c r="F33" s="59" t="str">
        <f>[1]Sheet1!F33</f>
        <v>Visualizar los Resultados Basados en Competencias en el dashboard para el sistema de Assessment</v>
      </c>
      <c r="G33" s="59"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59" t="str">
        <f>[1]Sheet1!H33</f>
        <v>UPC</v>
      </c>
      <c r="I33" s="59" t="str">
        <f>[1]Sheet1!I33</f>
        <v>Mónica García - VP Operaciones Digitales y Online</v>
      </c>
      <c r="J33" s="59" t="str">
        <f>[1]Sheet1!J33</f>
        <v>Silvana Balarezo</v>
      </c>
      <c r="K33" s="59">
        <f>[1]Sheet1!K33</f>
        <v>0</v>
      </c>
      <c r="L33" s="59" t="str">
        <f>[1]Sheet1!L33</f>
        <v>Ángela Lucano</v>
      </c>
      <c r="M33" s="68">
        <f>[1]Sheet1!M33</f>
        <v>46102</v>
      </c>
      <c r="N33" s="68" t="str">
        <f>[1]Sheet1!N33</f>
        <v>No</v>
      </c>
      <c r="O33" s="59" t="str">
        <f>[1]Sheet1!O33</f>
        <v> </v>
      </c>
      <c r="P33" s="59">
        <f>[1]Sheet1!P33</f>
        <v>0</v>
      </c>
      <c r="Q33" s="59" t="str">
        <f>[1]Sheet1!Q33</f>
        <v>Otro</v>
      </c>
      <c r="R33" s="59"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59">
        <f>[1]Sheet1!S33</f>
        <v>0</v>
      </c>
      <c r="T33" s="59" t="str">
        <f>[1]Sheet1!T33</f>
        <v>Proceso institucional de assessment uno a uno de competencias</v>
      </c>
      <c r="U33" s="59" t="str">
        <f>[1]Sheet1!U33</f>
        <v>Administrativos</v>
      </c>
      <c r="V33" s="59" t="str">
        <f>[1]Sheet1!V33</f>
        <v>Excelencia académica</v>
      </c>
      <c r="W33" s="59" t="str">
        <f>[1]Sheet1!W33</f>
        <v>No</v>
      </c>
      <c r="X33" s="59" t="str">
        <f>[1]Sheet1!X33</f>
        <v>Menor a S/100,000.00</v>
      </c>
      <c r="Y33" s="59" t="str">
        <f>[1]Sheet1!Y33</f>
        <v>Reduciría la tasa de errores que ha sido entre el 2% al 5%, en el caso de cursos y estudiantes de Pregrado, EPE y EPG.</v>
      </c>
      <c r="Z33" s="59"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59">
        <f>[1]Sheet1!AA33</f>
        <v>0.95000000000000007</v>
      </c>
    </row>
    <row r="34" spans="1:27" s="69" customFormat="1" ht="45.95" customHeight="1">
      <c r="A34" s="59">
        <f>[1]Sheet1!A34</f>
        <v>56</v>
      </c>
      <c r="B34" s="220">
        <f>[1]Sheet1!B34</f>
        <v>46071.782638888886</v>
      </c>
      <c r="C34" s="220">
        <f>[1]Sheet1!C34</f>
        <v>46071.78402777778</v>
      </c>
      <c r="D34" s="59" t="str">
        <f>[1]Sheet1!D34</f>
        <v>juan.nazario@upc.pe</v>
      </c>
      <c r="E34" s="59" t="str">
        <f>[1]Sheet1!E34</f>
        <v>Juan Francisco Nazario Vargas</v>
      </c>
      <c r="F34" s="59" t="str">
        <f>[1]Sheet1!F34</f>
        <v>Sincronización de notas del aula virtual con el sistema académico</v>
      </c>
      <c r="G34" s="59"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59" t="str">
        <f>[1]Sheet1!H34</f>
        <v>UPC</v>
      </c>
      <c r="I34" s="59" t="str">
        <f>[1]Sheet1!I34</f>
        <v>Mónica García - VP Operaciones Digitales y Online</v>
      </c>
      <c r="J34" s="59" t="str">
        <f>[1]Sheet1!J34</f>
        <v>Silvana Balarezo</v>
      </c>
      <c r="K34" s="59">
        <f>[1]Sheet1!K34</f>
        <v>0</v>
      </c>
      <c r="L34" s="59" t="str">
        <f>[1]Sheet1!L34</f>
        <v>Ángela Lucano</v>
      </c>
      <c r="M34" s="68">
        <f>[1]Sheet1!M34</f>
        <v>46101</v>
      </c>
      <c r="N34" s="68" t="str">
        <f>[1]Sheet1!N34</f>
        <v>No</v>
      </c>
      <c r="O34" s="59" t="str">
        <f>[1]Sheet1!O34</f>
        <v> </v>
      </c>
      <c r="P34" s="59">
        <f>[1]Sheet1!P34</f>
        <v>0</v>
      </c>
      <c r="Q34" s="59" t="str">
        <f>[1]Sheet1!Q34</f>
        <v>Otro</v>
      </c>
      <c r="R34" s="59" t="str">
        <f>[1]Sheet1!R34</f>
        <v>Registro de nota una sola vez en el aula virtual por parte del docente</v>
      </c>
      <c r="S34" s="59">
        <f>[1]Sheet1!S34</f>
        <v>0</v>
      </c>
      <c r="T34" s="59" t="str">
        <f>[1]Sheet1!T34</f>
        <v>Registro de notas</v>
      </c>
      <c r="U34" s="59" t="str">
        <f>[1]Sheet1!U34</f>
        <v>Docentes</v>
      </c>
      <c r="V34" s="59" t="str">
        <f>[1]Sheet1!V34</f>
        <v>Excelencia académica</v>
      </c>
      <c r="W34" s="59" t="str">
        <f>[1]Sheet1!W34</f>
        <v>No</v>
      </c>
      <c r="X34" s="59" t="str">
        <f>[1]Sheet1!X34</f>
        <v>No cuantificado o S/0</v>
      </c>
      <c r="Y34" s="59" t="str">
        <f>[1]Sheet1!Y34</f>
        <v>Mayor credibilidad del sistema académico
Menor carga administrativa - Experiencia docente
Mayor transparencia - Experiencia estudiante
Enfoque pedagógico real
Reputación institucional</v>
      </c>
      <c r="Z34" s="59"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59">
        <f>[1]Sheet1!AA34</f>
        <v>1.25</v>
      </c>
    </row>
    <row r="35" spans="1:27" s="69" customFormat="1" ht="45.95" customHeight="1">
      <c r="A35" s="59">
        <f>[1]Sheet1!A35</f>
        <v>57</v>
      </c>
      <c r="B35" s="220">
        <f>[1]Sheet1!B35</f>
        <v>46071.777777777781</v>
      </c>
      <c r="C35" s="220">
        <f>[1]Sheet1!C35</f>
        <v>46072.386111111111</v>
      </c>
      <c r="D35" s="59" t="str">
        <f>[1]Sheet1!D35</f>
        <v>carlos.olivera@upn.edu.pe</v>
      </c>
      <c r="E35" s="59" t="str">
        <f>[1]Sheet1!E35</f>
        <v>Carlos Rau Olivera Fatacioli</v>
      </c>
      <c r="F35" s="59" t="str">
        <f>[1]Sheet1!F35</f>
        <v>Registro de matrícula en CRM Dynamics</v>
      </c>
      <c r="G35" s="59"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59" t="str">
        <f>[1]Sheet1!H35</f>
        <v>UPN</v>
      </c>
      <c r="I35" s="59" t="str">
        <f>[1]Sheet1!I35</f>
        <v>Mónica García - VP Operaciones Digitales y Online</v>
      </c>
      <c r="J35" s="59" t="str">
        <f>[1]Sheet1!J35</f>
        <v>Carlos Olivera</v>
      </c>
      <c r="K35" s="59">
        <f>[1]Sheet1!K35</f>
        <v>0</v>
      </c>
      <c r="L35" s="59" t="str">
        <f>[1]Sheet1!L35</f>
        <v>Ángela Lucano</v>
      </c>
      <c r="M35" s="68">
        <f>[1]Sheet1!M35</f>
        <v>46081</v>
      </c>
      <c r="N35" s="68" t="str">
        <f>[1]Sheet1!N35</f>
        <v>No</v>
      </c>
      <c r="O35" s="59" t="str">
        <f>[1]Sheet1!O35</f>
        <v> </v>
      </c>
      <c r="P35" s="59">
        <f>[1]Sheet1!P35</f>
        <v>0</v>
      </c>
      <c r="Q35" s="59" t="str">
        <f>[1]Sheet1!Q35</f>
        <v>Otro</v>
      </c>
      <c r="R35" s="59"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59">
        <f>[1]Sheet1!S35</f>
        <v>0</v>
      </c>
      <c r="T35" s="59" t="str">
        <f>[1]Sheet1!T35</f>
        <v>Onboarding y seguimiento intraciclo.</v>
      </c>
      <c r="U35" s="59">
        <f>[1]Sheet1!U35</f>
        <v>0</v>
      </c>
      <c r="V35" s="59" t="str">
        <f>[1]Sheet1!V35</f>
        <v>Excelencia Operativa</v>
      </c>
      <c r="W35" s="59" t="str">
        <f>[1]Sheet1!W35</f>
        <v>No</v>
      </c>
      <c r="X35" s="59">
        <f>[1]Sheet1!X35</f>
        <v>0</v>
      </c>
      <c r="Y35" s="59" t="str">
        <f>[1]Sheet1!Y35</f>
        <v>Mejorar la satisfacción de estudiantes con el proceso de matrícula y onboarding.</v>
      </c>
      <c r="Z35" s="59" t="str">
        <f>[1]Sheet1!Z35</f>
        <v>https://educorpperu-my.sharepoint.com/personal/diana_zapata_laureate_pe1/_layouts/15/Doc.aspx?sourcedoc=%7B59F35CDD-C20F-46ED-B2D2-4E433C29DE75%7D&amp;file=RQ%202026.02.18%20-%20Registro%20de%20matricula%20en%20CRM_Carlos%20Rau%20Olivera%20F.pptx&amp;action=edit&amp;mobileredirect=true</v>
      </c>
      <c r="AA35" s="59">
        <f>[1]Sheet1!AA35</f>
        <v>0.30000000000000004</v>
      </c>
    </row>
    <row r="36" spans="1:27" s="69" customFormat="1" ht="45.95" customHeight="1">
      <c r="A36" s="59">
        <f>[1]Sheet1!A36</f>
        <v>58</v>
      </c>
      <c r="B36" s="220">
        <f>[1]Sheet1!B36</f>
        <v>46077.447870370401</v>
      </c>
      <c r="C36" s="220">
        <f>[1]Sheet1!C36</f>
        <v>46077.465486111098</v>
      </c>
      <c r="D36" s="59" t="str">
        <f>[1]Sheet1!D36</f>
        <v>carla.arias@upn.edu.pe</v>
      </c>
      <c r="E36" s="59" t="str">
        <f>[1]Sheet1!E36</f>
        <v>Carla Arias Schreiber Ulloa</v>
      </c>
      <c r="F36" s="59" t="str">
        <f>[1]Sheet1!F36</f>
        <v>Modificación del etl "DTS BANNER - MIGRACION INFORMACION DE BANNER A UPNSAC - PARTE 2"</v>
      </c>
      <c r="G36" s="59" t="str">
        <f>[1]Sheet1!G36</f>
        <v>Necesitamos la modificación del ETL para que incluya las nuevas nomenclaturas de marcas para las solicitud de descuentos, logrando que el Portal pueda filtrar correctamente los estudiantes que cumplen los requisitos para estas solicitudes.</v>
      </c>
      <c r="H36" s="59" t="str">
        <f>[1]Sheet1!H36</f>
        <v>UPN</v>
      </c>
      <c r="I36" s="59" t="str">
        <f>[1]Sheet1!I36</f>
        <v>Alex Pendavis - VP Finanzas</v>
      </c>
      <c r="J36" s="59" t="str">
        <f>[1]Sheet1!J36</f>
        <v xml:space="preserve">Cindy Chuco </v>
      </c>
      <c r="K36" s="59">
        <f>[1]Sheet1!K36</f>
        <v>0</v>
      </c>
      <c r="L36" s="59" t="str">
        <f>[1]Sheet1!L36</f>
        <v>Jose Paredes</v>
      </c>
      <c r="M36" s="68">
        <f>[1]Sheet1!M36</f>
        <v>46078</v>
      </c>
      <c r="N36" s="68" t="str">
        <f>[1]Sheet1!N36</f>
        <v>No</v>
      </c>
      <c r="O36" s="59">
        <f>[1]Sheet1!O36</f>
        <v>0</v>
      </c>
      <c r="P36" s="59">
        <f>[1]Sheet1!P36</f>
        <v>0</v>
      </c>
      <c r="Q36" s="59" t="str">
        <f>[1]Sheet1!Q36</f>
        <v>Otro</v>
      </c>
      <c r="R36" s="59"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59">
        <f>[1]Sheet1!S36</f>
        <v>0</v>
      </c>
      <c r="T36" s="59" t="str">
        <f>[1]Sheet1!T36</f>
        <v>Asignación de descuentos</v>
      </c>
      <c r="U36" s="59">
        <f>[1]Sheet1!U36</f>
        <v>0</v>
      </c>
      <c r="V36" s="59" t="str">
        <f>[1]Sheet1!V36</f>
        <v>Excelencia Operativa</v>
      </c>
      <c r="W36" s="59" t="str">
        <f>[1]Sheet1!W36</f>
        <v>No</v>
      </c>
      <c r="X36" s="59">
        <f>[1]Sheet1!X36</f>
        <v>0</v>
      </c>
      <c r="Y36" s="59" t="str">
        <f>[1]Sheet1!Y36</f>
        <v>Buen funcionamiento del proceso de solicitud de descuentos.</v>
      </c>
      <c r="Z36" s="59"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59">
        <f>[1]Sheet1!AA36</f>
        <v>0.30000000000000004</v>
      </c>
    </row>
    <row r="37" spans="1:27" ht="45.95" customHeight="1">
      <c r="A37" s="59">
        <f>[1]Sheet1!A37</f>
        <v>59</v>
      </c>
      <c r="B37" s="220">
        <f>[1]Sheet1!B37</f>
        <v>46083.641898148097</v>
      </c>
      <c r="C37" s="220">
        <f>[1]Sheet1!C37</f>
        <v>46083.7032175926</v>
      </c>
      <c r="D37" s="59" t="str">
        <f>[1]Sheet1!D37</f>
        <v>carlos.sanchez@laureate.pe</v>
      </c>
      <c r="E37" s="59" t="str">
        <f>[1]Sheet1!E37</f>
        <v>Carlos Sanchez Rubio</v>
      </c>
      <c r="F37" s="59" t="str">
        <f>[1]Sheet1!F37</f>
        <v>Microsegmentación / Nanosegmentación de aplicaciones críticas</v>
      </c>
      <c r="G37" s="59"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59" t="str">
        <f>[1]Sheet1!H37</f>
        <v>CORPORATIVO</v>
      </c>
      <c r="I37" s="59" t="str">
        <f>[1]Sheet1!I37</f>
        <v>Donoban Meza - Director Corp IT Security</v>
      </c>
      <c r="J37" s="59" t="str">
        <f>[1]Sheet1!J37</f>
        <v>Carlos Sánchez</v>
      </c>
      <c r="K37" s="59">
        <f>[1]Sheet1!K37</f>
        <v>0</v>
      </c>
      <c r="L37" s="59" t="str">
        <f>[1]Sheet1!L37</f>
        <v>Ninguno</v>
      </c>
      <c r="M37" s="68">
        <f>[1]Sheet1!M37</f>
        <v>46203</v>
      </c>
      <c r="N37" s="68" t="str">
        <f>[1]Sheet1!N37</f>
        <v>No</v>
      </c>
      <c r="O37" s="59">
        <f>[1]Sheet1!O37</f>
        <v>0</v>
      </c>
      <c r="P37" s="59">
        <f>[1]Sheet1!P37</f>
        <v>0</v>
      </c>
      <c r="Q37" s="59" t="str">
        <f>[1]Sheet1!Q37</f>
        <v>Seguridad TI</v>
      </c>
      <c r="R37" s="59" t="str">
        <f>[1]Sheet1!R37</f>
        <v>Actualmente, las comunicaciones entre componentes o ambientes pueden ser más amplias de lo necesario. Esto facilita propagación de amenazas, movimientos laterales y mayores impactos ante el compromiso de un activo.</v>
      </c>
      <c r="S37" s="59">
        <f>[1]Sheet1!S37</f>
        <v>0</v>
      </c>
      <c r="T37" s="59" t="str">
        <f>[1]Sheet1!T37</f>
        <v>No aplica.</v>
      </c>
      <c r="U37" s="59">
        <f>[1]Sheet1!U37</f>
        <v>0</v>
      </c>
      <c r="V37" s="59" t="str">
        <f>[1]Sheet1!V37</f>
        <v>Excelencia Operativa</v>
      </c>
      <c r="W37" s="59" t="str">
        <f>[1]Sheet1!W37</f>
        <v>No</v>
      </c>
      <c r="X37" s="59">
        <f>[1]Sheet1!X37</f>
        <v>0</v>
      </c>
      <c r="Y37" s="59" t="str">
        <f>[1]Sheet1!Y37</f>
        <v>Fortalece la arquitectura de seguridad, mejora la contención de amenazas y reduce la superficie de ataque en entornos críticos. Incrementa la resiliencia tecnológica y mejora la capacidad de protección de servicios sensibles del negocio.</v>
      </c>
      <c r="Z37" s="59"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59">
        <f>[1]Sheet1!AA37</f>
        <v>1.2</v>
      </c>
    </row>
    <row r="38" spans="1:27" ht="45.95" customHeight="1">
      <c r="A38" s="59">
        <f>[1]Sheet1!A38</f>
        <v>60</v>
      </c>
      <c r="B38" s="220">
        <f>[1]Sheet1!B38</f>
        <v>46083.704305555599</v>
      </c>
      <c r="C38" s="220">
        <f>[1]Sheet1!C38</f>
        <v>46083.706134259301</v>
      </c>
      <c r="D38" s="59" t="str">
        <f>[1]Sheet1!D38</f>
        <v>carlos.sanchez@laureate.pe</v>
      </c>
      <c r="E38" s="59" t="str">
        <f>[1]Sheet1!E38</f>
        <v>Carlos Sanchez Rubio</v>
      </c>
      <c r="F38" s="59" t="str">
        <f>[1]Sheet1!F38</f>
        <v>MFA para equipos de cómputo administrativos</v>
      </c>
      <c r="G38" s="59"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59" t="str">
        <f>[1]Sheet1!H38</f>
        <v>CORPORATIVO</v>
      </c>
      <c r="I38" s="59" t="str">
        <f>[1]Sheet1!I38</f>
        <v>Donoban Meza - Director Corp IT Security</v>
      </c>
      <c r="J38" s="59" t="str">
        <f>[1]Sheet1!J38</f>
        <v>Carlos Sánchez</v>
      </c>
      <c r="K38" s="59">
        <f>[1]Sheet1!K38</f>
        <v>0</v>
      </c>
      <c r="L38" s="59" t="str">
        <f>[1]Sheet1!L38</f>
        <v>Ninguno</v>
      </c>
      <c r="M38" s="68">
        <f>[1]Sheet1!M38</f>
        <v>46203</v>
      </c>
      <c r="N38" s="68" t="str">
        <f>[1]Sheet1!N38</f>
        <v>No</v>
      </c>
      <c r="O38" s="59">
        <f>[1]Sheet1!O38</f>
        <v>0</v>
      </c>
      <c r="P38" s="59">
        <f>[1]Sheet1!P38</f>
        <v>0</v>
      </c>
      <c r="Q38" s="59" t="str">
        <f>[1]Sheet1!Q38</f>
        <v>Seguridad TI</v>
      </c>
      <c r="R38" s="59"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59">
        <f>[1]Sheet1!S38</f>
        <v>0</v>
      </c>
      <c r="T38" s="59" t="str">
        <f>[1]Sheet1!T38</f>
        <v>No Aplica</v>
      </c>
      <c r="U38" s="59">
        <f>[1]Sheet1!U38</f>
        <v>0</v>
      </c>
      <c r="V38" s="59" t="str">
        <f>[1]Sheet1!V38</f>
        <v>Excelencia Operativa</v>
      </c>
      <c r="W38" s="59" t="str">
        <f>[1]Sheet1!W38</f>
        <v>No</v>
      </c>
      <c r="X38" s="59">
        <f>[1]Sheet1!X38</f>
        <v>0</v>
      </c>
      <c r="Y38" s="59"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59"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59">
        <f>[1]Sheet1!AA38</f>
        <v>1.2</v>
      </c>
    </row>
    <row r="39" spans="1:27" ht="45.95" customHeight="1">
      <c r="A39" s="59">
        <f>[1]Sheet1!A39</f>
        <v>61</v>
      </c>
      <c r="B39" s="220">
        <f>[1]Sheet1!B39</f>
        <v>46083.706215277802</v>
      </c>
      <c r="C39" s="220">
        <f>[1]Sheet1!C39</f>
        <v>46083.709166666697</v>
      </c>
      <c r="D39" s="59" t="str">
        <f>[1]Sheet1!D39</f>
        <v>carlos.sanchez@laureate.pe</v>
      </c>
      <c r="E39" s="59" t="str">
        <f>[1]Sheet1!E39</f>
        <v>Carlos Sanchez Rubio</v>
      </c>
      <c r="F39" s="59" t="str">
        <f>[1]Sheet1!F39</f>
        <v>API Pentesting</v>
      </c>
      <c r="G39" s="59"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59" t="str">
        <f>[1]Sheet1!H39</f>
        <v>CORPORATIVO</v>
      </c>
      <c r="I39" s="59" t="str">
        <f>[1]Sheet1!I39</f>
        <v>Donoban Meza - Director Corp IT Security</v>
      </c>
      <c r="J39" s="59" t="str">
        <f>[1]Sheet1!J39</f>
        <v>Carlos Sánchez</v>
      </c>
      <c r="K39" s="59">
        <f>[1]Sheet1!K39</f>
        <v>0</v>
      </c>
      <c r="L39" s="59" t="str">
        <f>[1]Sheet1!L39</f>
        <v>Ninguno</v>
      </c>
      <c r="M39" s="68">
        <f>[1]Sheet1!M39</f>
        <v>46295</v>
      </c>
      <c r="N39" s="68" t="str">
        <f>[1]Sheet1!N39</f>
        <v>No</v>
      </c>
      <c r="O39" s="59">
        <f>[1]Sheet1!O39</f>
        <v>0</v>
      </c>
      <c r="P39" s="59">
        <f>[1]Sheet1!P39</f>
        <v>0</v>
      </c>
      <c r="Q39" s="59" t="str">
        <f>[1]Sheet1!Q39</f>
        <v>Seguridad TI</v>
      </c>
      <c r="R39" s="59"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59">
        <f>[1]Sheet1!S39</f>
        <v>0</v>
      </c>
      <c r="T39" s="59" t="str">
        <f>[1]Sheet1!T39</f>
        <v>No Aplica</v>
      </c>
      <c r="U39" s="59">
        <f>[1]Sheet1!U39</f>
        <v>0</v>
      </c>
      <c r="V39" s="59" t="str">
        <f>[1]Sheet1!V39</f>
        <v>Excelencia Operativa</v>
      </c>
      <c r="W39" s="59" t="str">
        <f>[1]Sheet1!W39</f>
        <v>No</v>
      </c>
      <c r="X39" s="59">
        <f>[1]Sheet1!X39</f>
        <v>0</v>
      </c>
      <c r="Y39" s="59"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59"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59">
        <f>[1]Sheet1!AA39</f>
        <v>1.2</v>
      </c>
    </row>
    <row r="40" spans="1:27" ht="45.95" customHeight="1">
      <c r="A40" s="59">
        <f>[1]Sheet1!A40</f>
        <v>62</v>
      </c>
      <c r="B40" s="220">
        <f>[1]Sheet1!B40</f>
        <v>46083.709212962996</v>
      </c>
      <c r="C40" s="220">
        <f>[1]Sheet1!C40</f>
        <v>46083.711898148104</v>
      </c>
      <c r="D40" s="59" t="str">
        <f>[1]Sheet1!D40</f>
        <v>carlos.sanchez@laureate.pe</v>
      </c>
      <c r="E40" s="59" t="str">
        <f>[1]Sheet1!E40</f>
        <v>Carlos Sanchez Rubio</v>
      </c>
      <c r="F40" s="59" t="str">
        <f>[1]Sheet1!F40</f>
        <v>Integración de sistemas críticos con el SIEM</v>
      </c>
      <c r="G40" s="59" t="str">
        <f>[1]Sheet1!G40</f>
        <v>Necesitamos integrar los sistemas críticos al SIEM, para centralizar eventos de seguridad y detectar oportunamente actividades sospechosas o incidentes, logrando mejorar la visibilidad, la capacidad de monitoreo y la respuesta ante amenazas.</v>
      </c>
      <c r="H40" s="59" t="str">
        <f>[1]Sheet1!H40</f>
        <v>CORPORATIVO</v>
      </c>
      <c r="I40" s="59" t="str">
        <f>[1]Sheet1!I40</f>
        <v>Donoban Meza - Director Corp IT Security</v>
      </c>
      <c r="J40" s="59" t="str">
        <f>[1]Sheet1!J40</f>
        <v>Carlos Sánchez</v>
      </c>
      <c r="K40" s="59">
        <f>[1]Sheet1!K40</f>
        <v>0</v>
      </c>
      <c r="L40" s="59" t="str">
        <f>[1]Sheet1!L40</f>
        <v>Ninguno</v>
      </c>
      <c r="M40" s="68">
        <f>[1]Sheet1!M40</f>
        <v>46326</v>
      </c>
      <c r="N40" s="68" t="str">
        <f>[1]Sheet1!N40</f>
        <v>No</v>
      </c>
      <c r="O40" s="59">
        <f>[1]Sheet1!O40</f>
        <v>0</v>
      </c>
      <c r="P40" s="59">
        <f>[1]Sheet1!P40</f>
        <v>0</v>
      </c>
      <c r="Q40" s="59" t="str">
        <f>[1]Sheet1!Q40</f>
        <v>Seguridad TI</v>
      </c>
      <c r="R40" s="59" t="str">
        <f>[1]Sheet1!R40</f>
        <v>Actualmente, no todos los sistemas críticos reportan sus eventos al SIEM, lo que limita la detección temprana de incidentes y reduce la visibilidad sobre actividades anómalas o compromisos de seguridad.</v>
      </c>
      <c r="S40" s="59">
        <f>[1]Sheet1!S40</f>
        <v>0</v>
      </c>
      <c r="T40" s="59" t="str">
        <f>[1]Sheet1!T40</f>
        <v>No Aplica</v>
      </c>
      <c r="U40" s="59" t="str">
        <f>[1]Sheet1!U40</f>
        <v>Ninguno</v>
      </c>
      <c r="V40" s="59" t="str">
        <f>[1]Sheet1!V40</f>
        <v>Excelencia Operativa</v>
      </c>
      <c r="W40" s="59" t="str">
        <f>[1]Sheet1!W40</f>
        <v>No</v>
      </c>
      <c r="X40" s="59" t="str">
        <f>[1]Sheet1!X40</f>
        <v>No cuantificado o S/0</v>
      </c>
      <c r="Y40" s="59" t="str">
        <f>[1]Sheet1!Y40</f>
        <v>Mejora la visibilidad sobre eventos de seguridad, fortalece la capacidad de respuesta ante incidentes y permite una gestión más oportuna de amenazas. Incrementa el control y la trazabilidad sobre sistemas críticos para el negocio.</v>
      </c>
      <c r="Z40" s="59"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59">
        <f>[1]Sheet1!AA40</f>
        <v>1.3499999999999999</v>
      </c>
    </row>
    <row r="41" spans="1:27" ht="45.95" customHeight="1">
      <c r="A41" s="59">
        <f>[1]Sheet1!A41</f>
        <v>63</v>
      </c>
      <c r="B41" s="220">
        <f>[1]Sheet1!B41</f>
        <v>46083.712094907401</v>
      </c>
      <c r="C41" s="220">
        <f>[1]Sheet1!C41</f>
        <v>46083.714675925898</v>
      </c>
      <c r="D41" s="59" t="str">
        <f>[1]Sheet1!D41</f>
        <v>carlos.sanchez@laureate.pe</v>
      </c>
      <c r="E41" s="59" t="str">
        <f>[1]Sheet1!E41</f>
        <v>Carlos Sanchez Rubio</v>
      </c>
      <c r="F41" s="59" t="str">
        <f>[1]Sheet1!F41</f>
        <v>Ejecución de BIA para sistemas críticos del negocio</v>
      </c>
      <c r="G41" s="59"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59" t="str">
        <f>[1]Sheet1!H41</f>
        <v>CORPORATIVO</v>
      </c>
      <c r="I41" s="59" t="str">
        <f>[1]Sheet1!I41</f>
        <v>Donoban Meza - Director Corp IT Security</v>
      </c>
      <c r="J41" s="59" t="str">
        <f>[1]Sheet1!J41</f>
        <v>Carlos Sánchez</v>
      </c>
      <c r="K41" s="59">
        <f>[1]Sheet1!K41</f>
        <v>0</v>
      </c>
      <c r="L41" s="59" t="str">
        <f>[1]Sheet1!L41</f>
        <v>Ninguno</v>
      </c>
      <c r="M41" s="68">
        <f>[1]Sheet1!M41</f>
        <v>46356</v>
      </c>
      <c r="N41" s="68" t="str">
        <f>[1]Sheet1!N41</f>
        <v>No</v>
      </c>
      <c r="O41" s="59">
        <f>[1]Sheet1!O41</f>
        <v>0</v>
      </c>
      <c r="P41" s="59">
        <f>[1]Sheet1!P41</f>
        <v>0</v>
      </c>
      <c r="Q41" s="59" t="str">
        <f>[1]Sheet1!Q41</f>
        <v>Seguridad TI</v>
      </c>
      <c r="R41" s="59" t="str">
        <f>[1]Sheet1!R41</f>
        <v>Actualmente, no se cuenta con una evaluación formal y actualizada del impacto de indisponibilidad de sistemas críticos. Esto dificulta priorizar recuperación, asignar recursos y definir tiempos objetivos de continuidad.</v>
      </c>
      <c r="S41" s="59">
        <f>[1]Sheet1!S41</f>
        <v>0</v>
      </c>
      <c r="T41" s="59" t="str">
        <f>[1]Sheet1!T41</f>
        <v>Proceso de Continuidad del Negocio</v>
      </c>
      <c r="U41" s="59" t="str">
        <f>[1]Sheet1!U41</f>
        <v>Ninguno</v>
      </c>
      <c r="V41" s="59" t="str">
        <f>[1]Sheet1!V41</f>
        <v>Excelencia Operativa</v>
      </c>
      <c r="W41" s="59" t="str">
        <f>[1]Sheet1!W41</f>
        <v>No</v>
      </c>
      <c r="X41" s="59" t="str">
        <f>[1]Sheet1!X41</f>
        <v>No cuantificado o S/0</v>
      </c>
      <c r="Y41" s="59" t="str">
        <f>[1]Sheet1!Y41</f>
        <v>Fortalece la toma de decisiones ante contingencias, mejora la planificación de continuidad y alinea a TI con las prioridades reales del negocio. Permite una gestión más ordenada, objetiva y consensuada sobre sistemas críticos.</v>
      </c>
      <c r="Z41" s="59"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59">
        <f>[1]Sheet1!AA41</f>
        <v>1.3499999999999999</v>
      </c>
    </row>
    <row r="42" spans="1:27" ht="45.95" customHeight="1">
      <c r="A42" s="59">
        <f>[1]Sheet1!A42</f>
        <v>64</v>
      </c>
      <c r="B42" s="220">
        <f>[1]Sheet1!B42</f>
        <v>46083.714710648099</v>
      </c>
      <c r="C42" s="220">
        <f>[1]Sheet1!C42</f>
        <v>46083.720902777801</v>
      </c>
      <c r="D42" s="59" t="str">
        <f>[1]Sheet1!D42</f>
        <v>carlos.sanchez@laureate.pe</v>
      </c>
      <c r="E42" s="59" t="str">
        <f>[1]Sheet1!E42</f>
        <v>Carlos Sanchez Rubio</v>
      </c>
      <c r="F42" s="59" t="str">
        <f>[1]Sheet1!F42</f>
        <v>Verificación de Integridad de Backups</v>
      </c>
      <c r="G42" s="59" t="str">
        <f>[1]Sheet1!G42</f>
        <v>Necesitamos implementar un proceso de verificación de integridad de backups, para asegurar que los respaldos sean recuperables y confiables ante incidentes, logrando reducir el riesgo de fallas de restauración y fortalecer la continuidad operativa.</v>
      </c>
      <c r="H42" s="59" t="str">
        <f>[1]Sheet1!H42</f>
        <v>CORPORATIVO</v>
      </c>
      <c r="I42" s="59" t="str">
        <f>[1]Sheet1!I42</f>
        <v>Donoban Meza - Director Corp IT Security</v>
      </c>
      <c r="J42" s="59" t="str">
        <f>[1]Sheet1!J42</f>
        <v>Carlos Sánchez</v>
      </c>
      <c r="K42" s="59">
        <f>[1]Sheet1!K42</f>
        <v>0</v>
      </c>
      <c r="L42" s="59" t="str">
        <f>[1]Sheet1!L42</f>
        <v>Ninguno</v>
      </c>
      <c r="M42" s="68">
        <f>[1]Sheet1!M42</f>
        <v>46295</v>
      </c>
      <c r="N42" s="68" t="str">
        <f>[1]Sheet1!N42</f>
        <v>No</v>
      </c>
      <c r="O42" s="59">
        <f>[1]Sheet1!O42</f>
        <v>0</v>
      </c>
      <c r="P42" s="59">
        <f>[1]Sheet1!P42</f>
        <v>0</v>
      </c>
      <c r="Q42" s="59" t="str">
        <f>[1]Sheet1!Q42</f>
        <v>Seguridad TI</v>
      </c>
      <c r="R42" s="59" t="str">
        <f>[1]Sheet1!R42</f>
        <v>Contar con respaldos no garantiza su recuperación si no se valida periódicamente su integridad. Esto expone a la organización a fallas durante incidentes, ransomware o eventos de pérdida de información.</v>
      </c>
      <c r="S42" s="59">
        <f>[1]Sheet1!S42</f>
        <v>0</v>
      </c>
      <c r="T42" s="59" t="str">
        <f>[1]Sheet1!T42</f>
        <v>Proceso de Respaldo de Sistemas de Información</v>
      </c>
      <c r="U42" s="59">
        <f>[1]Sheet1!U42</f>
        <v>0</v>
      </c>
      <c r="V42" s="59" t="str">
        <f>[1]Sheet1!V42</f>
        <v>Excelencia Operativa</v>
      </c>
      <c r="W42" s="59" t="str">
        <f>[1]Sheet1!W42</f>
        <v>No</v>
      </c>
      <c r="X42" s="59">
        <f>[1]Sheet1!X42</f>
        <v>0</v>
      </c>
      <c r="Y42" s="59" t="str">
        <f>[1]Sheet1!Y42</f>
        <v>Aumenta la confianza en la estrategia de respaldo, fortalece la continuidad operativa y mejora la preparación ante incidentes como ransomware o fallas tecnológicas. Reduce la incertidumbre sobre la capacidad real de recuperación.</v>
      </c>
      <c r="Z42" s="59"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59">
        <f>[1]Sheet1!AA42</f>
        <v>1.2</v>
      </c>
    </row>
    <row r="43" spans="1:27" ht="45.95" customHeight="1">
      <c r="A43" s="59">
        <f>[1]Sheet1!A43</f>
        <v>65</v>
      </c>
      <c r="B43" s="220">
        <f>[1]Sheet1!B43</f>
        <v>46083.708483796298</v>
      </c>
      <c r="C43" s="220">
        <f>[1]Sheet1!C43</f>
        <v>46083.737210648098</v>
      </c>
      <c r="D43" s="59" t="str">
        <f>[1]Sheet1!D43</f>
        <v>frank.palomino@cibertec.pe</v>
      </c>
      <c r="E43" s="59" t="str">
        <f>[1]Sheet1!E43</f>
        <v>Frank Palomino Lizano</v>
      </c>
      <c r="F43" s="59" t="str">
        <f>[1]Sheet1!F43</f>
        <v>Reporte de asistencia y tardanza</v>
      </c>
      <c r="G43" s="59" t="str">
        <f>[1]Sheet1!G43</f>
        <v>Análisis de  asistencia y tardanza en base a falla de marcación por error de sistema y/o error humano</v>
      </c>
      <c r="H43" s="59" t="str">
        <f>[1]Sheet1!H43</f>
        <v>CIB</v>
      </c>
      <c r="I43" s="59" t="str">
        <f>[1]Sheet1!I43</f>
        <v>Humberto Marota - Tecnologías y transformación digital</v>
      </c>
      <c r="J43" s="59" t="str">
        <f>[1]Sheet1!J43</f>
        <v>Juan Huapata</v>
      </c>
      <c r="K43" s="59">
        <f>[1]Sheet1!K43</f>
        <v>0</v>
      </c>
      <c r="L43" s="59" t="str">
        <f>[1]Sheet1!L43</f>
        <v>Ángela Lucano</v>
      </c>
      <c r="M43" s="68">
        <f>[1]Sheet1!M43</f>
        <v>46112</v>
      </c>
      <c r="N43" s="68" t="str">
        <f>[1]Sheet1!N43</f>
        <v>No</v>
      </c>
      <c r="O43" s="59">
        <f>[1]Sheet1!O43</f>
        <v>0</v>
      </c>
      <c r="P43" s="59">
        <f>[1]Sheet1!P43</f>
        <v>0</v>
      </c>
      <c r="Q43" s="59" t="str">
        <f>[1]Sheet1!Q43</f>
        <v>Otro</v>
      </c>
      <c r="R43" s="59" t="str">
        <f>[1]Sheet1!R43</f>
        <v xml:space="preserve">Reporte actual en gestión docente para la función no cumple con la necesidad realizando un trabajo manual muy arduo.
</v>
      </c>
      <c r="S43" s="59">
        <f>[1]Sheet1!S43</f>
        <v>0</v>
      </c>
      <c r="T43" s="59" t="str">
        <f>[1]Sheet1!T43</f>
        <v>Proceso planilla, programación de recuperación de clases, proceso de asistencias entre otros.</v>
      </c>
      <c r="U43" s="59">
        <f>[1]Sheet1!U43</f>
        <v>0</v>
      </c>
      <c r="V43" s="59" t="str">
        <f>[1]Sheet1!V43</f>
        <v>Excelencia operativa</v>
      </c>
      <c r="W43" s="59" t="str">
        <f>[1]Sheet1!W43</f>
        <v>No</v>
      </c>
      <c r="X43" s="59">
        <f>[1]Sheet1!X43</f>
        <v>0</v>
      </c>
      <c r="Y43" s="59" t="str">
        <f>[1]Sheet1!Y43</f>
        <v>Las mejoras  como seguimiento de asistencia docente, recuperación de clases y  contratación de docente que cumplan el horario establecido y a la una organización correcta para su pago de planilla</v>
      </c>
      <c r="Z43" s="59">
        <f>[1]Sheet1!Z43</f>
        <v>0</v>
      </c>
      <c r="AA43" s="59">
        <f>[1]Sheet1!AA43</f>
        <v>0.30000000000000004</v>
      </c>
    </row>
    <row r="44" spans="1:27" ht="45.95" customHeight="1">
      <c r="A44" s="59">
        <f>[1]Sheet1!A44</f>
        <v>66</v>
      </c>
      <c r="B44" s="220">
        <f>[1]Sheet1!B44</f>
        <v>46083.734027777798</v>
      </c>
      <c r="C44" s="220">
        <f>[1]Sheet1!C44</f>
        <v>46083.756967592599</v>
      </c>
      <c r="D44" s="59" t="str">
        <f>[1]Sheet1!D44</f>
        <v>eduardo.paul@cibertec.pe</v>
      </c>
      <c r="E44" s="59" t="str">
        <f>[1]Sheet1!E44</f>
        <v>Eduardo Paul Aguilar</v>
      </c>
      <c r="F44" s="59" t="str">
        <f>[1]Sheet1!F44</f>
        <v>Genesys – Implementación de Timestamps</v>
      </c>
      <c r="G44" s="59"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59" t="str">
        <f>[1]Sheet1!H44</f>
        <v>LAUREATE</v>
      </c>
      <c r="I44" s="59" t="str">
        <f>[1]Sheet1!I44</f>
        <v>Ivan Olivares - VP Marketing y Comercial</v>
      </c>
      <c r="J44" s="59" t="str">
        <f>[1]Sheet1!J44</f>
        <v>Pedro Guibar</v>
      </c>
      <c r="K44" s="59">
        <f>[1]Sheet1!K44</f>
        <v>0</v>
      </c>
      <c r="L44" s="59" t="str">
        <f>[1]Sheet1!L44</f>
        <v>Jose Paredes</v>
      </c>
      <c r="M44" s="68">
        <f>[1]Sheet1!M44</f>
        <v>46098</v>
      </c>
      <c r="N44" s="68" t="str">
        <f>[1]Sheet1!N44</f>
        <v>No</v>
      </c>
      <c r="O44" s="59">
        <f>[1]Sheet1!O44</f>
        <v>0</v>
      </c>
      <c r="P44" s="59">
        <f>[1]Sheet1!P44</f>
        <v>0</v>
      </c>
      <c r="Q44" s="59" t="str">
        <f>[1]Sheet1!Q44</f>
        <v>Otro</v>
      </c>
      <c r="R44" s="59"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59">
        <f>[1]Sheet1!S44</f>
        <v>0</v>
      </c>
      <c r="T44" s="59" t="str">
        <f>[1]Sheet1!T44</f>
        <v>.Gestión de campañas outbound.
Seguimiento y trazabilidad de leads.
Medición de SLA comercial.
Reportería operativa y gerencial.</v>
      </c>
      <c r="U44" s="59" t="str">
        <f>[1]Sheet1!U44</f>
        <v>Administrativos</v>
      </c>
      <c r="V44" s="59" t="str">
        <f>[1]Sheet1!V44</f>
        <v>Excelencia Operativa</v>
      </c>
      <c r="W44" s="59" t="str">
        <f>[1]Sheet1!W44</f>
        <v>No</v>
      </c>
      <c r="X44" s="59" t="str">
        <f>[1]Sheet1!X44</f>
        <v>No cuantificado o S/0</v>
      </c>
      <c r="Y44" s="59"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59" t="str">
        <f>[1]Sheet1!Z44</f>
        <v>https://educorpperu-my.sharepoint.com/personal/diana_zapata_laureate_pe1/_layouts/15/Doc.aspx?sourcedoc=%7B8F59C472-75F3-48E0-9F18-E94B531DC819%7D&amp;file=Solicitud%20de%20requerimientos_Timestamps%201_Eduardo%20Paul%20Aguilar.pptx&amp;action=edit&amp;mobileredirect=true</v>
      </c>
      <c r="AA44" s="59">
        <f>[1]Sheet1!AA44</f>
        <v>0.60000000000000009</v>
      </c>
    </row>
    <row r="45" spans="1:27" ht="45.95" customHeight="1">
      <c r="A45" s="59">
        <f>[1]Sheet1!A45</f>
        <v>67</v>
      </c>
      <c r="B45" s="220">
        <f>[1]Sheet1!B45</f>
        <v>46086.675891203697</v>
      </c>
      <c r="C45" s="220">
        <f>[1]Sheet1!C45</f>
        <v>46086.694652777798</v>
      </c>
      <c r="D45" s="59" t="str">
        <f>[1]Sheet1!D45</f>
        <v>eduardo.paul@cibertec.pe</v>
      </c>
      <c r="E45" s="59" t="str">
        <f>[1]Sheet1!E45</f>
        <v>Eduardo Paul Aguilar</v>
      </c>
      <c r="F45" s="59" t="str">
        <f>[1]Sheet1!F45</f>
        <v>Visualización Adelantada de Clases - Sistema Gestión Docente</v>
      </c>
      <c r="G45" s="59"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59" t="str">
        <f>[1]Sheet1!H45</f>
        <v>CIB</v>
      </c>
      <c r="I45" s="59" t="str">
        <f>[1]Sheet1!I45</f>
        <v>Danilo Tauil - GM TecVoc</v>
      </c>
      <c r="J45" s="59" t="str">
        <f>[1]Sheet1!J45</f>
        <v>Davi Paula Lima Goulart</v>
      </c>
      <c r="K45" s="59">
        <f>[1]Sheet1!K45</f>
        <v>0</v>
      </c>
      <c r="L45" s="59" t="str">
        <f>[1]Sheet1!L45</f>
        <v>Frank Palomino</v>
      </c>
      <c r="M45" s="68">
        <f>[1]Sheet1!M45</f>
        <v>46143</v>
      </c>
      <c r="N45" s="68" t="str">
        <f>[1]Sheet1!N45</f>
        <v>No</v>
      </c>
      <c r="O45" s="59">
        <f>[1]Sheet1!O45</f>
        <v>0</v>
      </c>
      <c r="P45" s="59">
        <f>[1]Sheet1!P45</f>
        <v>0</v>
      </c>
      <c r="Q45" s="59" t="str">
        <f>[1]Sheet1!Q45</f>
        <v>Otro</v>
      </c>
      <c r="R45" s="59" t="str">
        <f>[1]Sheet1!R45</f>
        <v>Hoy el equipo de TI ejecuta 10 dias con antes del inicio de clases un conjuntos de pases produccion para que los alumnos y docnetes puedan ver esta información. Luego un par de dias antes retornan a la normalidad los el programa.</v>
      </c>
      <c r="S45" s="59">
        <f>[1]Sheet1!S45</f>
        <v>0</v>
      </c>
      <c r="T45" s="59" t="str">
        <f>[1]Sheet1!T45</f>
        <v>Asignación de Recursos de TI. Proceso de Pase a Producción. Experiencia al estudiante.</v>
      </c>
      <c r="U45" s="59">
        <f>[1]Sheet1!U45</f>
        <v>0</v>
      </c>
      <c r="V45" s="59" t="str">
        <f>[1]Sheet1!V45</f>
        <v>Excelencia Operativa</v>
      </c>
      <c r="W45" s="59" t="str">
        <f>[1]Sheet1!W45</f>
        <v>No</v>
      </c>
      <c r="X45" s="59">
        <f>[1]Sheet1!X45</f>
        <v>0</v>
      </c>
      <c r="Y45" s="59" t="str">
        <f>[1]Sheet1!Y45</f>
        <v>Asegurar la mejora en la experiencia del estudiante.
Reducción de actividades administrativas de TI.</v>
      </c>
      <c r="Z45" s="59" t="str">
        <f>[1]Sheet1!Z45</f>
        <v>https://educorpperu-my.sharepoint.com/personal/diana_zapata_laureate_pe1/_layouts/15/Doc.aspx?sourcedoc=%7BF15528DB-4205-4182-80A5-0A8B8E36B1BE%7D&amp;file=Solicitud%20adelanto%20y%20retorno%20de%20visualizacion_Eduardo%20Paul%20Aguilar.pptx&amp;action=edit&amp;mobileredirect=true</v>
      </c>
      <c r="AA45" s="59">
        <f>[1]Sheet1!AA45</f>
        <v>0.30000000000000004</v>
      </c>
    </row>
    <row r="46" spans="1:27" ht="45.95" customHeight="1">
      <c r="A46" s="59">
        <f>[1]Sheet1!A46</f>
        <v>68</v>
      </c>
      <c r="B46" s="220">
        <f>[1]Sheet1!B46</f>
        <v>46091.775648148097</v>
      </c>
      <c r="C46" s="220">
        <f>[1]Sheet1!C46</f>
        <v>46091.799606481502</v>
      </c>
      <c r="D46" s="59" t="str">
        <f>[1]Sheet1!D46</f>
        <v>giancarlo.villacorta@upc.pe</v>
      </c>
      <c r="E46" s="59" t="str">
        <f>[1]Sheet1!E46</f>
        <v>Giancarlo Villacorta Quiñones</v>
      </c>
      <c r="F46" s="59" t="str">
        <f>[1]Sheet1!F46</f>
        <v>SUMA: weTALK - Automatización Placement Test WeTALK UPN</v>
      </c>
      <c r="G46" s="59"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59" t="str">
        <f>[1]Sheet1!H46</f>
        <v>UPN</v>
      </c>
      <c r="I46" s="59" t="str">
        <f>[1]Sheet1!I46</f>
        <v>Milagros Morgan - Rectorado UPC</v>
      </c>
      <c r="J46" s="59" t="str">
        <f>[1]Sheet1!J46</f>
        <v xml:space="preserve">Gali García </v>
      </c>
      <c r="K46" s="59">
        <f>[1]Sheet1!K46</f>
        <v>0</v>
      </c>
      <c r="L46" s="59" t="str">
        <f>[1]Sheet1!L46</f>
        <v>Ángela Lucano</v>
      </c>
      <c r="M46" s="68">
        <f>[1]Sheet1!M46</f>
        <v>46237</v>
      </c>
      <c r="N46" s="68" t="str">
        <f>[1]Sheet1!N46</f>
        <v>Si</v>
      </c>
      <c r="O46" s="59" t="str">
        <f>[1]Sheet1!O46</f>
        <v>Revenue Growth</v>
      </c>
      <c r="P46" s="59">
        <f>[1]Sheet1!P46</f>
        <v>76592</v>
      </c>
      <c r="Q46" s="59" t="str">
        <f>[1]Sheet1!Q46</f>
        <v>Otro</v>
      </c>
      <c r="R46" s="59" t="str">
        <f>[1]Sheet1!R46</f>
        <v>Actualmente todo el proceso de Placement test We talk UPN es soportado de forma manual</v>
      </c>
      <c r="S46" s="59">
        <f>[1]Sheet1!S46</f>
        <v>0</v>
      </c>
      <c r="T46" s="59" t="str">
        <f>[1]Sheet1!T46</f>
        <v>Placement test we talk UPN</v>
      </c>
      <c r="U46" s="59">
        <f>[1]Sheet1!U46</f>
        <v>0</v>
      </c>
      <c r="V46" s="59" t="str">
        <f>[1]Sheet1!V46</f>
        <v>Excelencia operativa</v>
      </c>
      <c r="W46" s="59" t="str">
        <f>[1]Sheet1!W46</f>
        <v>No</v>
      </c>
      <c r="X46" s="59">
        <f>[1]Sheet1!X46</f>
        <v>0</v>
      </c>
      <c r="Y46" s="59"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59" t="str">
        <f>[1]Sheet1!Z46</f>
        <v>https://educorpperu-my.sharepoint.com/personal/diana_zapata_laureate_pe1/_layouts/15/Doc.aspx?sourcedoc=%7BE82EB908-B186-4F00-836F-E5E173642CCB%7D&amp;file=Solicitud%20de%20requerimientos%20Automatizaci%C3%B3n%20Pl_Giancarlo%20Villacorta.pptx&amp;action=edit&amp;mobileredirect=true</v>
      </c>
      <c r="AA46" s="59">
        <f>[1]Sheet1!AA46</f>
        <v>1.8</v>
      </c>
    </row>
    <row r="47" spans="1:27" ht="45.95" customHeight="1">
      <c r="A47" s="59">
        <f>[1]Sheet1!A47</f>
        <v>69</v>
      </c>
      <c r="B47" s="220">
        <f>[1]Sheet1!B47</f>
        <v>46093.419641203698</v>
      </c>
      <c r="C47" s="220">
        <f>[1]Sheet1!C47</f>
        <v>46093.4243055556</v>
      </c>
      <c r="D47" s="59" t="str">
        <f>[1]Sheet1!D47</f>
        <v>jose.herbozo@upn.edu.pe</v>
      </c>
      <c r="E47" s="59" t="str">
        <f>[1]Sheet1!E47</f>
        <v>Jose Paredes Herbozo</v>
      </c>
      <c r="F47" s="59" t="str">
        <f>[1]Sheet1!F47</f>
        <v>Admisión online - Habilitación de funcionalidades en CRM UPN - Admisión On Line RITM0603995</v>
      </c>
      <c r="G47" s="59"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59" t="str">
        <f>[1]Sheet1!H47</f>
        <v>UPN</v>
      </c>
      <c r="I47" s="59" t="str">
        <f>[1]Sheet1!I47</f>
        <v>Humberto Marota - Tecnologías y transformación digital</v>
      </c>
      <c r="J47" s="59" t="str">
        <f>[1]Sheet1!J47</f>
        <v xml:space="preserve">Alejandro Tello Llosa </v>
      </c>
      <c r="K47" s="59">
        <f>[1]Sheet1!K47</f>
        <v>0</v>
      </c>
      <c r="L47" s="59" t="str">
        <f>[1]Sheet1!L47</f>
        <v>Jose Paredes</v>
      </c>
      <c r="M47" s="68">
        <f>[1]Sheet1!M47</f>
        <v>46142</v>
      </c>
      <c r="N47" s="68" t="str">
        <f>[1]Sheet1!N47</f>
        <v>Si</v>
      </c>
      <c r="O47" s="59" t="str">
        <f>[1]Sheet1!O47</f>
        <v>Digital &amp; IA</v>
      </c>
      <c r="P47" s="59">
        <f>[1]Sheet1!P47</f>
        <v>75411</v>
      </c>
      <c r="Q47" s="59" t="str">
        <f>[1]Sheet1!Q47</f>
        <v>Otro</v>
      </c>
      <c r="R47" s="59"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59">
        <f>[1]Sheet1!S47</f>
        <v>0</v>
      </c>
      <c r="T47" s="59" t="str">
        <f>[1]Sheet1!T47</f>
        <v>Proceso de Admisión</v>
      </c>
      <c r="U47" s="59">
        <f>[1]Sheet1!U47</f>
        <v>0</v>
      </c>
      <c r="V47" s="59" t="str">
        <f>[1]Sheet1!V47</f>
        <v>Crecimiento escalable</v>
      </c>
      <c r="W47" s="59" t="str">
        <f>[1]Sheet1!W47</f>
        <v>No</v>
      </c>
      <c r="X47" s="59">
        <f>[1]Sheet1!X47</f>
        <v>0</v>
      </c>
      <c r="Y47" s="59" t="str">
        <f>[1]Sheet1!Y47</f>
        <v>Mejorar la experiencia del prospecto, reducir la operatividad del equipo de admisión, reducción los tiempos de matrícula en al menos 48 hrs</v>
      </c>
      <c r="Z47" s="59" t="str">
        <f>[1]Sheet1!Z47</f>
        <v>https://educorpperu-my.sharepoint.com/personal/diana_zapata_laureate_pe1/_layouts/15/Doc.aspx?sourcedoc=%7B61466882-7AAC-4A5D-9EE1-5CB4289AD248%7D&amp;file=Solicitud%20de%20requerimientos%20Idea%20nueva%20y%20mejo_Jose%20Paredes%20Herbozo.pptx&amp;action=edit&amp;mobileredirect=true</v>
      </c>
      <c r="AA47" s="59">
        <f>[1]Sheet1!AA47</f>
        <v>2</v>
      </c>
    </row>
    <row r="48" spans="1:27" ht="45.95" customHeight="1">
      <c r="A48" s="59">
        <f>[1]Sheet1!A48</f>
        <v>70</v>
      </c>
      <c r="B48" s="220">
        <f>[1]Sheet1!B48</f>
        <v>46092.6265277778</v>
      </c>
      <c r="C48" s="220">
        <f>[1]Sheet1!C48</f>
        <v>46093.507175925901</v>
      </c>
      <c r="D48" s="59" t="str">
        <f>[1]Sheet1!D48</f>
        <v>giancarlo.villacorta@upc.pe</v>
      </c>
      <c r="E48" s="59" t="str">
        <f>[1]Sheet1!E48</f>
        <v>Giancarlo Villacorta Quiñones</v>
      </c>
      <c r="F48" s="59" t="str">
        <f>[1]Sheet1!F48</f>
        <v>Automatización de reportería Funnel</v>
      </c>
      <c r="G48" s="59"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59" t="str">
        <f>[1]Sheet1!H48</f>
        <v>UPC</v>
      </c>
      <c r="I48" s="59" t="str">
        <f>[1]Sheet1!I48</f>
        <v>Ivan Olivares - VP Marketing y Comercial</v>
      </c>
      <c r="J48" s="59" t="str">
        <f>[1]Sheet1!J48</f>
        <v xml:space="preserve">Gianfranco Espinoza </v>
      </c>
      <c r="K48" s="59">
        <f>[1]Sheet1!K48</f>
        <v>0</v>
      </c>
      <c r="L48" s="59" t="str">
        <f>[1]Sheet1!L48</f>
        <v>Giancarlo Villacorta</v>
      </c>
      <c r="M48" s="68">
        <f>[1]Sheet1!M48</f>
        <v>46174</v>
      </c>
      <c r="N48" s="68" t="str">
        <f>[1]Sheet1!N48</f>
        <v>Si</v>
      </c>
      <c r="O48" s="59" t="str">
        <f>[1]Sheet1!O48</f>
        <v>Revenue Growth</v>
      </c>
      <c r="P48" s="59">
        <f>[1]Sheet1!P48</f>
        <v>0</v>
      </c>
      <c r="Q48" s="59" t="str">
        <f>[1]Sheet1!Q48</f>
        <v>Otro</v>
      </c>
      <c r="R48" s="59" t="str">
        <f>[1]Sheet1!R48</f>
        <v>Se requiere desarrollar nuevas funcionalidades para automatización de reportes funnel.</v>
      </c>
      <c r="S48" s="59">
        <f>[1]Sheet1!S48</f>
        <v>0</v>
      </c>
      <c r="T48" s="59" t="str">
        <f>[1]Sheet1!T48</f>
        <v>Inscripciones</v>
      </c>
      <c r="U48" s="59">
        <f>[1]Sheet1!U48</f>
        <v>0</v>
      </c>
      <c r="V48" s="59" t="str">
        <f>[1]Sheet1!V48</f>
        <v>Excelencia Operativa;Innovación y Crecimiento;Transformación Digital</v>
      </c>
      <c r="W48" s="59" t="str">
        <f>[1]Sheet1!W48</f>
        <v>No</v>
      </c>
      <c r="X48" s="59">
        <f>[1]Sheet1!X48</f>
        <v>0</v>
      </c>
      <c r="Y48" s="59" t="str">
        <f>[1]Sheet1!Y48</f>
        <v>Esta iniciativa tiene como objetivo incrementar los ingresos proyectados mediante el aumento del número de estudiantes matriculados en los próximos años, así como mejorar la eficiencia en el servicio brindado a los estudiantes.</v>
      </c>
      <c r="Z48" s="59"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59">
        <f>[1]Sheet1!AA48</f>
        <v>1.5</v>
      </c>
    </row>
    <row r="49" spans="1:27" ht="45.95" customHeight="1">
      <c r="A49" s="59">
        <f>[1]Sheet1!A49</f>
        <v>71</v>
      </c>
      <c r="B49" s="220">
        <f>[1]Sheet1!B49</f>
        <v>46093.733761574098</v>
      </c>
      <c r="C49" s="220">
        <f>[1]Sheet1!C49</f>
        <v>46093.827060185198</v>
      </c>
      <c r="D49" s="59" t="str">
        <f>[1]Sheet1!D49</f>
        <v>ronald.benites@laureate.pe</v>
      </c>
      <c r="E49" s="59" t="str">
        <f>[1]Sheet1!E49</f>
        <v>Ronald Benites Vilchez</v>
      </c>
      <c r="F49" s="59" t="str">
        <f>[1]Sheet1!F49</f>
        <v>Automatización end-to-end de la creación de cuentas del AD y cálculo de la denominación del correo institucional mediante HORACIUS en UPN, UPC y CIB. incluyendo la construcción de APIs en HCM.</v>
      </c>
      <c r="G49" s="59"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59" t="str">
        <f>[1]Sheet1!H49</f>
        <v>LAUREATE</v>
      </c>
      <c r="I49" s="59" t="str">
        <f>[1]Sheet1!I49</f>
        <v>Humberto Marota - Tecnologías y transformación digital</v>
      </c>
      <c r="J49" s="59" t="str">
        <f>[1]Sheet1!J49</f>
        <v xml:space="preserve">Henry Longa </v>
      </c>
      <c r="K49" s="59">
        <f>[1]Sheet1!K49</f>
        <v>0</v>
      </c>
      <c r="L49" s="59" t="str">
        <f>[1]Sheet1!L49</f>
        <v>Ninguno</v>
      </c>
      <c r="M49" s="68">
        <f>[1]Sheet1!M49</f>
        <v>46142</v>
      </c>
      <c r="N49" s="68" t="str">
        <f>[1]Sheet1!N49</f>
        <v>No</v>
      </c>
      <c r="O49" s="59">
        <f>[1]Sheet1!O49</f>
        <v>0</v>
      </c>
      <c r="P49" s="59">
        <f>[1]Sheet1!P49</f>
        <v>0</v>
      </c>
      <c r="Q49" s="59" t="str">
        <f>[1]Sheet1!Q49</f>
        <v>Otro</v>
      </c>
      <c r="R49" s="59"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59">
        <f>[1]Sheet1!S49</f>
        <v>0</v>
      </c>
      <c r="T49" s="59" t="str">
        <f>[1]Sheet1!T49</f>
        <v>Proceso de incorporación y gestión de colaboradores 
Procesos operativos del negocio que utilizan aplicaciones institucionales, 
Proceso de gestión de identidades y accesos 
Procesos de control y cumplimiento regulatorio</v>
      </c>
      <c r="U49" s="59" t="str">
        <f>[1]Sheet1!U49</f>
        <v>Todos</v>
      </c>
      <c r="V49" s="59" t="str">
        <f>[1]Sheet1!V49</f>
        <v>Excelencia operativa</v>
      </c>
      <c r="W49" s="59" t="str">
        <f>[1]Sheet1!W49</f>
        <v>No</v>
      </c>
      <c r="X49" s="59" t="str">
        <f>[1]Sheet1!X49</f>
        <v>Menor a S/100,000.00</v>
      </c>
      <c r="Y49" s="59"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59"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59">
        <f>[1]Sheet1!AA49</f>
        <v>1.35</v>
      </c>
    </row>
    <row r="50" spans="1:27" ht="45.95" customHeight="1">
      <c r="A50" s="59">
        <f>[1]Sheet1!A50</f>
        <v>72</v>
      </c>
      <c r="B50" s="220">
        <f>[1]Sheet1!B50</f>
        <v>46097.4821296296</v>
      </c>
      <c r="C50" s="220">
        <f>[1]Sheet1!C50</f>
        <v>46097.537592592598</v>
      </c>
      <c r="D50" s="59" t="str">
        <f>[1]Sheet1!D50</f>
        <v>kenjhy.torres@upc.pe</v>
      </c>
      <c r="E50" s="59" t="str">
        <f>[1]Sheet1!E50</f>
        <v>Kenjhy Torres Vidalon</v>
      </c>
      <c r="F50" s="59" t="str">
        <f>[1]Sheet1!F50</f>
        <v>Correcta visualización de requisitos de cursos con equivalencia</v>
      </c>
      <c r="G50" s="59"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59" t="str">
        <f>[1]Sheet1!H50</f>
        <v>UPC</v>
      </c>
      <c r="I50" s="59" t="str">
        <f>[1]Sheet1!I50</f>
        <v>Milagros Morgan - Rectorado UPC</v>
      </c>
      <c r="J50" s="59" t="str">
        <f>[1]Sheet1!J50</f>
        <v xml:space="preserve">Alice Rodrigues Hoyer </v>
      </c>
      <c r="K50" s="59">
        <f>[1]Sheet1!K50</f>
        <v>0</v>
      </c>
      <c r="L50" s="59" t="str">
        <f>[1]Sheet1!L50</f>
        <v>Ángela Lucano</v>
      </c>
      <c r="M50" s="68">
        <f>[1]Sheet1!M50</f>
        <v>46142</v>
      </c>
      <c r="N50" s="68" t="str">
        <f>[1]Sheet1!N50</f>
        <v>No</v>
      </c>
      <c r="O50" s="59">
        <f>[1]Sheet1!O50</f>
        <v>0</v>
      </c>
      <c r="P50" s="59">
        <f>[1]Sheet1!P50</f>
        <v>0</v>
      </c>
      <c r="Q50" s="59" t="str">
        <f>[1]Sheet1!Q50</f>
        <v>Otro</v>
      </c>
      <c r="R50" s="59"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59">
        <f>[1]Sheet1!S50</f>
        <v>0</v>
      </c>
      <c r="T50" s="59" t="str">
        <f>[1]Sheet1!T50</f>
        <v>Soporte al alumno (mesa de ayuda, atención académica, otros canales) y Auditorías externas (por ejemplo: WASC, SUNEDU u otros procesos de acreditación).</v>
      </c>
      <c r="U50" s="59" t="str">
        <f>[1]Sheet1!U50</f>
        <v>Alumnos</v>
      </c>
      <c r="V50" s="59" t="str">
        <f>[1]Sheet1!V50</f>
        <v>Excelencia académica</v>
      </c>
      <c r="W50" s="59" t="str">
        <f>[1]Sheet1!W50</f>
        <v>Si</v>
      </c>
      <c r="X50" s="59" t="str">
        <f>[1]Sheet1!X50</f>
        <v>No cuantificado o S/0</v>
      </c>
      <c r="Y50" s="59"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59"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59">
        <f>[1]Sheet1!AA50</f>
        <v>1.4</v>
      </c>
    </row>
    <row r="51" spans="1:27" ht="45.95" customHeight="1">
      <c r="A51" s="59">
        <f>[1]Sheet1!A51</f>
        <v>73</v>
      </c>
      <c r="B51" s="220">
        <f>[1]Sheet1!B51</f>
        <v>46097.713333333297</v>
      </c>
      <c r="C51" s="220">
        <f>[1]Sheet1!C51</f>
        <v>46097.749722222201</v>
      </c>
      <c r="D51" s="59" t="str">
        <f>[1]Sheet1!D51</f>
        <v>daniel.cino@upc.pe</v>
      </c>
      <c r="E51" s="59" t="str">
        <f>[1]Sheet1!E51</f>
        <v>Daniel Cino Barreda</v>
      </c>
      <c r="F51" s="59" t="str">
        <f>[1]Sheet1!F51</f>
        <v>IMPULSO AL TRÁMITE DE DEPORTISTAS DESTACADOS</v>
      </c>
      <c r="G51" s="59"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59" t="str">
        <f>[1]Sheet1!H51</f>
        <v>UPC</v>
      </c>
      <c r="I51" s="59" t="str">
        <f>[1]Sheet1!I51</f>
        <v>Milagros Morgan - Rectorado UPC</v>
      </c>
      <c r="J51" s="59" t="str">
        <f>[1]Sheet1!J51</f>
        <v xml:space="preserve">Javiera Alcazar </v>
      </c>
      <c r="K51" s="59">
        <f>[1]Sheet1!K51</f>
        <v>0</v>
      </c>
      <c r="L51" s="59" t="str">
        <f>[1]Sheet1!L51</f>
        <v>Ángela Lucano</v>
      </c>
      <c r="M51" s="68">
        <f>[1]Sheet1!M51</f>
        <v>46111</v>
      </c>
      <c r="N51" s="68" t="str">
        <f>[1]Sheet1!N51</f>
        <v>No</v>
      </c>
      <c r="O51" s="59">
        <f>[1]Sheet1!O51</f>
        <v>0</v>
      </c>
      <c r="P51" s="59">
        <f>[1]Sheet1!P51</f>
        <v>0</v>
      </c>
      <c r="Q51" s="59" t="str">
        <f>[1]Sheet1!Q51</f>
        <v>Otro</v>
      </c>
      <c r="R51" s="59"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59">
        <f>[1]Sheet1!S51</f>
        <v>0</v>
      </c>
      <c r="T51" s="59" t="str">
        <f>[1]Sheet1!T51</f>
        <v>PROCESO DE SOLICITUDES DE SERVICIO DE DEPORTISTAS DESTACADOS. 
IMPACTA EN REGISTRO DE NOTAS, 
CIERRE DE NRC 
CIERRE DE CICLO
CONTROL DE ASISTENCIA DEL ESTUDIANTE
APLICACION DEL REGLAMENTO DE ESTUDIOS Y DEL REGLAMENTO ADMINISTRATIVO ACADÉMICO</v>
      </c>
      <c r="U51" s="59">
        <f>[1]Sheet1!U51</f>
        <v>0</v>
      </c>
      <c r="V51" s="59" t="str">
        <f>[1]Sheet1!V51</f>
        <v>Excelencia operativa</v>
      </c>
      <c r="W51" s="59" t="str">
        <f>[1]Sheet1!W51</f>
        <v>Si</v>
      </c>
      <c r="X51" s="59">
        <f>[1]Sheet1!X51</f>
        <v>0</v>
      </c>
      <c r="Y51" s="59"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59"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59">
        <f>[1]Sheet1!AA51</f>
        <v>0.30000000000000004</v>
      </c>
    </row>
    <row r="52" spans="1:27" ht="45.95" customHeight="1">
      <c r="A52" s="59">
        <f>[1]Sheet1!A52</f>
        <v>74</v>
      </c>
      <c r="B52" s="220">
        <f>[1]Sheet1!B52</f>
        <v>46097.479016203702</v>
      </c>
      <c r="C52" s="220">
        <f>[1]Sheet1!C52</f>
        <v>46097.807569444398</v>
      </c>
      <c r="D52" s="59" t="str">
        <f>[1]Sheet1!D52</f>
        <v>ronald.benites@laureate.pe</v>
      </c>
      <c r="E52" s="59" t="str">
        <f>[1]Sheet1!E52</f>
        <v>Ronald Benites Vilchez</v>
      </c>
      <c r="F52" s="59" t="str">
        <f>[1]Sheet1!F52</f>
        <v>Implementación de flujos de aprobación de solicitudes de acceso a aplicaciones de UPC mediante Horacius.</v>
      </c>
      <c r="G52" s="59"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59" t="str">
        <f>[1]Sheet1!H52</f>
        <v>UPC</v>
      </c>
      <c r="I52" s="59" t="str">
        <f>[1]Sheet1!I52</f>
        <v>Humberto Marota - Tecnologías y transformación digital</v>
      </c>
      <c r="J52" s="59" t="str">
        <f>[1]Sheet1!J52</f>
        <v xml:space="preserve">Henry Longa </v>
      </c>
      <c r="K52" s="59">
        <f>[1]Sheet1!K52</f>
        <v>0</v>
      </c>
      <c r="L52" s="59" t="str">
        <f>[1]Sheet1!L52</f>
        <v xml:space="preserve">Luis Almeyda </v>
      </c>
      <c r="M52" s="68">
        <f>[1]Sheet1!M52</f>
        <v>46113</v>
      </c>
      <c r="N52" s="68" t="str">
        <f>[1]Sheet1!N52</f>
        <v>No</v>
      </c>
      <c r="O52" s="59">
        <f>[1]Sheet1!O52</f>
        <v>0</v>
      </c>
      <c r="P52" s="59">
        <f>[1]Sheet1!P52</f>
        <v>0</v>
      </c>
      <c r="Q52" s="59" t="str">
        <f>[1]Sheet1!Q52</f>
        <v>Otro</v>
      </c>
      <c r="R52" s="59"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59">
        <f>[1]Sheet1!S52</f>
        <v>0</v>
      </c>
      <c r="T52" s="59" t="str">
        <f>[1]Sheet1!T52</f>
        <v xml:space="preserve">•	Proceso de incorporación y gestión de colaboradores 
•	Procesos operativos del negocio que utilizan aplicaciones institucionales, 
•	Proceso de gestión de identidades y accesos 
•	Procesos de control y cumplimiento regulatorio
</v>
      </c>
      <c r="U52" s="59">
        <f>[1]Sheet1!U52</f>
        <v>0</v>
      </c>
      <c r="V52" s="59" t="str">
        <f>[1]Sheet1!V52</f>
        <v>Excelencia Operativa;Innovación y Crecimiento;Transformación Digital</v>
      </c>
      <c r="W52" s="59" t="str">
        <f>[1]Sheet1!W52</f>
        <v>No</v>
      </c>
      <c r="X52" s="59">
        <f>[1]Sheet1!X52</f>
        <v>0</v>
      </c>
      <c r="Y52" s="59"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59"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59">
        <f>[1]Sheet1!AA52</f>
        <v>0</v>
      </c>
    </row>
    <row r="53" spans="1:27" ht="45.95" customHeight="1">
      <c r="A53" s="59">
        <f>[1]Sheet1!A53</f>
        <v>75</v>
      </c>
      <c r="B53" s="220">
        <f>[1]Sheet1!B53</f>
        <v>46097.842962962997</v>
      </c>
      <c r="C53" s="220">
        <f>[1]Sheet1!C53</f>
        <v>46097.862928240698</v>
      </c>
      <c r="D53" s="59" t="str">
        <f>[1]Sheet1!D53</f>
        <v>ronald.benites@laureate.pe</v>
      </c>
      <c r="E53" s="59" t="str">
        <f>[1]Sheet1!E53</f>
        <v>Ronald Benites Vilchez</v>
      </c>
      <c r="F53" s="59" t="str">
        <f>[1]Sheet1!F53</f>
        <v>Implementación de APIs para la automatización del aprovisionamiento y desaprovisionamiento de accesos en aplicaciones de UPC mediante Horacius, con soporte de un proveedor especializado.</v>
      </c>
      <c r="G53" s="59"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59" t="str">
        <f>[1]Sheet1!H53</f>
        <v>UPC</v>
      </c>
      <c r="I53" s="59" t="str">
        <f>[1]Sheet1!I53</f>
        <v>Humberto Marota - Tecnologías y transformación digital</v>
      </c>
      <c r="J53" s="59" t="str">
        <f>[1]Sheet1!J53</f>
        <v xml:space="preserve">Henry Longa </v>
      </c>
      <c r="K53" s="59">
        <f>[1]Sheet1!K53</f>
        <v>0</v>
      </c>
      <c r="L53" s="59" t="str">
        <f>[1]Sheet1!L53</f>
        <v xml:space="preserve">Luis Almeyda </v>
      </c>
      <c r="M53" s="68">
        <f>[1]Sheet1!M53</f>
        <v>46113</v>
      </c>
      <c r="N53" s="68" t="str">
        <f>[1]Sheet1!N53</f>
        <v>No</v>
      </c>
      <c r="O53" s="59">
        <f>[1]Sheet1!O53</f>
        <v>0</v>
      </c>
      <c r="P53" s="59">
        <f>[1]Sheet1!P53</f>
        <v>0</v>
      </c>
      <c r="Q53" s="59" t="str">
        <f>[1]Sheet1!Q53</f>
        <v>Otro</v>
      </c>
      <c r="R53" s="59"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59">
        <f>[1]Sheet1!S53</f>
        <v>0</v>
      </c>
      <c r="T53" s="59" t="str">
        <f>[1]Sheet1!T53</f>
        <v xml:space="preserve">•	Proceso de incorporación y gestión de colaboradores 
•	Procesos operativos del negocio que utilizan aplicaciones institucionales, 
•	Proceso de gestión de identidades y accesos 
•	Procesos de control y cumplimiento regulatorio
</v>
      </c>
      <c r="U53" s="59">
        <f>[1]Sheet1!U53</f>
        <v>0</v>
      </c>
      <c r="V53" s="59" t="str">
        <f>[1]Sheet1!V53</f>
        <v>Excelencia Operativa;Innovación y Crecimiento;Transformación Digital</v>
      </c>
      <c r="W53" s="59" t="str">
        <f>[1]Sheet1!W53</f>
        <v>No</v>
      </c>
      <c r="X53" s="59">
        <f>[1]Sheet1!X53</f>
        <v>0</v>
      </c>
      <c r="Y53" s="59"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59"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59">
        <f>[1]Sheet1!AA53</f>
        <v>0</v>
      </c>
    </row>
    <row r="54" spans="1:27" ht="45.95" customHeight="1">
      <c r="A54" s="59">
        <f>[1]Sheet1!A54</f>
        <v>76</v>
      </c>
      <c r="B54" s="220">
        <f>[1]Sheet1!B54</f>
        <v>46099.400451388901</v>
      </c>
      <c r="C54" s="220">
        <f>[1]Sheet1!C54</f>
        <v>46099.413530092599</v>
      </c>
      <c r="D54" s="59" t="str">
        <f>[1]Sheet1!D54</f>
        <v>giancarlo.villacorta@upc.pe</v>
      </c>
      <c r="E54" s="59" t="str">
        <f>[1]Sheet1!E54</f>
        <v>Giancarlo Villacorta Quiñones</v>
      </c>
      <c r="F54" s="59" t="str">
        <f>[1]Sheet1!F54</f>
        <v>Implementación de clonación automática – Idiomas UPC</v>
      </c>
      <c r="G54" s="59"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59" t="str">
        <f>[1]Sheet1!H54</f>
        <v>UPC</v>
      </c>
      <c r="I54" s="59" t="str">
        <f>[1]Sheet1!I54</f>
        <v>Milagros Morgan - Rectorado UPC</v>
      </c>
      <c r="J54" s="59" t="str">
        <f>[1]Sheet1!J54</f>
        <v>Briam Ledesma</v>
      </c>
      <c r="K54" s="59">
        <f>[1]Sheet1!K54</f>
        <v>0</v>
      </c>
      <c r="L54" s="59" t="str">
        <f>[1]Sheet1!L54</f>
        <v>Ángela Lucano</v>
      </c>
      <c r="M54" s="68">
        <f>[1]Sheet1!M54</f>
        <v>46238</v>
      </c>
      <c r="N54" s="68" t="str">
        <f>[1]Sheet1!N54</f>
        <v>No</v>
      </c>
      <c r="O54" s="59">
        <f>[1]Sheet1!O54</f>
        <v>0</v>
      </c>
      <c r="P54" s="59">
        <f>[1]Sheet1!P54</f>
        <v>0</v>
      </c>
      <c r="Q54" s="59" t="str">
        <f>[1]Sheet1!Q54</f>
        <v>Otro</v>
      </c>
      <c r="R54" s="59"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59">
        <f>[1]Sheet1!S54</f>
        <v>0</v>
      </c>
      <c r="T54" s="59" t="str">
        <f>[1]Sheet1!T54</f>
        <v>Matrícula de alumnos del Centro de Idiomas para programas de Pregrado y EPE.</v>
      </c>
      <c r="U54" s="59" t="str">
        <f>[1]Sheet1!U54</f>
        <v>Alumnos</v>
      </c>
      <c r="V54" s="59" t="str">
        <f>[1]Sheet1!V54</f>
        <v>Excelencia Operativa</v>
      </c>
      <c r="W54" s="59" t="str">
        <f>[1]Sheet1!W54</f>
        <v>No</v>
      </c>
      <c r="X54" s="59" t="str">
        <f>[1]Sheet1!X54</f>
        <v>No cuantificado o S/0</v>
      </c>
      <c r="Y54" s="59"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59"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59">
        <f>[1]Sheet1!AA54</f>
        <v>1.2000000000000002</v>
      </c>
    </row>
    <row r="55" spans="1:27" ht="45.95" customHeight="1">
      <c r="A55" s="59">
        <f>[1]Sheet1!A55</f>
        <v>77</v>
      </c>
      <c r="B55" s="220">
        <f>[1]Sheet1!B55</f>
        <v>46099.589618055601</v>
      </c>
      <c r="C55" s="220">
        <f>[1]Sheet1!C55</f>
        <v>46099.6251388889</v>
      </c>
      <c r="D55" s="59" t="str">
        <f>[1]Sheet1!D55</f>
        <v>amador.pfuro@laureate.pe</v>
      </c>
      <c r="E55" s="59" t="str">
        <f>[1]Sheet1!E55</f>
        <v>Amador Pfuro Tapia</v>
      </c>
      <c r="F55" s="59" t="str">
        <f>[1]Sheet1!F55</f>
        <v>Mejora en la Plataforma de Sostenibilidad</v>
      </c>
      <c r="G55" s="59"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59" t="str">
        <f>[1]Sheet1!H55</f>
        <v>UPC</v>
      </c>
      <c r="I55" s="59" t="str">
        <f>[1]Sheet1!I55</f>
        <v>Claudia Cabrera - VP Comunicaciones</v>
      </c>
      <c r="J55" s="59" t="str">
        <f>[1]Sheet1!J55</f>
        <v xml:space="preserve">Marizoila Fontana </v>
      </c>
      <c r="K55" s="59">
        <f>[1]Sheet1!K55</f>
        <v>0</v>
      </c>
      <c r="L55" s="59" t="str">
        <f>[1]Sheet1!L55</f>
        <v>Ángela Lucano</v>
      </c>
      <c r="M55" s="68">
        <f>[1]Sheet1!M55</f>
        <v>46122</v>
      </c>
      <c r="N55" s="68" t="str">
        <f>[1]Sheet1!N55</f>
        <v>No</v>
      </c>
      <c r="O55" s="59">
        <f>[1]Sheet1!O55</f>
        <v>0</v>
      </c>
      <c r="P55" s="59">
        <f>[1]Sheet1!P55</f>
        <v>0</v>
      </c>
      <c r="Q55" s="59" t="str">
        <f>[1]Sheet1!Q55</f>
        <v>Otro</v>
      </c>
      <c r="R55" s="59"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59">
        <f>[1]Sheet1!S55</f>
        <v>0</v>
      </c>
      <c r="T55" s="59"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59" t="str">
        <f>[1]Sheet1!U55</f>
        <v>Administrativos</v>
      </c>
      <c r="V55" s="59" t="str">
        <f>[1]Sheet1!V55</f>
        <v>Excelencia operativa</v>
      </c>
      <c r="W55" s="59" t="str">
        <f>[1]Sheet1!W55</f>
        <v>No</v>
      </c>
      <c r="X55" s="59" t="str">
        <f>[1]Sheet1!X55</f>
        <v>No cuantificado o S/0</v>
      </c>
      <c r="Y55" s="59" t="str">
        <f>[1]Sheet1!Y55</f>
        <v>Mejora en la calidad, trazabilidad y confiabilidad de la información registrada, reduciendo errores, reprocesos y riesgos asociados a inconsistencias en auditorías, reportes externos y decisiones de alta dirección.</v>
      </c>
      <c r="Z55" s="59" t="str">
        <f>[1]Sheet1!Z55</f>
        <v>https://educorpperu-my.sharepoint.com/personal/diana_zapata_laureate_pe1/_layouts/15/Doc.aspx?sourcedoc=%7BFCB7DE8D-4941-4103-BDAE-025062FE0577%7D&amp;file=Solicitud%20de%20requerimientos%20Idea%20nueva%20y%20mejo_Amador%20Pfuro%20Tapia.pptx&amp;action=edit&amp;mobileredirect=true</v>
      </c>
      <c r="AA55" s="59">
        <f>[1]Sheet1!AA55</f>
        <v>0.45000000000000007</v>
      </c>
    </row>
    <row r="56" spans="1:27" ht="45.95" customHeight="1">
      <c r="A56" s="59">
        <f>[1]Sheet1!A56</f>
        <v>78</v>
      </c>
      <c r="B56" s="220">
        <f>[1]Sheet1!B56</f>
        <v>46098.392349537004</v>
      </c>
      <c r="C56" s="220">
        <f>[1]Sheet1!C56</f>
        <v>46101.478703703702</v>
      </c>
      <c r="D56" s="59" t="str">
        <f>[1]Sheet1!D56</f>
        <v>angela.lucano@upc.pe</v>
      </c>
      <c r="E56" s="59" t="str">
        <f>[1]Sheet1!E56</f>
        <v>Angela Lucano Carranza</v>
      </c>
      <c r="F56" s="59" t="str">
        <f>[1]Sheet1!F56</f>
        <v>Mejora del Reporte de Matriculados de Licencias Coursera (Sólo matriculados)</v>
      </c>
      <c r="G56" s="59"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59" t="str">
        <f>[1]Sheet1!H56</f>
        <v>UPC</v>
      </c>
      <c r="I56" s="59" t="str">
        <f>[1]Sheet1!I56</f>
        <v>Mónica García - VP Operaciones Digitales y Online</v>
      </c>
      <c r="J56" s="59" t="str">
        <f>[1]Sheet1!J56</f>
        <v xml:space="preserve">Soledad Alfaro </v>
      </c>
      <c r="K56" s="59">
        <f>[1]Sheet1!K56</f>
        <v>0</v>
      </c>
      <c r="L56" s="59" t="str">
        <f>[1]Sheet1!L56</f>
        <v>Ángela Lucano</v>
      </c>
      <c r="M56" s="68">
        <f>[1]Sheet1!M56</f>
        <v>46234</v>
      </c>
      <c r="N56" s="68" t="str">
        <f>[1]Sheet1!N56</f>
        <v>No</v>
      </c>
      <c r="O56" s="59">
        <f>[1]Sheet1!O56</f>
        <v>0</v>
      </c>
      <c r="P56" s="59">
        <f>[1]Sheet1!P56</f>
        <v>0</v>
      </c>
      <c r="Q56" s="59" t="str">
        <f>[1]Sheet1!Q56</f>
        <v>Otro</v>
      </c>
      <c r="R56" s="59"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59">
        <f>[1]Sheet1!S56</f>
        <v>0</v>
      </c>
      <c r="T56" s="59"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59" t="str">
        <f>[1]Sheet1!U56</f>
        <v>Administrativos</v>
      </c>
      <c r="V56" s="59" t="str">
        <f>[1]Sheet1!V56</f>
        <v>Excelencia operativa</v>
      </c>
      <c r="W56" s="59" t="str">
        <f>[1]Sheet1!W56</f>
        <v>Si</v>
      </c>
      <c r="X56" s="59" t="str">
        <f>[1]Sheet1!X56</f>
        <v>Menor a S/100,000.00</v>
      </c>
      <c r="Y56" s="59"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59" t="str">
        <f>[1]Sheet1!Z56</f>
        <v>https://educorpperu-my.sharepoint.com/personal/diana_zapata_laureate_pe1/_layouts/15/Doc.aspx?sourcedoc=%7B1E80FFDC-3F4D-4CFD-82C9-69626EE634C9%7D&amp;file=Plantilla%20Solicitud%20de%20requerimientos%20Reporte_Angela%20Lucano%20Carran.pptx&amp;action=edit&amp;mobileredirect=true</v>
      </c>
      <c r="AA56" s="59">
        <f>[1]Sheet1!AA56</f>
        <v>0.75000000000000011</v>
      </c>
    </row>
    <row r="57" spans="1:27" ht="45.95" customHeight="1">
      <c r="A57" s="59">
        <f>[1]Sheet1!A57</f>
        <v>79</v>
      </c>
      <c r="B57" s="220">
        <f>[1]Sheet1!B57</f>
        <v>46101.478958333297</v>
      </c>
      <c r="C57" s="220">
        <f>[1]Sheet1!C57</f>
        <v>46101.485960648097</v>
      </c>
      <c r="D57" s="59" t="str">
        <f>[1]Sheet1!D57</f>
        <v>angela.lucano@upc.pe</v>
      </c>
      <c r="E57" s="59" t="str">
        <f>[1]Sheet1!E57</f>
        <v>Angela Lucano Carranza</v>
      </c>
      <c r="F57" s="59" t="str">
        <f>[1]Sheet1!F57</f>
        <v>Mejora del Reporte de Matriculados de Licencias Coursera (Sólo notas)</v>
      </c>
      <c r="G57" s="59"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59" t="str">
        <f>[1]Sheet1!H57</f>
        <v>UPC</v>
      </c>
      <c r="I57" s="59" t="str">
        <f>[1]Sheet1!I57</f>
        <v>Mónica García - VP Operaciones Digitales y Online</v>
      </c>
      <c r="J57" s="59" t="str">
        <f>[1]Sheet1!J57</f>
        <v xml:space="preserve">Soledad Alfaro </v>
      </c>
      <c r="K57" s="59">
        <f>[1]Sheet1!K57</f>
        <v>0</v>
      </c>
      <c r="L57" s="59" t="str">
        <f>[1]Sheet1!L57</f>
        <v>Ángela Lucano</v>
      </c>
      <c r="M57" s="68">
        <f>[1]Sheet1!M57</f>
        <v>46234</v>
      </c>
      <c r="N57" s="68" t="str">
        <f>[1]Sheet1!N57</f>
        <v>No</v>
      </c>
      <c r="O57" s="59">
        <f>[1]Sheet1!O57</f>
        <v>0</v>
      </c>
      <c r="P57" s="59">
        <f>[1]Sheet1!P57</f>
        <v>0</v>
      </c>
      <c r="Q57" s="59" t="str">
        <f>[1]Sheet1!Q57</f>
        <v>Otro</v>
      </c>
      <c r="R57" s="59"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59">
        <f>[1]Sheet1!S57</f>
        <v>0</v>
      </c>
      <c r="T57" s="59" t="str">
        <f>[1]Sheet1!T57</f>
        <v>Proceso de seguimiento académico y comunicación personalizada a estudiantes (solo en el caso de notas)
Proceso de generación de reportes de cierre de ciclo (matrículas + notas)</v>
      </c>
      <c r="U57" s="59">
        <f>[1]Sheet1!U57</f>
        <v>0</v>
      </c>
      <c r="V57" s="59" t="str">
        <f>[1]Sheet1!V57</f>
        <v>Excelencia operativa</v>
      </c>
      <c r="W57" s="59" t="str">
        <f>[1]Sheet1!W57</f>
        <v>Si</v>
      </c>
      <c r="X57" s="59">
        <f>[1]Sheet1!X57</f>
        <v>0</v>
      </c>
      <c r="Y57" s="59" t="str">
        <f>[1]Sheet1!Y57</f>
        <v>Entrega de comunicaciones personalizadas a estudiantes sobre su avance.</v>
      </c>
      <c r="Z57" s="59" t="str">
        <f>[1]Sheet1!Z57</f>
        <v>https://educorpperu-my.sharepoint.com/personal/diana_zapata_laureate_pe1/_layouts/15/Doc.aspx?sourcedoc=%7BCABC557D-B48D-48A5-97C3-D586FDCFB6EB%7D&amp;file=Plantilla%20Solicitud%20de%20requerimientos%20Reporte_Angela%20Lucano%20Carran%201.pptx&amp;action=edit&amp;mobileredirect=true</v>
      </c>
      <c r="AA57" s="59">
        <f>[1]Sheet1!AA57</f>
        <v>0.30000000000000004</v>
      </c>
    </row>
    <row r="58" spans="1:27" ht="45.95" customHeight="1">
      <c r="A58" s="59">
        <f>[1]Sheet1!A58</f>
        <v>80</v>
      </c>
      <c r="B58" s="220">
        <f>[1]Sheet1!B58</f>
        <v>46105.570034722201</v>
      </c>
      <c r="C58" s="220">
        <f>[1]Sheet1!C58</f>
        <v>46105.588645833297</v>
      </c>
      <c r="D58" s="59" t="str">
        <f>[1]Sheet1!D58</f>
        <v>gerson.vereau@upn.edu.pe</v>
      </c>
      <c r="E58" s="59" t="str">
        <f>[1]Sheet1!E58</f>
        <v>Gerson Vereau Rosas</v>
      </c>
      <c r="F58" s="59" t="str">
        <f>[1]Sheet1!F58</f>
        <v>MODIFICACION DE CAMPO OBLIGATORIO EN LIBRO VIRTUAL DE RECLAMACIONES UPN</v>
      </c>
      <c r="G58" s="59" t="str">
        <f>[1]Sheet1!G58</f>
        <v xml:space="preserve">Configurar el campo EMAIL del formulario virtual del libro de reclamaciones para que no tenga la condición de obligatorio. Además que se configure un Push-up donde se muestre un texto que invite a registrar un correo electrónico
</v>
      </c>
      <c r="H58" s="59" t="str">
        <f>[1]Sheet1!H58</f>
        <v>UPN</v>
      </c>
      <c r="I58" s="59" t="str">
        <f>[1]Sheet1!I58</f>
        <v>Álvaro Valdez - VP Operaciones</v>
      </c>
      <c r="J58" s="59" t="str">
        <f>[1]Sheet1!J58</f>
        <v xml:space="preserve">Luis Roncal </v>
      </c>
      <c r="K58" s="59">
        <f>[1]Sheet1!K58</f>
        <v>0</v>
      </c>
      <c r="L58" s="59" t="str">
        <f>[1]Sheet1!L58</f>
        <v>Gerson Vereau</v>
      </c>
      <c r="M58" s="68">
        <f>[1]Sheet1!M58</f>
        <v>46118</v>
      </c>
      <c r="N58" s="68" t="str">
        <f>[1]Sheet1!N58</f>
        <v>No</v>
      </c>
      <c r="O58" s="59">
        <f>[1]Sheet1!O58</f>
        <v>0</v>
      </c>
      <c r="P58" s="59">
        <f>[1]Sheet1!P58</f>
        <v>0</v>
      </c>
      <c r="Q58" s="59" t="str">
        <f>[1]Sheet1!Q58</f>
        <v>Otro</v>
      </c>
      <c r="R58" s="59"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59">
        <f>[1]Sheet1!S58</f>
        <v>0</v>
      </c>
      <c r="T58" s="59" t="str">
        <f>[1]Sheet1!T58</f>
        <v>Proceso de Gestión de quejas y reclamos de estudiantes.</v>
      </c>
      <c r="U58" s="59">
        <f>[1]Sheet1!U58</f>
        <v>0</v>
      </c>
      <c r="V58" s="59" t="str">
        <f>[1]Sheet1!V58</f>
        <v>Excelencia Operativa</v>
      </c>
      <c r="W58" s="59" t="str">
        <f>[1]Sheet1!W58</f>
        <v>No</v>
      </c>
      <c r="X58" s="59">
        <f>[1]Sheet1!X58</f>
        <v>0</v>
      </c>
      <c r="Y58" s="59"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59" t="str">
        <f>[1]Sheet1!Z58</f>
        <v>https://educorpperu-my.sharepoint.com/personal/diana_zapata_laureate_pe1/_layouts/15/Doc.aspx?sourcedoc=%7BC9D14665-0CC6-4BCF-854A-0BBA05E5B0A2%7D&amp;file=Solicitud%20de%20requerimientos%20Idea%20nueva%20y%20mejo_Gerson%20Vereau%20Rosas.pptx&amp;action=edit&amp;mobileredirect=true</v>
      </c>
      <c r="AA58" s="59">
        <f>[1]Sheet1!AA58</f>
        <v>0.30000000000000004</v>
      </c>
    </row>
    <row r="59" spans="1:27" ht="45.95" customHeight="1">
      <c r="A59" s="59">
        <f>[1]Sheet1!A59</f>
        <v>81</v>
      </c>
      <c r="B59" s="220">
        <f>[1]Sheet1!B59</f>
        <v>46105.575358796297</v>
      </c>
      <c r="C59" s="220">
        <f>[1]Sheet1!C59</f>
        <v>46105.606215277803</v>
      </c>
      <c r="D59" s="59" t="str">
        <f>[1]Sheet1!D59</f>
        <v>carla.arias@upn.edu.pe</v>
      </c>
      <c r="E59" s="59" t="str">
        <f>[1]Sheet1!E59</f>
        <v>Carla Arias Schreiber Ulloa</v>
      </c>
      <c r="F59" s="59" t="str">
        <f>[1]Sheet1!F59</f>
        <v>Automatización de Programación UPN</v>
      </c>
      <c r="G59" s="59"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59" t="str">
        <f>[1]Sheet1!H59</f>
        <v>UPN</v>
      </c>
      <c r="I59" s="59" t="str">
        <f>[1]Sheet1!I59</f>
        <v>Martín Santana - Rectorado UPN</v>
      </c>
      <c r="J59" s="59" t="str">
        <f>[1]Sheet1!J59</f>
        <v xml:space="preserve">Janeth Albujar </v>
      </c>
      <c r="K59" s="59">
        <f>[1]Sheet1!K59</f>
        <v>0</v>
      </c>
      <c r="L59" s="59" t="str">
        <f>[1]Sheet1!L59</f>
        <v>Carla Arias-Schreiber</v>
      </c>
      <c r="M59" s="68">
        <f>[1]Sheet1!M59</f>
        <v>46356</v>
      </c>
      <c r="N59" s="68" t="str">
        <f>[1]Sheet1!N59</f>
        <v>Si</v>
      </c>
      <c r="O59" s="59" t="str">
        <f>[1]Sheet1!O59</f>
        <v>Academic Managment</v>
      </c>
      <c r="P59" s="59">
        <f>[1]Sheet1!P59</f>
        <v>76290</v>
      </c>
      <c r="Q59" s="59" t="str">
        <f>[1]Sheet1!Q59</f>
        <v>Otro</v>
      </c>
      <c r="R59" s="59"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59">
        <f>[1]Sheet1!S59</f>
        <v>0</v>
      </c>
      <c r="T59" s="59" t="str">
        <f>[1]Sheet1!T59</f>
        <v>Estimación de demanda
Planificación y programación de horarios
Matrícula de estudiantes (nuevos, continuos, reingresos)
Alcance UG/ WA, en todas las modalidades de dictado.</v>
      </c>
      <c r="U59" s="59">
        <f>[1]Sheet1!U59</f>
        <v>0</v>
      </c>
      <c r="V59" s="59" t="str">
        <f>[1]Sheet1!V59</f>
        <v>Excelencia operativa</v>
      </c>
      <c r="W59" s="59" t="str">
        <f>[1]Sheet1!W59</f>
        <v>No</v>
      </c>
      <c r="X59" s="59">
        <f>[1]Sheet1!X59</f>
        <v>0</v>
      </c>
      <c r="Y59" s="59" t="str">
        <f>[1]Sheet1!Y59</f>
        <v>Demanda confiable
Evitar tantas adecuaciones de programación durante la matrícula
Matrícula más fluida</v>
      </c>
      <c r="Z59" s="59"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59">
        <f>[1]Sheet1!AA59</f>
        <v>1.8</v>
      </c>
    </row>
    <row r="60" spans="1:27" ht="45.95" customHeight="1">
      <c r="A60" s="59">
        <f>[1]Sheet1!A60</f>
        <v>82</v>
      </c>
      <c r="B60" s="220">
        <f>[1]Sheet1!B60</f>
        <v>46106.062025462998</v>
      </c>
      <c r="C60" s="220">
        <f>[1]Sheet1!C60</f>
        <v>46106.067824074104</v>
      </c>
      <c r="D60" s="149" t="str">
        <f>[1]Sheet1!D60</f>
        <v>jose.herbozo@upn.edu.pe</v>
      </c>
      <c r="E60" s="149" t="str">
        <f>[1]Sheet1!E60</f>
        <v>Jose Paredes Herbozo</v>
      </c>
      <c r="F60" s="149" t="str">
        <f>[1]Sheet1!F60</f>
        <v>B2B inhouse - Ajuste para que en las facturas muestren la descripción del nombre del programa que se está vendiendo</v>
      </c>
      <c r="G60" s="149" t="str">
        <f>[1]Sheet1!G60</f>
        <v>Que las facturas de UPN emitidas de programas de posgrado y/o Programas Inhouse detallen el nombre largo del programa en las facturas que generamos para venta B2B.</v>
      </c>
      <c r="H60" s="149" t="str">
        <f>[1]Sheet1!H60</f>
        <v>UPN</v>
      </c>
      <c r="I60" s="149" t="str">
        <f>[1]Sheet1!I60</f>
        <v>Ivan Olivares - VP Marketing y Comercial</v>
      </c>
      <c r="J60" s="149" t="str">
        <f>[1]Sheet1!J60</f>
        <v>Tatiana Chiock</v>
      </c>
      <c r="K60" s="59">
        <f>[1]Sheet1!K60</f>
        <v>0</v>
      </c>
      <c r="L60" s="149" t="str">
        <f>[1]Sheet1!L60</f>
        <v>Jose Paredes</v>
      </c>
      <c r="M60" s="151">
        <f>[1]Sheet1!M60</f>
        <v>46127</v>
      </c>
      <c r="N60" s="151" t="str">
        <f>[1]Sheet1!N60</f>
        <v>Si</v>
      </c>
      <c r="O60" s="221" t="str">
        <f>[1]Sheet1!O60</f>
        <v>Revenue Growth</v>
      </c>
      <c r="P60" s="221">
        <f>[1]Sheet1!P60</f>
        <v>77418</v>
      </c>
      <c r="Q60" s="149" t="str">
        <f>[1]Sheet1!Q60</f>
        <v>Otro</v>
      </c>
      <c r="R60" s="221" t="str">
        <f>[1]Sheet1!R60</f>
        <v>Que las facturas de UPN emitidas de programas de posgrado y/o Programas Inhouse detallen el nombre largo del programa en las facturas emitidas a B2B</v>
      </c>
      <c r="S60" s="149">
        <f>[1]Sheet1!S60</f>
        <v>0</v>
      </c>
      <c r="T60" s="149" t="str">
        <f>[1]Sheet1!T60</f>
        <v>Venta B2B, facturación</v>
      </c>
      <c r="U60" s="149">
        <f>[1]Sheet1!U60</f>
        <v>0</v>
      </c>
      <c r="V60" s="149" t="str">
        <f>[1]Sheet1!V60</f>
        <v>Crecimiento escalable</v>
      </c>
      <c r="W60" s="149" t="str">
        <f>[1]Sheet1!W60</f>
        <v>No</v>
      </c>
      <c r="X60" s="149">
        <f>[1]Sheet1!X60</f>
        <v>0</v>
      </c>
      <c r="Y60" s="149" t="str">
        <f>[1]Sheet1!Y60</f>
        <v xml:space="preserve">Revenue estimado high level 500K PEN
</v>
      </c>
      <c r="Z60" s="59"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59">
        <f>[1]Sheet1!AA60</f>
        <v>2</v>
      </c>
    </row>
    <row r="61" spans="1:27" ht="45.95" customHeight="1">
      <c r="A61" s="59">
        <f>[1]Sheet1!A61</f>
        <v>83</v>
      </c>
      <c r="B61" s="220">
        <f>[1]Sheet1!B61</f>
        <v>46106.067951388897</v>
      </c>
      <c r="C61" s="220">
        <f>[1]Sheet1!C61</f>
        <v>46106.080798611103</v>
      </c>
      <c r="D61" s="149" t="str">
        <f>[1]Sheet1!D61</f>
        <v>jose.herbozo@upn.edu.pe</v>
      </c>
      <c r="E61" s="149" t="str">
        <f>[1]Sheet1!E61</f>
        <v>Jose Paredes Herbozo</v>
      </c>
      <c r="F61" s="149" t="str">
        <f>[1]Sheet1!F61</f>
        <v>B2B inhouse - Implementar proceso en Banner que permita la ejecución masiva de las actividades de incorporación en Banner a la población de ingresantes B2B</v>
      </c>
      <c r="G61" s="149" t="str">
        <f>[1]Sheet1!G61</f>
        <v>Reducir tiempos de ventas para B2B</v>
      </c>
      <c r="H61" s="149" t="str">
        <f>[1]Sheet1!H61</f>
        <v>UPN</v>
      </c>
      <c r="I61" s="149" t="str">
        <f>[1]Sheet1!I61</f>
        <v>Ivan Olivares - VP Marketing y Comercial</v>
      </c>
      <c r="J61" s="149" t="str">
        <f>[1]Sheet1!J61</f>
        <v>Tatiana Chiock</v>
      </c>
      <c r="K61" s="59">
        <f>[1]Sheet1!K61</f>
        <v>0</v>
      </c>
      <c r="L61" s="149" t="str">
        <f>[1]Sheet1!L61</f>
        <v>Jose Paredes</v>
      </c>
      <c r="M61" s="151">
        <f>[1]Sheet1!M61</f>
        <v>46127</v>
      </c>
      <c r="N61" s="151" t="str">
        <f>[1]Sheet1!N61</f>
        <v>Si</v>
      </c>
      <c r="O61" s="221" t="str">
        <f>[1]Sheet1!O61</f>
        <v>Revenue Growth</v>
      </c>
      <c r="P61" s="221">
        <f>[1]Sheet1!P61</f>
        <v>77418</v>
      </c>
      <c r="Q61" s="149" t="str">
        <f>[1]Sheet1!Q61</f>
        <v>Otro</v>
      </c>
      <c r="R61" s="221" t="str">
        <f>[1]Sheet1!R61</f>
        <v>Actualmente la carga en Banner para B2B es manual, 1 a 1, esto hace un trabajo operativo muy grande.</v>
      </c>
      <c r="S61" s="149">
        <f>[1]Sheet1!S61</f>
        <v>0</v>
      </c>
      <c r="T61" s="149" t="str">
        <f>[1]Sheet1!T61</f>
        <v>Admisión B2B.</v>
      </c>
      <c r="U61" s="149">
        <f>[1]Sheet1!U61</f>
        <v>0</v>
      </c>
      <c r="V61" s="149" t="str">
        <f>[1]Sheet1!V61</f>
        <v>Crecimiento escalable</v>
      </c>
      <c r="W61" s="149" t="str">
        <f>[1]Sheet1!W61</f>
        <v>No</v>
      </c>
      <c r="X61" s="149">
        <f>[1]Sheet1!X61</f>
        <v>0</v>
      </c>
      <c r="Y61" s="149" t="str">
        <f>[1]Sheet1!Y61</f>
        <v>Reducción en la operación e incremento en agilidad de venta.</v>
      </c>
      <c r="Z61" s="59"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59">
        <f>[1]Sheet1!AA61</f>
        <v>2</v>
      </c>
    </row>
    <row r="62" spans="1:27" ht="45.95" customHeight="1">
      <c r="A62" s="59">
        <f>[1]Sheet1!A62</f>
        <v>84</v>
      </c>
      <c r="B62" s="220">
        <f>[1]Sheet1!B62</f>
        <v>46106.080833333297</v>
      </c>
      <c r="C62" s="220">
        <f>[1]Sheet1!C62</f>
        <v>46106.090543981503</v>
      </c>
      <c r="D62" s="149" t="str">
        <f>[1]Sheet1!D62</f>
        <v>jose.herbozo@upn.edu.pe</v>
      </c>
      <c r="E62" s="149" t="str">
        <f>[1]Sheet1!E62</f>
        <v>Jose Paredes Herbozo</v>
      </c>
      <c r="F62" s="149" t="str">
        <f>[1]Sheet1!F62</f>
        <v>Modificación de regla en CRM cuando se ingrese un lead con fuente de ingreso mixta</v>
      </c>
      <c r="G62" s="149"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149" t="str">
        <f>[1]Sheet1!H62</f>
        <v>UPN</v>
      </c>
      <c r="I62" s="149" t="str">
        <f>[1]Sheet1!I62</f>
        <v>Ivan Olivares - VP Marketing y Comercial</v>
      </c>
      <c r="J62" s="149" t="str">
        <f>[1]Sheet1!J62</f>
        <v>José Chojeda</v>
      </c>
      <c r="K62" s="59">
        <f>[1]Sheet1!K62</f>
        <v>0</v>
      </c>
      <c r="L62" s="149" t="str">
        <f>[1]Sheet1!L62</f>
        <v>Jose Paredes</v>
      </c>
      <c r="M62" s="151">
        <f>[1]Sheet1!M62</f>
        <v>46127</v>
      </c>
      <c r="N62" s="151" t="str">
        <f>[1]Sheet1!N62</f>
        <v>No</v>
      </c>
      <c r="O62" s="221">
        <f>[1]Sheet1!O62</f>
        <v>0</v>
      </c>
      <c r="P62" s="221">
        <f>[1]Sheet1!P62</f>
        <v>0</v>
      </c>
      <c r="Q62" s="221" t="str">
        <f>[1]Sheet1!Q62</f>
        <v>Otro</v>
      </c>
      <c r="R62" s="221" t="str">
        <f>[1]Sheet1!R62</f>
        <v>Actualmente el número de celular de un lead mixto no se está actualizando con la última información.</v>
      </c>
      <c r="S62" s="149">
        <f>[1]Sheet1!S62</f>
        <v>0</v>
      </c>
      <c r="T62" s="149" t="str">
        <f>[1]Sheet1!T62</f>
        <v>Admisión</v>
      </c>
      <c r="U62" s="149" t="str">
        <f>[1]Sheet1!U62</f>
        <v>Administrativos</v>
      </c>
      <c r="V62" s="149" t="str">
        <f>[1]Sheet1!V62</f>
        <v>Crecimiento escalable</v>
      </c>
      <c r="W62" s="149" t="str">
        <f>[1]Sheet1!W62</f>
        <v>No</v>
      </c>
      <c r="X62" s="149" t="str">
        <f>[1]Sheet1!X62</f>
        <v>No cuantificado o S/0</v>
      </c>
      <c r="Y62" s="149" t="str">
        <f>[1]Sheet1!Y62</f>
        <v xml:space="preserve">Impacto en ventas directo al tener el último número de celular ingresado por el negocio. </v>
      </c>
      <c r="Z62" s="59" t="str">
        <f>[1]Sheet1!Z62</f>
        <v>https://educorpperu-my.sharepoint.com/personal/diana_zapata_laureate_pe1/_layouts/15/Doc.aspx?sourcedoc=%7B6B191BF9-63B5-46D3-94DE-F8FA06426D61%7D&amp;file=SOLICITUD%20CAMPOS%20UTM%20MADURACI%C3%93N%20-%20MODIFICACIO_Jose%20Paredes%20Herbozo.pptx&amp;action=edit&amp;mobileredirect=true</v>
      </c>
      <c r="AA62" s="59">
        <f>[1]Sheet1!AA62</f>
        <v>0.65</v>
      </c>
    </row>
    <row r="63" spans="1:27" ht="45.95" customHeight="1">
      <c r="A63" s="59">
        <f>[1]Sheet1!A63</f>
        <v>85</v>
      </c>
      <c r="B63" s="220">
        <f>[1]Sheet1!B63</f>
        <v>46105.588715277801</v>
      </c>
      <c r="C63" s="220">
        <f>[1]Sheet1!C63</f>
        <v>46106.476041666698</v>
      </c>
      <c r="D63" s="149" t="str">
        <f>[1]Sheet1!D63</f>
        <v>gerson.vereau@upn.edu.pe</v>
      </c>
      <c r="E63" s="149" t="str">
        <f>[1]Sheet1!E63</f>
        <v>Gerson Vereau Rosas</v>
      </c>
      <c r="F63" s="149" t="str">
        <f>[1]Sheet1!F63</f>
        <v>Implementación de encuesta de satisfacción post atención y base de datos en canal telefónico UPN</v>
      </c>
      <c r="G63" s="149"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149" t="str">
        <f>[1]Sheet1!H63</f>
        <v>UPN</v>
      </c>
      <c r="I63" s="149" t="str">
        <f>[1]Sheet1!I63</f>
        <v>Mónica García - VP Operaciones Digitales y Online</v>
      </c>
      <c r="J63" s="149" t="str">
        <f>[1]Sheet1!J63</f>
        <v xml:space="preserve">Luis Roncal </v>
      </c>
      <c r="K63" s="59">
        <f>[1]Sheet1!K63</f>
        <v>0</v>
      </c>
      <c r="L63" s="149" t="str">
        <f>[1]Sheet1!L63</f>
        <v>Ángela Lucano</v>
      </c>
      <c r="M63" s="151">
        <f>[1]Sheet1!M63</f>
        <v>46142</v>
      </c>
      <c r="N63" s="151" t="str">
        <f>[1]Sheet1!N63</f>
        <v>No</v>
      </c>
      <c r="O63" s="221">
        <f>[1]Sheet1!O63</f>
        <v>0</v>
      </c>
      <c r="P63" s="221">
        <f>[1]Sheet1!P63</f>
        <v>0</v>
      </c>
      <c r="Q63" s="221" t="str">
        <f>[1]Sheet1!Q63</f>
        <v>Otro</v>
      </c>
      <c r="R63" s="221" t="str">
        <f>[1]Sheet1!R63</f>
        <v>Es una encuesta manual, el desafío es poder levantar la satisfacción del alumno y reducir las horas hombre al trabajar el resultado (es un paso más en el equipo).</v>
      </c>
      <c r="S63" s="149">
        <f>[1]Sheet1!S63</f>
        <v>0</v>
      </c>
      <c r="T63" s="149" t="str">
        <f>[1]Sheet1!T63</f>
        <v>Proceso de atención al estudiante</v>
      </c>
      <c r="U63" s="149">
        <f>[1]Sheet1!U63</f>
        <v>0</v>
      </c>
      <c r="V63" s="149" t="str">
        <f>[1]Sheet1!V63</f>
        <v>Excelencia Operativa</v>
      </c>
      <c r="W63" s="149" t="str">
        <f>[1]Sheet1!W63</f>
        <v>No</v>
      </c>
      <c r="X63" s="149">
        <f>[1]Sheet1!X63</f>
        <v>0</v>
      </c>
      <c r="Y63" s="149" t="str">
        <f>[1]Sheet1!Y63</f>
        <v>Mejora la satisfacción del estudiante</v>
      </c>
      <c r="Z63" s="59" t="str">
        <f>[1]Sheet1!Z63</f>
        <v>https://educorpperu-my.sharepoint.com/personal/diana_zapata_laureate_pe1/_layouts/15/Doc.aspx?sourcedoc=%7B01D400AE-5DCC-421A-BCC5-3D78CDFEB12A%7D&amp;file=SOLICITUD%20DE%20REQUERIMIENTOS%20(1)_Gerson%20Vereau%20Rosas.pptx&amp;action=edit&amp;mobileredirect=true</v>
      </c>
      <c r="AA63" s="59">
        <f>[1]Sheet1!AA63</f>
        <v>0.30000000000000004</v>
      </c>
    </row>
    <row r="64" spans="1:27" ht="45.95" customHeight="1">
      <c r="A64" s="59">
        <f>[1]Sheet1!A64</f>
        <v>86</v>
      </c>
      <c r="B64" s="220">
        <f>[1]Sheet1!B64</f>
        <v>46106.524722222202</v>
      </c>
      <c r="C64" s="220">
        <f>[1]Sheet1!C64</f>
        <v>46106.537141203698</v>
      </c>
      <c r="D64" s="221" t="str">
        <f>[1]Sheet1!D64</f>
        <v>gerson.vereau@upn.edu.pe</v>
      </c>
      <c r="E64" s="221" t="str">
        <f>[1]Sheet1!E64</f>
        <v>Gerson Vereau Rosas</v>
      </c>
      <c r="F64" s="221" t="str">
        <f>[1]Sheet1!F64</f>
        <v>Ajustar query Reporte R2 que servirá como como input para la generación del RPA de Validación de Egreso (fase 2)</v>
      </c>
      <c r="G64" s="221" t="str">
        <f>[1]Sheet1!G64</f>
        <v>Contar con el reporte que sirve como input para la generación del RPA de Validación de Egreso (fase 2) que actualmente se viene trabajando con el equipo de Automatización de Procesos y está detenido porque se requiere este ajuste en la Query.</v>
      </c>
      <c r="H64" s="221" t="str">
        <f>[1]Sheet1!H64</f>
        <v>UPN</v>
      </c>
      <c r="I64" s="221" t="str">
        <f>[1]Sheet1!I64</f>
        <v>Martín Santana - Rectorado UPN</v>
      </c>
      <c r="J64" s="221" t="str">
        <f>[1]Sheet1!J64</f>
        <v xml:space="preserve">Carlos Diez </v>
      </c>
      <c r="K64" s="59">
        <f>[1]Sheet1!K64</f>
        <v>0</v>
      </c>
      <c r="L64" s="221" t="str">
        <f>[1]Sheet1!L64</f>
        <v>Carla Arias-Schreiber</v>
      </c>
      <c r="M64" s="151">
        <f>[1]Sheet1!M64</f>
        <v>46218</v>
      </c>
      <c r="N64" s="151" t="str">
        <f>[1]Sheet1!N64</f>
        <v>No</v>
      </c>
      <c r="O64" s="221">
        <f>[1]Sheet1!O64</f>
        <v>0</v>
      </c>
      <c r="P64" s="221">
        <f>[1]Sheet1!P64</f>
        <v>0</v>
      </c>
      <c r="Q64" s="221" t="str">
        <f>[1]Sheet1!Q64</f>
        <v>Normativa</v>
      </c>
      <c r="R64" s="221"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221">
        <f>[1]Sheet1!S64</f>
        <v>0</v>
      </c>
      <c r="T64" s="221" t="str">
        <f>[1]Sheet1!T64</f>
        <v>Proceso de egreso estudiantes</v>
      </c>
      <c r="U64" s="221">
        <f>[1]Sheet1!U64</f>
        <v>0</v>
      </c>
      <c r="V64" s="221" t="str">
        <f>[1]Sheet1!V64</f>
        <v>Excelencia operativa</v>
      </c>
      <c r="W64" s="221" t="str">
        <f>[1]Sheet1!W64</f>
        <v>No</v>
      </c>
      <c r="X64" s="221">
        <f>[1]Sheet1!X64</f>
        <v>0</v>
      </c>
      <c r="Y64" s="221"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59"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59">
        <f>[1]Sheet1!AA64</f>
        <v>1.8</v>
      </c>
    </row>
    <row r="65" spans="1:27" ht="45.95" customHeight="1">
      <c r="A65" s="59">
        <f>[1]Sheet1!A65</f>
        <v>87</v>
      </c>
      <c r="B65" s="220">
        <f>[1]Sheet1!B65</f>
        <v>46106.532939814802</v>
      </c>
      <c r="C65" s="220">
        <f>[1]Sheet1!C65</f>
        <v>46106.551574074103</v>
      </c>
      <c r="D65" s="221" t="str">
        <f>[1]Sheet1!D65</f>
        <v>giancarlo.villacorta@upc.pe</v>
      </c>
      <c r="E65" s="221" t="str">
        <f>[1]Sheet1!E65</f>
        <v>Giancarlo Villacorta Quiñones</v>
      </c>
      <c r="F65" s="221" t="str">
        <f>[1]Sheet1!F65</f>
        <v>Activar el módulo “Matrícula en bloque” de Banner para la EPG.</v>
      </c>
      <c r="G65" s="221"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221" t="str">
        <f>[1]Sheet1!H65</f>
        <v>UPC</v>
      </c>
      <c r="I65" s="221" t="str">
        <f>[1]Sheet1!I65</f>
        <v>Milagros Morgan - Rectorado UPC</v>
      </c>
      <c r="J65" s="221" t="str">
        <f>[1]Sheet1!J65</f>
        <v>Miguel Chang</v>
      </c>
      <c r="K65" s="59">
        <f>[1]Sheet1!K65</f>
        <v>0</v>
      </c>
      <c r="L65" s="221" t="str">
        <f>[1]Sheet1!L65</f>
        <v>Giancarlo Villacorta</v>
      </c>
      <c r="M65" s="151">
        <f>[1]Sheet1!M65</f>
        <v>46127</v>
      </c>
      <c r="N65" s="151" t="str">
        <f>[1]Sheet1!N65</f>
        <v>No</v>
      </c>
      <c r="O65" s="221">
        <f>[1]Sheet1!O65</f>
        <v>0</v>
      </c>
      <c r="P65" s="221">
        <f>[1]Sheet1!P65</f>
        <v>0</v>
      </c>
      <c r="Q65" s="221" t="str">
        <f>[1]Sheet1!Q65</f>
        <v>Otro</v>
      </c>
      <c r="R65" s="221"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221">
        <f>[1]Sheet1!S65</f>
        <v>0</v>
      </c>
      <c r="T65" s="221" t="str">
        <f>[1]Sheet1!T65</f>
        <v>Proceso de matricula de la EPG, habilitación en blackboard, habilitación en Portal docente.</v>
      </c>
      <c r="U65" s="221">
        <f>[1]Sheet1!U65</f>
        <v>0</v>
      </c>
      <c r="V65" s="221" t="str">
        <f>[1]Sheet1!V65</f>
        <v>Excelencia Operativa;Calidad Académica;Innovación y Crecimiento</v>
      </c>
      <c r="W65" s="221" t="str">
        <f>[1]Sheet1!W65</f>
        <v>No</v>
      </c>
      <c r="X65" s="221">
        <f>[1]Sheet1!X65</f>
        <v>0</v>
      </c>
      <c r="Y65" s="221"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59">
        <f>[1]Sheet1!Z65</f>
        <v>0</v>
      </c>
      <c r="AA65" s="59">
        <f>[1]Sheet1!AA65</f>
        <v>0</v>
      </c>
    </row>
    <row r="66" spans="1:27" ht="45.95" customHeight="1">
      <c r="A66" s="59">
        <f>[1]Sheet1!A66</f>
        <v>88</v>
      </c>
      <c r="B66" s="220">
        <f>[1]Sheet1!B66</f>
        <v>46101.486909722204</v>
      </c>
      <c r="C66" s="220">
        <f>[1]Sheet1!C66</f>
        <v>46106.567800925899</v>
      </c>
      <c r="D66" s="221" t="str">
        <f>[1]Sheet1!D66</f>
        <v>angela.lucano@upc.pe</v>
      </c>
      <c r="E66" s="221" t="str">
        <f>[1]Sheet1!E66</f>
        <v>Angela Lucano Carranza</v>
      </c>
      <c r="F66" s="221" t="str">
        <f>[1]Sheet1!F66</f>
        <v>Implementación de un modelo de reportería integrado para la gestión del estudiante becado</v>
      </c>
      <c r="G66" s="221"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221" t="str">
        <f>[1]Sheet1!H66</f>
        <v>UPC</v>
      </c>
      <c r="I66" s="221" t="str">
        <f>[1]Sheet1!I66</f>
        <v>Milagros Morgan - Rectorado UPC</v>
      </c>
      <c r="J66" s="221" t="str">
        <f>[1]Sheet1!J66</f>
        <v xml:space="preserve">Maria Cifuentes </v>
      </c>
      <c r="K66" s="59">
        <f>[1]Sheet1!K66</f>
        <v>0</v>
      </c>
      <c r="L66" s="221" t="str">
        <f>[1]Sheet1!L66</f>
        <v>Ángela Lucano</v>
      </c>
      <c r="M66" s="151">
        <f>[1]Sheet1!M66</f>
        <v>46129</v>
      </c>
      <c r="N66" s="151" t="str">
        <f>[1]Sheet1!N66</f>
        <v>No</v>
      </c>
      <c r="O66" s="221">
        <f>[1]Sheet1!O66</f>
        <v>0</v>
      </c>
      <c r="P66" s="221">
        <f>[1]Sheet1!P66</f>
        <v>0</v>
      </c>
      <c r="Q66" s="221" t="str">
        <f>[1]Sheet1!Q66</f>
        <v>Otro</v>
      </c>
      <c r="R66" s="221"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221">
        <f>[1]Sheet1!S66</f>
        <v>0</v>
      </c>
      <c r="T66" s="221"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221">
        <f>[1]Sheet1!U66</f>
        <v>0</v>
      </c>
      <c r="V66" s="221" t="str">
        <f>[1]Sheet1!V66</f>
        <v>Excelencia Operativa</v>
      </c>
      <c r="W66" s="221" t="str">
        <f>[1]Sheet1!W66</f>
        <v>No</v>
      </c>
      <c r="X66" s="221">
        <f>[1]Sheet1!X66</f>
        <v>0</v>
      </c>
      <c r="Y66" s="221"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59" t="str">
        <f>[1]Sheet1!Z66</f>
        <v>https://educorpperu-my.sharepoint.com/personal/diana_zapata_laureate_pe1/_layouts/15/Doc.aspx?sourcedoc=%7B5B17155A-09DE-47FC-A6C2-359025EABBD4%7D&amp;file=Solicitud%20de%20requerimientos%20Idea%20nueva%20y%20mejo_Angela%20Lucano%20Carran.pptx&amp;action=edit&amp;mobileredirect=true</v>
      </c>
      <c r="AA66" s="59">
        <f>[1]Sheet1!AA66</f>
        <v>0.30000000000000004</v>
      </c>
    </row>
    <row r="67" spans="1:27" ht="45.95" customHeight="1">
      <c r="A67" s="59">
        <f>[1]Sheet1!A67</f>
        <v>89</v>
      </c>
      <c r="B67" s="220">
        <f>[1]Sheet1!B67</f>
        <v>46108.472812499997</v>
      </c>
      <c r="C67" s="220">
        <f>[1]Sheet1!C67</f>
        <v>46108.482928240701</v>
      </c>
      <c r="D67" s="221" t="str">
        <f>[1]Sheet1!D67</f>
        <v>gerson.vereau@upn.edu.pe</v>
      </c>
      <c r="E67" s="221" t="str">
        <f>[1]Sheet1!E67</f>
        <v>Gerson Vereau Rosas</v>
      </c>
      <c r="F67" s="221" t="str">
        <f>[1]Sheet1!F67</f>
        <v>Segmentar la visualización de NRC en matrícula en línea según perfil académico del estudiante</v>
      </c>
      <c r="G67" s="221"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221" t="str">
        <f>[1]Sheet1!H67</f>
        <v>UPN</v>
      </c>
      <c r="I67" s="221" t="str">
        <f>[1]Sheet1!I67</f>
        <v>Martín Santana - Rectorado UPN</v>
      </c>
      <c r="J67" s="221" t="str">
        <f>[1]Sheet1!J67</f>
        <v xml:space="preserve">Janeth Albujar </v>
      </c>
      <c r="K67" s="221">
        <f>[1]Sheet1!K67</f>
        <v>0</v>
      </c>
      <c r="L67" s="221" t="str">
        <f>[1]Sheet1!L67</f>
        <v>Carla Arias-Schreiber</v>
      </c>
      <c r="M67" s="151">
        <f>[1]Sheet1!M67</f>
        <v>46188</v>
      </c>
      <c r="N67" s="151" t="str">
        <f>[1]Sheet1!N67</f>
        <v>No</v>
      </c>
      <c r="O67" s="221">
        <f>[1]Sheet1!O67</f>
        <v>0</v>
      </c>
      <c r="P67" s="221">
        <f>[1]Sheet1!P67</f>
        <v>0</v>
      </c>
      <c r="Q67" s="221" t="str">
        <f>[1]Sheet1!Q67</f>
        <v>Otro</v>
      </c>
      <c r="R67" s="221"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221">
        <f>[1]Sheet1!S67</f>
        <v>0</v>
      </c>
      <c r="T67" s="221" t="str">
        <f>[1]Sheet1!T67</f>
        <v>Proceso de matrícula</v>
      </c>
      <c r="U67" s="221">
        <f>[1]Sheet1!U67</f>
        <v>0</v>
      </c>
      <c r="V67" s="221" t="str">
        <f>[1]Sheet1!V67</f>
        <v>Excelencia Operativa</v>
      </c>
      <c r="W67" s="221" t="str">
        <f>[1]Sheet1!W67</f>
        <v>No</v>
      </c>
      <c r="X67" s="221">
        <f>[1]Sheet1!X67</f>
        <v>0</v>
      </c>
      <c r="Y67" s="221" t="str">
        <f>[1]Sheet1!Y67</f>
        <v>Mejorar la experiencia del estudiante durante el proceso de matrícula</v>
      </c>
      <c r="Z67" s="59"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59">
        <f>[1]Sheet1!AA67</f>
        <v>0.30000000000000004</v>
      </c>
    </row>
    <row r="68" spans="1:27" ht="45.95" customHeight="1">
      <c r="A68" s="59">
        <f>[1]Sheet1!A68</f>
        <v>90</v>
      </c>
      <c r="B68" s="220">
        <f>[1]Sheet1!B68</f>
        <v>46111.731342592597</v>
      </c>
      <c r="C68" s="220">
        <f>[1]Sheet1!C68</f>
        <v>46111.7496875</v>
      </c>
      <c r="D68" s="221" t="str">
        <f>[1]Sheet1!D68</f>
        <v>fabiola.gorbina@laureate.pe</v>
      </c>
      <c r="E68" s="221" t="str">
        <f>[1]Sheet1!E68</f>
        <v>Fabiola Gorbina Llerena</v>
      </c>
      <c r="F68" s="221" t="str">
        <f>[1]Sheet1!F68</f>
        <v>Creación y migración de datos de padres en CRM desde formularios</v>
      </c>
      <c r="G68" s="221"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221" t="str">
        <f>[1]Sheet1!H68</f>
        <v>UPC</v>
      </c>
      <c r="I68" s="221" t="str">
        <f>[1]Sheet1!I68</f>
        <v>Ivan Olivares - VP Marketing y Comercial</v>
      </c>
      <c r="J68" s="221" t="str">
        <f>[1]Sheet1!J68</f>
        <v xml:space="preserve">Mónica Castañeda Herrera </v>
      </c>
      <c r="K68" s="221">
        <f>[1]Sheet1!K68</f>
        <v>0</v>
      </c>
      <c r="L68" s="221" t="str">
        <f>[1]Sheet1!L68</f>
        <v>Jose Paredes</v>
      </c>
      <c r="M68" s="151">
        <f>[1]Sheet1!M68</f>
        <v>46132</v>
      </c>
      <c r="N68" s="151" t="str">
        <f>[1]Sheet1!N68</f>
        <v>No</v>
      </c>
      <c r="O68" s="221">
        <f>[1]Sheet1!O68</f>
        <v>0</v>
      </c>
      <c r="P68" s="221">
        <f>[1]Sheet1!P68</f>
        <v>0</v>
      </c>
      <c r="Q68" s="221" t="str">
        <f>[1]Sheet1!Q68</f>
        <v>Otro</v>
      </c>
      <c r="R68" s="221"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221">
        <f>[1]Sheet1!S68</f>
        <v>0</v>
      </c>
      <c r="T68" s="221"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221" t="str">
        <f>[1]Sheet1!U68</f>
        <v>Administrativos</v>
      </c>
      <c r="V68" s="221" t="str">
        <f>[1]Sheet1!V68</f>
        <v>Excelencia operativa</v>
      </c>
      <c r="W68" s="221" t="str">
        <f>[1]Sheet1!W68</f>
        <v>No</v>
      </c>
      <c r="X68" s="221" t="str">
        <f>[1]Sheet1!X68</f>
        <v>No cuantificado o S/0</v>
      </c>
      <c r="Y68" s="221" t="str">
        <f>[1]Sheet1!Y68</f>
        <v>Reducción de errores y reprocesos manuales, agilizando la gestión de datos y garantizando información completa y confiable para la toma de decisiones comerciales y el seguimiento efectivo de los decisores clave.</v>
      </c>
      <c r="Z68" s="59"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59">
        <f>[1]Sheet1!AA68</f>
        <v>0.45000000000000007</v>
      </c>
    </row>
    <row r="69" spans="1:27" ht="45.95" customHeight="1">
      <c r="A69" s="59">
        <f>[1]Sheet1!A69</f>
        <v>91</v>
      </c>
      <c r="B69" s="220">
        <f>[1]Sheet1!B69</f>
        <v>46111.738842592596</v>
      </c>
      <c r="C69" s="220">
        <f>[1]Sheet1!C69</f>
        <v>46111.8370138889</v>
      </c>
      <c r="D69" s="221" t="str">
        <f>[1]Sheet1!D69</f>
        <v>angela.lucano@upc.pe</v>
      </c>
      <c r="E69" s="221" t="str">
        <f>[1]Sheet1!E69</f>
        <v>Angela Lucano Carranza</v>
      </c>
      <c r="F69" s="221" t="str">
        <f>[1]Sheet1!F69</f>
        <v>Estabilización Sistema Académico UPC - 1era iteración MCH</v>
      </c>
      <c r="G69" s="221"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221" t="str">
        <f>[1]Sheet1!H69</f>
        <v>UPC</v>
      </c>
      <c r="I69" s="221" t="str">
        <f>[1]Sheet1!I69</f>
        <v>Milagros Morgan - Rectorado UPC</v>
      </c>
      <c r="J69" s="221" t="str">
        <f>[1]Sheet1!J69</f>
        <v xml:space="preserve">Miguel Chang </v>
      </c>
      <c r="K69" s="221">
        <f>[1]Sheet1!K69</f>
        <v>0</v>
      </c>
      <c r="L69" s="221" t="str">
        <f>[1]Sheet1!L69</f>
        <v>Carla Arias-Schreiber</v>
      </c>
      <c r="M69" s="151">
        <f>[1]Sheet1!M69</f>
        <v>46387</v>
      </c>
      <c r="N69" s="151" t="str">
        <f>[1]Sheet1!N69</f>
        <v>No</v>
      </c>
      <c r="O69" s="221">
        <f>[1]Sheet1!O69</f>
        <v>0</v>
      </c>
      <c r="P69" s="221">
        <f>[1]Sheet1!P69</f>
        <v>0</v>
      </c>
      <c r="Q69" s="221" t="str">
        <f>[1]Sheet1!Q69</f>
        <v>Otro</v>
      </c>
      <c r="R69" s="221"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221">
        <f>[1]Sheet1!S69</f>
        <v>0</v>
      </c>
      <c r="T69" s="221"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221" t="str">
        <f>[1]Sheet1!U69</f>
        <v>Alumnos</v>
      </c>
      <c r="V69" s="221" t="str">
        <f>[1]Sheet1!V69</f>
        <v>Excelencia operativa</v>
      </c>
      <c r="W69" s="221" t="str">
        <f>[1]Sheet1!W69</f>
        <v>Si</v>
      </c>
      <c r="X69" s="221" t="str">
        <f>[1]Sheet1!X69</f>
        <v>No cuantificado o S/0</v>
      </c>
      <c r="Y69" s="221"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59"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59">
        <f>[1]Sheet1!AA69</f>
        <v>1.05</v>
      </c>
    </row>
    <row r="70" spans="1:27" ht="45.95" customHeight="1">
      <c r="A70" s="59">
        <f>[1]Sheet1!A70</f>
        <v>92</v>
      </c>
      <c r="B70" s="220">
        <f>[1]Sheet1!B70</f>
        <v>46112.480532407397</v>
      </c>
      <c r="C70" s="220">
        <f>[1]Sheet1!C70</f>
        <v>46112.4910648148</v>
      </c>
      <c r="D70" s="221" t="str">
        <f>[1]Sheet1!D70</f>
        <v>carla.arias@upn.edu.pe</v>
      </c>
      <c r="E70" s="221" t="str">
        <f>[1]Sheet1!E70</f>
        <v>Carla Arias Schreiber Ulloa</v>
      </c>
      <c r="F70" s="221" t="str">
        <f>[1]Sheet1!F70</f>
        <v>E2E on boarding - Agregar campo Teléfono Celular - Entidad Perfect Start CRM</v>
      </c>
      <c r="G70" s="221"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221" t="str">
        <f>[1]Sheet1!H70</f>
        <v>UPN</v>
      </c>
      <c r="I70" s="221" t="str">
        <f>[1]Sheet1!I70</f>
        <v>Mónica García - VP Operaciones Digitales y Online</v>
      </c>
      <c r="J70" s="221" t="str">
        <f>[1]Sheet1!J70</f>
        <v>Orietta Mazuelos</v>
      </c>
      <c r="K70" s="221">
        <f>[1]Sheet1!K70</f>
        <v>0</v>
      </c>
      <c r="L70" s="221" t="str">
        <f>[1]Sheet1!L70</f>
        <v>Carla Arias-Schreiber</v>
      </c>
      <c r="M70" s="151">
        <f>[1]Sheet1!M70</f>
        <v>46122</v>
      </c>
      <c r="N70" s="151" t="str">
        <f>[1]Sheet1!N70</f>
        <v>Si</v>
      </c>
      <c r="O70" s="221" t="str">
        <f>[1]Sheet1!O70</f>
        <v>Digital &amp; IA</v>
      </c>
      <c r="P70" s="221">
        <f>[1]Sheet1!P70</f>
        <v>76562</v>
      </c>
      <c r="Q70" s="221" t="str">
        <f>[1]Sheet1!Q70</f>
        <v>Otro</v>
      </c>
      <c r="R70" s="221"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221">
        <f>[1]Sheet1!S70</f>
        <v>0</v>
      </c>
      <c r="T70" s="221" t="str">
        <f>[1]Sheet1!T70</f>
        <v>Onboarding.
Inicio/ desarrollo de clases</v>
      </c>
      <c r="U70" s="221">
        <f>[1]Sheet1!U70</f>
        <v>0</v>
      </c>
      <c r="V70" s="221" t="str">
        <f>[1]Sheet1!V70</f>
        <v>Crecimiento escalable</v>
      </c>
      <c r="W70" s="221" t="str">
        <f>[1]Sheet1!W70</f>
        <v>No</v>
      </c>
      <c r="X70" s="221">
        <f>[1]Sheet1!X70</f>
        <v>0</v>
      </c>
      <c r="Y70" s="221" t="str">
        <f>[1]Sheet1!Y70</f>
        <v>Fortalecer el onboarding y retención de nuevos estudiantes.</v>
      </c>
      <c r="Z70" s="59">
        <f>[1]Sheet1!Z70</f>
        <v>0</v>
      </c>
      <c r="AA70" s="59">
        <f>[1]Sheet1!AA70</f>
        <v>2</v>
      </c>
    </row>
    <row r="71" spans="1:27" ht="45.95" customHeight="1">
      <c r="A71" s="59">
        <f>[1]Sheet1!A71</f>
        <v>93</v>
      </c>
      <c r="B71" s="220">
        <f>[1]Sheet1!B71</f>
        <v>46118.532442129603</v>
      </c>
      <c r="C71" s="220">
        <f>[1]Sheet1!C71</f>
        <v>46118.569224537001</v>
      </c>
      <c r="D71" s="221" t="str">
        <f>[1]Sheet1!D71</f>
        <v>gerson.vereau@laureate.pe</v>
      </c>
      <c r="E71" s="221" t="str">
        <f>[1]Sheet1!E71</f>
        <v>Gerson Vereau Rosas</v>
      </c>
      <c r="F71" s="221" t="str">
        <f>[1]Sheet1!F71</f>
        <v>[Deuda técnica] Se requiere que las asistencias de los alumnos se visualicen diariamente en Portal</v>
      </c>
      <c r="G71" s="221"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221" t="str">
        <f>[1]Sheet1!H71</f>
        <v>UPN</v>
      </c>
      <c r="I71" s="221" t="str">
        <f>[1]Sheet1!I71</f>
        <v>Álvaro Valdez - VP Operaciones</v>
      </c>
      <c r="J71" s="221" t="str">
        <f>[1]Sheet1!J71</f>
        <v xml:space="preserve">Milthiño Zambrano </v>
      </c>
      <c r="K71" s="221">
        <f>[1]Sheet1!K71</f>
        <v>0</v>
      </c>
      <c r="L71" s="221" t="str">
        <f>[1]Sheet1!L71</f>
        <v>Gerson Vereau</v>
      </c>
      <c r="M71" s="151">
        <f>[1]Sheet1!M71</f>
        <v>46188</v>
      </c>
      <c r="N71" s="151" t="str">
        <f>[1]Sheet1!N71</f>
        <v>No</v>
      </c>
      <c r="O71" s="221">
        <f>[1]Sheet1!O71</f>
        <v>0</v>
      </c>
      <c r="P71" s="221">
        <f>[1]Sheet1!P71</f>
        <v>0</v>
      </c>
      <c r="Q71" s="221" t="str">
        <f>[1]Sheet1!Q71</f>
        <v>Otro</v>
      </c>
      <c r="R71" s="221"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221">
        <f>[1]Sheet1!S71</f>
        <v>0</v>
      </c>
      <c r="T71" s="221" t="str">
        <f>[1]Sheet1!T71</f>
        <v>Proceso de seguimiento y medición de asistencia de los estudiantes.</v>
      </c>
      <c r="U71" s="221" t="str">
        <f>[1]Sheet1!U71</f>
        <v>Administrativos</v>
      </c>
      <c r="V71" s="221" t="str">
        <f>[1]Sheet1!V71</f>
        <v>Excelencia operativa</v>
      </c>
      <c r="W71" s="221" t="str">
        <f>[1]Sheet1!W71</f>
        <v>No</v>
      </c>
      <c r="X71" s="221" t="str">
        <f>[1]Sheet1!X71</f>
        <v>No cuantificado o S/0</v>
      </c>
      <c r="Y71" s="221" t="str">
        <f>[1]Sheet1!Y71</f>
        <v>Fortalece la capacidad de reacción del equipo para intervenir de manera oportuna sobre alumnos con mayor riesgo con el aumento de cursos virtuales, es necesario contar con esta vista diaria.</v>
      </c>
      <c r="Z71" s="59">
        <f>[1]Sheet1!Z71</f>
        <v>0</v>
      </c>
      <c r="AA71" s="59">
        <f>[1]Sheet1!AA71</f>
        <v>0.45000000000000007</v>
      </c>
    </row>
    <row r="72" spans="1:27" ht="45.95" customHeight="1">
      <c r="A72" s="59">
        <f>[1]Sheet1!A72</f>
        <v>94</v>
      </c>
      <c r="B72" s="220">
        <f>[1]Sheet1!B72</f>
        <v>46119.432314814803</v>
      </c>
      <c r="C72" s="220">
        <f>[1]Sheet1!C72</f>
        <v>46119.464699074102</v>
      </c>
      <c r="D72" s="221" t="str">
        <f>[1]Sheet1!D72</f>
        <v>gerson.vereau@laureate.pe</v>
      </c>
      <c r="E72" s="221" t="str">
        <f>[1]Sheet1!E72</f>
        <v>Gerson Vereau Rosas</v>
      </c>
      <c r="F72" s="221" t="str">
        <f>[1]Sheet1!F72</f>
        <v xml:space="preserve">Automatización de Planillas Manuales de Carga Horaria </v>
      </c>
      <c r="G72" s="221"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221" t="str">
        <f>[1]Sheet1!H72</f>
        <v>UPN</v>
      </c>
      <c r="I72" s="221" t="str">
        <f>[1]Sheet1!I72</f>
        <v>Martín Santana - Rectorado UPN</v>
      </c>
      <c r="J72" s="221" t="str">
        <f>[1]Sheet1!J72</f>
        <v xml:space="preserve">Denilson Contreras </v>
      </c>
      <c r="K72" s="221">
        <f>[1]Sheet1!K72</f>
        <v>0</v>
      </c>
      <c r="L72" s="221" t="str">
        <f>[1]Sheet1!L72</f>
        <v>Carla Arias-Schreiber</v>
      </c>
      <c r="M72" s="151">
        <f>[1]Sheet1!M72</f>
        <v>46203</v>
      </c>
      <c r="N72" s="151" t="str">
        <f>[1]Sheet1!N72</f>
        <v>No</v>
      </c>
      <c r="O72" s="221">
        <f>[1]Sheet1!O72</f>
        <v>0</v>
      </c>
      <c r="P72" s="221">
        <f>[1]Sheet1!P72</f>
        <v>0</v>
      </c>
      <c r="Q72" s="221" t="str">
        <f>[1]Sheet1!Q72</f>
        <v>Otro</v>
      </c>
      <c r="R72" s="221"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221">
        <f>[1]Sheet1!S72</f>
        <v>0</v>
      </c>
      <c r="T72" s="221" t="str">
        <f>[1]Sheet1!T72</f>
        <v xml:space="preserve">Nómina docente y área usuaria (EPEC).
</v>
      </c>
      <c r="U72" s="221" t="str">
        <f>[1]Sheet1!U72</f>
        <v>Administrativos</v>
      </c>
      <c r="V72" s="221" t="str">
        <f>[1]Sheet1!V72</f>
        <v>Excelencia operativa</v>
      </c>
      <c r="W72" s="221" t="str">
        <f>[1]Sheet1!W72</f>
        <v>No</v>
      </c>
      <c r="X72" s="221" t="str">
        <f>[1]Sheet1!X72</f>
        <v>Menor a S/100,000.00</v>
      </c>
      <c r="Y72" s="221" t="str">
        <f>[1]Sheet1!Y72</f>
        <v>Cumplimiento Normativo: Mitigación del riesgo asociado al control Sox ARO.UPN.HRPAY – Validation of Teaching Hours TP, auditado por PWC, asegurando alineamiento y continuidad operativa sin observaciones.</v>
      </c>
      <c r="Z72" s="59" t="str">
        <f>[1]Sheet1!Z72</f>
        <v>https://educorpperu-my.sharepoint.com/personal/diana_zapata_laureate_pe1/_layouts/15/Doc.aspx?sourcedoc=%7B4ABE9950-C38F-4EE2-BB0D-F8DFF15B303D%7D&amp;file=Automatizaci%C3%B3n%20de%20planillas%20manuales%20de%20carga_Gerson%20Vereau%20Rosas.pptx&amp;action=edit&amp;mobileredirect=true</v>
      </c>
      <c r="AA72" s="59">
        <f>[1]Sheet1!AA72</f>
        <v>0.75000000000000011</v>
      </c>
    </row>
    <row r="73" spans="1:27" ht="45.95" customHeight="1">
      <c r="A73" s="59">
        <f>[1]Sheet1!A73</f>
        <v>95</v>
      </c>
      <c r="B73" s="220">
        <f>[1]Sheet1!B73</f>
        <v>46126.512210648099</v>
      </c>
      <c r="C73" s="220">
        <f>[1]Sheet1!C73</f>
        <v>46126.525636574101</v>
      </c>
      <c r="D73" s="221" t="str">
        <f>[1]Sheet1!D73</f>
        <v>jose.herbozo@laureate.pe</v>
      </c>
      <c r="E73" s="221" t="str">
        <f>[1]Sheet1!E73</f>
        <v>José Paredes Herbozo</v>
      </c>
      <c r="F73" s="221" t="str">
        <f>[1]Sheet1!F73</f>
        <v>E-commerce - Diseño, estimación e implementación de E Commerce de UPN</v>
      </c>
      <c r="G73" s="221" t="str">
        <f>[1]Sheet1!G73</f>
        <v>Diseño, estimación e implementación de E Commerce de UPN
Que se habilite una forma para vender cursos de educación continua de UPN en un ecommerce, con un flujo autogestionado desde la compra hasta la generación de horarios.</v>
      </c>
      <c r="H73" s="221" t="str">
        <f>[1]Sheet1!H73</f>
        <v>UPN</v>
      </c>
      <c r="I73" s="221" t="str">
        <f>[1]Sheet1!I73</f>
        <v>Ivan Olivares - VP Marketing y Comercial</v>
      </c>
      <c r="J73" s="221" t="str">
        <f>[1]Sheet1!J73</f>
        <v>Cristina del Risco</v>
      </c>
      <c r="K73" s="221">
        <f>[1]Sheet1!K73</f>
        <v>0</v>
      </c>
      <c r="L73" s="221" t="str">
        <f>[1]Sheet1!L73</f>
        <v>Jose Paredes</v>
      </c>
      <c r="M73" s="151">
        <f>[1]Sheet1!M73</f>
        <v>46233</v>
      </c>
      <c r="N73" s="151" t="str">
        <f>[1]Sheet1!N73</f>
        <v>Si</v>
      </c>
      <c r="O73" s="221" t="str">
        <f>[1]Sheet1!O73</f>
        <v>Digital &amp; IA</v>
      </c>
      <c r="P73" s="221">
        <f>[1]Sheet1!P73</f>
        <v>73951</v>
      </c>
      <c r="Q73" s="221" t="str">
        <f>[1]Sheet1!Q73</f>
        <v>Otro</v>
      </c>
      <c r="R73" s="221"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221">
        <f>[1]Sheet1!S73</f>
        <v>0</v>
      </c>
      <c r="T73" s="221" t="str">
        <f>[1]Sheet1!T73</f>
        <v>Comercial, Finanzas y Académico.</v>
      </c>
      <c r="U73" s="221" t="str">
        <f>[1]Sheet1!U73</f>
        <v>Administrativos</v>
      </c>
      <c r="V73" s="221" t="str">
        <f>[1]Sheet1!V73</f>
        <v>Crecimiento escalable</v>
      </c>
      <c r="W73" s="221" t="str">
        <f>[1]Sheet1!W73</f>
        <v>No</v>
      </c>
      <c r="X73" s="221" t="str">
        <f>[1]Sheet1!X73</f>
        <v>Mayor a S/500,000.00</v>
      </c>
      <c r="Y73" s="221" t="str">
        <f>[1]Sheet1!Y73</f>
        <v xml:space="preserve">Podríamos disponer de un nuevo canal de ventas que ayude a alcanzar la meta comercial, impulsar ventas y aumentar el alcance de la marca UPN a través de estos cursos.
</v>
      </c>
      <c r="Z73" s="59"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59">
        <f>[1]Sheet1!AA73</f>
        <v>2.9</v>
      </c>
    </row>
    <row r="74" spans="1:27" ht="45.95" customHeight="1">
      <c r="A74" s="59">
        <f>[1]Sheet1!A74</f>
        <v>96</v>
      </c>
      <c r="B74" s="220">
        <f>[1]Sheet1!B74</f>
        <v>46126.7905902778</v>
      </c>
      <c r="C74" s="220">
        <f>[1]Sheet1!C74</f>
        <v>46126.826805555596</v>
      </c>
      <c r="D74" s="221" t="str">
        <f>[1]Sheet1!D74</f>
        <v>nicolas.morales@laureate.pe</v>
      </c>
      <c r="E74" s="221" t="str">
        <f>[1]Sheet1!E74</f>
        <v>Nicolas Morales Chumpitaz</v>
      </c>
      <c r="F74" s="221" t="str">
        <f>[1]Sheet1!F74</f>
        <v>Productividad - DOA UPN - Automatización del Monitoreo Académico: Trazabilidad, visualización y monitoreo del avance académico del docente</v>
      </c>
      <c r="G74" s="221" t="str">
        <f>[1]Sheet1!G74</f>
        <v>Necesitamos ser el copiloto del docente, para facilitar el cumplimiento de sus tareas diarias mediante alertas preventivas y soporte inmediato, logrando asegurar que su gestión administrativa sea impecable y nunca afecte su desempeño profesional.</v>
      </c>
      <c r="H74" s="221" t="str">
        <f>[1]Sheet1!H74</f>
        <v>UPN</v>
      </c>
      <c r="I74" s="221" t="str">
        <f>[1]Sheet1!I74</f>
        <v>Martín Santana - Rectorado UPN</v>
      </c>
      <c r="J74" s="221" t="str">
        <f>[1]Sheet1!J74</f>
        <v>Robinson Amaya</v>
      </c>
      <c r="K74" s="221">
        <f>[1]Sheet1!K74</f>
        <v>0</v>
      </c>
      <c r="L74" s="221" t="str">
        <f>[1]Sheet1!L74</f>
        <v>Carla Arias-Schreiber</v>
      </c>
      <c r="M74" s="151">
        <f>[1]Sheet1!M74</f>
        <v>46387</v>
      </c>
      <c r="N74" s="151" t="str">
        <f>[1]Sheet1!N74</f>
        <v>Si</v>
      </c>
      <c r="O74" s="221" t="str">
        <f>[1]Sheet1!O74</f>
        <v>G&amp;A</v>
      </c>
      <c r="P74" s="221">
        <f>[1]Sheet1!P74</f>
        <v>77431</v>
      </c>
      <c r="Q74" s="221" t="str">
        <f>[1]Sheet1!Q74</f>
        <v>Otro</v>
      </c>
      <c r="R74" s="221"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221">
        <f>[1]Sheet1!S74</f>
        <v>0</v>
      </c>
      <c r="T74" s="221" t="str">
        <f>[1]Sheet1!T74</f>
        <v>Proceso de monitoreo de avance académico del docente</v>
      </c>
      <c r="U74" s="221" t="str">
        <f>[1]Sheet1!U74</f>
        <v>Docentes</v>
      </c>
      <c r="V74" s="221" t="str">
        <f>[1]Sheet1!V74</f>
        <v>Excelencia académica</v>
      </c>
      <c r="W74" s="221" t="str">
        <f>[1]Sheet1!W74</f>
        <v>No</v>
      </c>
      <c r="X74" s="221" t="str">
        <f>[1]Sheet1!X74</f>
        <v>Mayor a S/500,000.00</v>
      </c>
      <c r="Y74" s="221" t="str">
        <f>[1]Sheet1!Y74</f>
        <v>Eliminación de actividades manuales
Incremento del NPS docente
Cumplimiento en PO del equipo académico</v>
      </c>
      <c r="Z74" s="59">
        <f>[1]Sheet1!Z74</f>
        <v>0</v>
      </c>
      <c r="AA74" s="59">
        <f>[1]Sheet1!AA74</f>
        <v>3.35</v>
      </c>
    </row>
    <row r="75" spans="1:27" ht="45.95" customHeight="1">
      <c r="A75" s="59">
        <f>[1]Sheet1!A75</f>
        <v>97</v>
      </c>
      <c r="B75" s="220">
        <f>[1]Sheet1!B75</f>
        <v>46126.826921296299</v>
      </c>
      <c r="C75" s="220">
        <f>[1]Sheet1!C75</f>
        <v>46126.850914351897</v>
      </c>
      <c r="D75" s="221" t="str">
        <f>[1]Sheet1!D75</f>
        <v>nicolas.morales@laureate.pe</v>
      </c>
      <c r="E75" s="221" t="str">
        <f>[1]Sheet1!E75</f>
        <v>Nicolas Morales Chumpitaz</v>
      </c>
      <c r="F75" s="221" t="str">
        <f>[1]Sheet1!F75</f>
        <v>Productividad - DOA UPN - Automatización de las planillas manuales</v>
      </c>
      <c r="G75" s="221"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221" t="str">
        <f>[1]Sheet1!H75</f>
        <v>UPN</v>
      </c>
      <c r="I75" s="221" t="str">
        <f>[1]Sheet1!I75</f>
        <v>Martín Santana - Rectorado UPN</v>
      </c>
      <c r="J75" s="221" t="str">
        <f>[1]Sheet1!J75</f>
        <v>Robinson Amaya</v>
      </c>
      <c r="K75" s="221">
        <f>[1]Sheet1!K75</f>
        <v>0</v>
      </c>
      <c r="L75" s="221" t="str">
        <f>[1]Sheet1!L75</f>
        <v>Carla Arias-Schreiber</v>
      </c>
      <c r="M75" s="151">
        <f>[1]Sheet1!M75</f>
        <v>46387</v>
      </c>
      <c r="N75" s="151" t="str">
        <f>[1]Sheet1!N75</f>
        <v>Si</v>
      </c>
      <c r="O75" s="221" t="str">
        <f>[1]Sheet1!O75</f>
        <v>G&amp;A</v>
      </c>
      <c r="P75" s="221">
        <f>[1]Sheet1!P75</f>
        <v>77431</v>
      </c>
      <c r="Q75" s="221" t="str">
        <f>[1]Sheet1!Q75</f>
        <v>Otro</v>
      </c>
      <c r="R75" s="221"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221">
        <f>[1]Sheet1!S75</f>
        <v>0</v>
      </c>
      <c r="T75" s="221" t="str">
        <f>[1]Sheet1!T75</f>
        <v>Elaboración de Planilla Docente.</v>
      </c>
      <c r="U75" s="221" t="str">
        <f>[1]Sheet1!U75</f>
        <v>Docentes</v>
      </c>
      <c r="V75" s="221" t="str">
        <f>[1]Sheet1!V75</f>
        <v>Excelencia operativa</v>
      </c>
      <c r="W75" s="221" t="str">
        <f>[1]Sheet1!W75</f>
        <v>No</v>
      </c>
      <c r="X75" s="221" t="str">
        <f>[1]Sheet1!X75</f>
        <v>Mayor a S/500,000.00</v>
      </c>
      <c r="Y75" s="221" t="str">
        <f>[1]Sheet1!Y75</f>
        <v xml:space="preserve">Eliminación del retrabajo por errores manuales
Incremento en NPS del docente
Exactitud en el Cálculo de Novedades
</v>
      </c>
      <c r="Z75" s="59">
        <f>[1]Sheet1!Z75</f>
        <v>0</v>
      </c>
      <c r="AA75" s="59">
        <f>[1]Sheet1!AA75</f>
        <v>3.15</v>
      </c>
    </row>
    <row r="76" spans="1:27" ht="45.95" customHeight="1">
      <c r="A76" s="59">
        <f>[1]Sheet1!A76</f>
        <v>98</v>
      </c>
      <c r="B76" s="220">
        <f>[1]Sheet1!B76</f>
        <v>46127.014560185198</v>
      </c>
      <c r="C76" s="220">
        <f>[1]Sheet1!C76</f>
        <v>46127.284756944398</v>
      </c>
      <c r="D76" s="221" t="str">
        <f>[1]Sheet1!D76</f>
        <v>nicolas.morales@laureate.pe</v>
      </c>
      <c r="E76" s="221" t="str">
        <f>[1]Sheet1!E76</f>
        <v>Nicolas Morales Chumpitaz</v>
      </c>
      <c r="F76" s="221" t="str">
        <f>[1]Sheet1!F76</f>
        <v>Productividad - DOA UPN - Implementación de Ticketera de solicitudes de cambios en la programación con flujos automáticos de control, respuestas y SLA</v>
      </c>
      <c r="G76" s="221" t="str">
        <f>[1]Sheet1!G76</f>
        <v>Necesitamos asegurar que los docentes cuenten con una herramienta para realizar consultas y solicitudes para que puedan obtener respuesta a las mismas dentro de plazos logrando eliminar actividades manuales del proceso y mejorar el NPS del docente.</v>
      </c>
      <c r="H76" s="221" t="str">
        <f>[1]Sheet1!H76</f>
        <v>UPN</v>
      </c>
      <c r="I76" s="221" t="str">
        <f>[1]Sheet1!I76</f>
        <v>Martín Santana - Rectorado UPN</v>
      </c>
      <c r="J76" s="221" t="str">
        <f>[1]Sheet1!J76</f>
        <v>Robinson Amaya</v>
      </c>
      <c r="K76" s="221">
        <f>[1]Sheet1!K76</f>
        <v>0</v>
      </c>
      <c r="L76" s="221" t="str">
        <f>[1]Sheet1!L76</f>
        <v>Carla Arias-Schreiber</v>
      </c>
      <c r="M76" s="151">
        <f>[1]Sheet1!M76</f>
        <v>46387</v>
      </c>
      <c r="N76" s="151" t="str">
        <f>[1]Sheet1!N76</f>
        <v>Si</v>
      </c>
      <c r="O76" s="221" t="str">
        <f>[1]Sheet1!O76</f>
        <v>G&amp;A</v>
      </c>
      <c r="P76" s="221">
        <f>[1]Sheet1!P76</f>
        <v>77431</v>
      </c>
      <c r="Q76" s="221" t="str">
        <f>[1]Sheet1!Q76</f>
        <v>Otro</v>
      </c>
      <c r="R76" s="221"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221">
        <f>[1]Sheet1!S76</f>
        <v>0</v>
      </c>
      <c r="T76" s="221" t="str">
        <f>[1]Sheet1!T76</f>
        <v>Proceso de gestión de consultas de docentes</v>
      </c>
      <c r="U76" s="221" t="str">
        <f>[1]Sheet1!U76</f>
        <v>Docentes</v>
      </c>
      <c r="V76" s="221" t="str">
        <f>[1]Sheet1!V76</f>
        <v>Excelencia operativa</v>
      </c>
      <c r="W76" s="221" t="str">
        <f>[1]Sheet1!W76</f>
        <v>No</v>
      </c>
      <c r="X76" s="221" t="str">
        <f>[1]Sheet1!X76</f>
        <v>Mayor a S/500,000.00</v>
      </c>
      <c r="Y76" s="221" t="str">
        <f>[1]Sheet1!Y76</f>
        <v>Eliminación de actividades manuales
Mejora en experiencia del Coordinador / Docente TC.
Impacto positivo en NPS del estudiante (indirecto)</v>
      </c>
      <c r="Z76" s="59">
        <f>[1]Sheet1!Z76</f>
        <v>0</v>
      </c>
      <c r="AA76" s="59">
        <f>[1]Sheet1!AA76</f>
        <v>3.15</v>
      </c>
    </row>
    <row r="77" spans="1:27" ht="45.95" customHeight="1">
      <c r="A77" s="59">
        <f>[1]Sheet1!A77</f>
        <v>99</v>
      </c>
      <c r="B77" s="220">
        <f>[1]Sheet1!B77</f>
        <v>46127.32</v>
      </c>
      <c r="C77" s="220">
        <f>[1]Sheet1!C77</f>
        <v>46127.3351273148</v>
      </c>
      <c r="D77" s="221" t="str">
        <f>[1]Sheet1!D77</f>
        <v>angela.lucano@laureate.pe</v>
      </c>
      <c r="E77" s="221" t="str">
        <f>[1]Sheet1!E77</f>
        <v>Angela Lucano Carranza</v>
      </c>
      <c r="F77" s="221" t="str">
        <f>[1]Sheet1!F77</f>
        <v>Implementación del botón de impresión en formulario Libro de reclamaciones (LDR)</v>
      </c>
      <c r="G77" s="221"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221" t="str">
        <f>[1]Sheet1!H77</f>
        <v>UPN</v>
      </c>
      <c r="I77" s="221" t="str">
        <f>[1]Sheet1!I77</f>
        <v>Mónica García - VP Operaciones Digitales y Online</v>
      </c>
      <c r="J77" s="221" t="str">
        <f>[1]Sheet1!J77</f>
        <v xml:space="preserve">Luis Roncal </v>
      </c>
      <c r="K77" s="221">
        <f>[1]Sheet1!K77</f>
        <v>0</v>
      </c>
      <c r="L77" s="221" t="str">
        <f>[1]Sheet1!L77</f>
        <v>Ángela Lucano</v>
      </c>
      <c r="M77" s="151">
        <f>[1]Sheet1!M77</f>
        <v>46132</v>
      </c>
      <c r="N77" s="151" t="str">
        <f>[1]Sheet1!N77</f>
        <v>No</v>
      </c>
      <c r="O77" s="221">
        <f>[1]Sheet1!O77</f>
        <v>0</v>
      </c>
      <c r="P77" s="221">
        <f>[1]Sheet1!P77</f>
        <v>0</v>
      </c>
      <c r="Q77" s="221" t="str">
        <f>[1]Sheet1!Q77</f>
        <v>Normativa</v>
      </c>
      <c r="R77" s="221"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221">
        <f>[1]Sheet1!S77</f>
        <v>0</v>
      </c>
      <c r="T77" s="221" t="str">
        <f>[1]Sheet1!T77</f>
        <v>Proceso integral de Atención al Estudiante, Gestión de Quejas y Reclamos</v>
      </c>
      <c r="U77" s="221" t="str">
        <f>[1]Sheet1!U77</f>
        <v>Alumnos</v>
      </c>
      <c r="V77" s="221" t="str">
        <f>[1]Sheet1!V77</f>
        <v>Experiencia</v>
      </c>
      <c r="W77" s="221" t="str">
        <f>[1]Sheet1!W77</f>
        <v>No</v>
      </c>
      <c r="X77" s="221" t="str">
        <f>[1]Sheet1!X77</f>
        <v>Menor a S/100,000.00</v>
      </c>
      <c r="Y77" s="221"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59"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59">
        <f>[1]Sheet1!AA77</f>
        <v>2.95</v>
      </c>
    </row>
    <row r="78" spans="1:27" ht="45.95" customHeight="1">
      <c r="A78" s="59">
        <f>[1]Sheet1!A78</f>
        <v>100</v>
      </c>
      <c r="B78" s="220">
        <f>[1]Sheet1!B78</f>
        <v>46127.3352662037</v>
      </c>
      <c r="C78" s="220">
        <f>[1]Sheet1!C78</f>
        <v>46127.3585648148</v>
      </c>
      <c r="D78" s="221" t="str">
        <f>[1]Sheet1!D78</f>
        <v>angela.lucano@laureate.pe</v>
      </c>
      <c r="E78" s="221" t="str">
        <f>[1]Sheet1!E78</f>
        <v>Angela Lucano Carranza</v>
      </c>
      <c r="F78" s="221" t="str">
        <f>[1]Sheet1!F78</f>
        <v>Implementación de Módulos de Proyectos de Sostenibilidad y Gestión Ambiental en la Plataforma de Sostenibilidad</v>
      </c>
      <c r="G78" s="221"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221" t="str">
        <f>[1]Sheet1!H78</f>
        <v>LAUREATE</v>
      </c>
      <c r="I78" s="221" t="str">
        <f>[1]Sheet1!I78</f>
        <v>Claudia Cabrera - VP Comunicaciones</v>
      </c>
      <c r="J78" s="221" t="str">
        <f>[1]Sheet1!J78</f>
        <v xml:space="preserve">Rubi Fox </v>
      </c>
      <c r="K78" s="221">
        <f>[1]Sheet1!K78</f>
        <v>0</v>
      </c>
      <c r="L78" s="221" t="str">
        <f>[1]Sheet1!L78</f>
        <v>Ángela Lucano</v>
      </c>
      <c r="M78" s="151">
        <f>[1]Sheet1!M78</f>
        <v>46152</v>
      </c>
      <c r="N78" s="151" t="str">
        <f>[1]Sheet1!N78</f>
        <v>No</v>
      </c>
      <c r="O78" s="221">
        <f>[1]Sheet1!O78</f>
        <v>0</v>
      </c>
      <c r="P78" s="221">
        <f>[1]Sheet1!P78</f>
        <v>0</v>
      </c>
      <c r="Q78" s="221" t="str">
        <f>[1]Sheet1!Q78</f>
        <v>Otro</v>
      </c>
      <c r="R78" s="221"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221">
        <f>[1]Sheet1!S78</f>
        <v>0</v>
      </c>
      <c r="T78" s="221"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221" t="str">
        <f>[1]Sheet1!U78</f>
        <v>Administrativos</v>
      </c>
      <c r="V78" s="221" t="str">
        <f>[1]Sheet1!V78</f>
        <v>Excelencia operativa</v>
      </c>
      <c r="W78" s="221" t="str">
        <f>[1]Sheet1!W78</f>
        <v>No</v>
      </c>
      <c r="X78" s="221" t="str">
        <f>[1]Sheet1!X78</f>
        <v>No cuantificado o S/0</v>
      </c>
      <c r="Y78" s="221"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59"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59">
        <f>[1]Sheet1!AA78</f>
        <v>0.45000000000000007</v>
      </c>
    </row>
    <row r="79" spans="1:27" ht="45.95" customHeight="1">
      <c r="A79" s="59">
        <f>[1]Sheet1!A79</f>
        <v>101</v>
      </c>
      <c r="B79" s="220">
        <f>[1]Sheet1!B79</f>
        <v>46127.284849536998</v>
      </c>
      <c r="C79" s="220">
        <f>[1]Sheet1!C79</f>
        <v>46127.470335648097</v>
      </c>
      <c r="D79" s="221" t="str">
        <f>[1]Sheet1!D79</f>
        <v>nicolas.morales@laureate.pe</v>
      </c>
      <c r="E79" s="221" t="str">
        <f>[1]Sheet1!E79</f>
        <v>Nicolas Morales Chumpitaz</v>
      </c>
      <c r="F79" s="221" t="str">
        <f>[1]Sheet1!F79</f>
        <v xml:space="preserve">Productividad - DOA UPN - Implementación de Solución que abarque el proceso integral de reclutamiento y selección (IA incorporada en cada etapa del proceso: Revisión CV, armado de documentos) </v>
      </c>
      <c r="G79" s="221"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221" t="str">
        <f>[1]Sheet1!H79</f>
        <v>UPN</v>
      </c>
      <c r="I79" s="221" t="str">
        <f>[1]Sheet1!I79</f>
        <v>Martín Santana - Rectorado UPN</v>
      </c>
      <c r="J79" s="221" t="str">
        <f>[1]Sheet1!J79</f>
        <v>Melissa Polo</v>
      </c>
      <c r="K79" s="221">
        <f>[1]Sheet1!K79</f>
        <v>0</v>
      </c>
      <c r="L79" s="221" t="str">
        <f>[1]Sheet1!L79</f>
        <v>Carla Arias-Schreiber</v>
      </c>
      <c r="M79" s="151">
        <f>[1]Sheet1!M79</f>
        <v>46387</v>
      </c>
      <c r="N79" s="151" t="str">
        <f>[1]Sheet1!N79</f>
        <v>Si</v>
      </c>
      <c r="O79" s="221" t="str">
        <f>[1]Sheet1!O79</f>
        <v>G&amp;A</v>
      </c>
      <c r="P79" s="221">
        <f>[1]Sheet1!P79</f>
        <v>77431</v>
      </c>
      <c r="Q79" s="221" t="str">
        <f>[1]Sheet1!Q79</f>
        <v>Otro</v>
      </c>
      <c r="R79" s="221"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221">
        <f>[1]Sheet1!S79</f>
        <v>0</v>
      </c>
      <c r="T79" s="221" t="str">
        <f>[1]Sheet1!T79</f>
        <v>Proceso de Reclutamiento y selección docente</v>
      </c>
      <c r="U79" s="221" t="str">
        <f>[1]Sheet1!U79</f>
        <v>Alumnos</v>
      </c>
      <c r="V79" s="221" t="str">
        <f>[1]Sheet1!V79</f>
        <v>Excelencia operativa</v>
      </c>
      <c r="W79" s="221" t="str">
        <f>[1]Sheet1!W79</f>
        <v>No</v>
      </c>
      <c r="X79" s="221" t="str">
        <f>[1]Sheet1!X79</f>
        <v>Mayor a S/500,000.00</v>
      </c>
      <c r="Y79" s="221" t="str">
        <f>[1]Sheet1!Y79</f>
        <v>Incremento del NPS docente
Se gana una ampliación del proceso de convocatoria y evaluación de postulantes a causa de la reducción de reprocesos y tiempos operativos manuales.
Proceso escalable acorde al crecimiento de la institución.</v>
      </c>
      <c r="Z79" s="59">
        <f>[1]Sheet1!Z79</f>
        <v>0</v>
      </c>
      <c r="AA79" s="59">
        <f>[1]Sheet1!AA79</f>
        <v>3.3</v>
      </c>
    </row>
    <row r="80" spans="1:27" ht="45.95" customHeight="1">
      <c r="A80" s="59">
        <f>[1]Sheet1!A80</f>
        <v>102</v>
      </c>
      <c r="B80" s="220">
        <f>[1]Sheet1!B80</f>
        <v>46127.484085648102</v>
      </c>
      <c r="C80" s="220">
        <f>[1]Sheet1!C80</f>
        <v>46127.664236111101</v>
      </c>
      <c r="D80" s="221" t="str">
        <f>[1]Sheet1!D80</f>
        <v>angela.lucano@laureate.pe</v>
      </c>
      <c r="E80" s="221" t="str">
        <f>[1]Sheet1!E80</f>
        <v>Angela Lucano Carranza</v>
      </c>
      <c r="F80" s="221" t="str">
        <f>[1]Sheet1!F80</f>
        <v>Implementación de un reporte consolidado en tiempo real para la gestión académica de maestrías con Coursera en Postgrado</v>
      </c>
      <c r="G80" s="221"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221" t="str">
        <f>[1]Sheet1!H80</f>
        <v>UPC</v>
      </c>
      <c r="I80" s="221" t="str">
        <f>[1]Sheet1!I80</f>
        <v>Milagros Morgan - Rectorado UPC</v>
      </c>
      <c r="J80" s="221" t="str">
        <f>[1]Sheet1!J80</f>
        <v xml:space="preserve">Soledad Alfaro Jimenez </v>
      </c>
      <c r="K80" s="221">
        <f>[1]Sheet1!K80</f>
        <v>0</v>
      </c>
      <c r="L80" s="221" t="str">
        <f>[1]Sheet1!L80</f>
        <v>Ángela Lucano</v>
      </c>
      <c r="M80" s="151">
        <f>[1]Sheet1!M80</f>
        <v>46204</v>
      </c>
      <c r="N80" s="151" t="str">
        <f>[1]Sheet1!N80</f>
        <v>No</v>
      </c>
      <c r="O80" s="221">
        <f>[1]Sheet1!O80</f>
        <v>0</v>
      </c>
      <c r="P80" s="221">
        <f>[1]Sheet1!P80</f>
        <v>0</v>
      </c>
      <c r="Q80" s="221" t="str">
        <f>[1]Sheet1!Q80</f>
        <v>Otro</v>
      </c>
      <c r="R80" s="221"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221">
        <f>[1]Sheet1!S80</f>
        <v>0</v>
      </c>
      <c r="T80" s="221" t="str">
        <f>[1]Sheet1!T80</f>
        <v>Onboarding, Matrícula, Retención, Acompañamiento</v>
      </c>
      <c r="U80" s="221" t="str">
        <f>[1]Sheet1!U80</f>
        <v>Administrativos</v>
      </c>
      <c r="V80" s="221" t="str">
        <f>[1]Sheet1!V80</f>
        <v>Excelencia operativa</v>
      </c>
      <c r="W80" s="221" t="str">
        <f>[1]Sheet1!W80</f>
        <v>No</v>
      </c>
      <c r="X80" s="221" t="str">
        <f>[1]Sheet1!X80</f>
        <v>Menor a S/100,000.00</v>
      </c>
      <c r="Y80" s="221"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59" t="str">
        <f>[1]Sheet1!Z80</f>
        <v>https://educorpperu-my.sharepoint.com/personal/diana_zapata_laureate_pe1/_layouts/15/Doc.aspx?sourcedoc=%7BD1368DCA-1241-4ACD-BCDB-EC70C6727BA2%7D&amp;file=Plantilla%20Solicitud%20de%20requerimientos%20Reporte_Angela%20Lucano%20Carran%202.pptx&amp;action=edit&amp;mobileredirect=true</v>
      </c>
      <c r="AA80" s="59">
        <f>[1]Sheet1!AA80</f>
        <v>0.75000000000000011</v>
      </c>
    </row>
    <row r="81" spans="1:27" ht="45.95" customHeight="1">
      <c r="A81" s="59">
        <f>[1]Sheet1!A81</f>
        <v>103</v>
      </c>
      <c r="B81" s="220">
        <f>[1]Sheet1!B81</f>
        <v>46128.371990740699</v>
      </c>
      <c r="C81" s="220">
        <f>[1]Sheet1!C81</f>
        <v>46129.069513888899</v>
      </c>
      <c r="D81" s="221" t="str">
        <f>[1]Sheet1!D81</f>
        <v>javier.santiago@laureate.pe</v>
      </c>
      <c r="E81" s="221" t="str">
        <f>[1]Sheet1!E81</f>
        <v>Javier Santiago Modesto</v>
      </c>
      <c r="F81" s="221" t="str">
        <f>[1]Sheet1!F81</f>
        <v>Habilitación de horarios de periodo completo para el portal del estudiante Cibertec</v>
      </c>
      <c r="G81" s="221"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221" t="str">
        <f>[1]Sheet1!H81</f>
        <v>CIB</v>
      </c>
      <c r="I81" s="221" t="str">
        <f>[1]Sheet1!I81</f>
        <v>Mónica García - VP Operaciones Digitales y Online</v>
      </c>
      <c r="J81" s="221" t="str">
        <f>[1]Sheet1!J81</f>
        <v xml:space="preserve">Janny Nicasio </v>
      </c>
      <c r="K81" s="221">
        <f>[1]Sheet1!K81</f>
        <v>0</v>
      </c>
      <c r="L81" s="221" t="str">
        <f>[1]Sheet1!L81</f>
        <v>Carla Arias-Schreiber</v>
      </c>
      <c r="M81" s="151">
        <f>[1]Sheet1!M81</f>
        <v>46142</v>
      </c>
      <c r="N81" s="151" t="str">
        <f>[1]Sheet1!N81</f>
        <v>No</v>
      </c>
      <c r="O81" s="221">
        <f>[1]Sheet1!O81</f>
        <v>0</v>
      </c>
      <c r="P81" s="221">
        <f>[1]Sheet1!P81</f>
        <v>0</v>
      </c>
      <c r="Q81" s="221" t="str">
        <f>[1]Sheet1!Q81</f>
        <v>Otro</v>
      </c>
      <c r="R81" s="221" t="str">
        <f>[1]Sheet1!R81</f>
        <v>Actualmente, los horarios de cursos se visualizan por módulos activos. La cual, dificulta al alumnos la correcta visualización de todos los horarios de los módulos matriculados en el portal del estudiante Cibertec.</v>
      </c>
      <c r="S81" s="221">
        <f>[1]Sheet1!S81</f>
        <v>0</v>
      </c>
      <c r="T81" s="221" t="str">
        <f>[1]Sheet1!T81</f>
        <v>Horarios de modulos matriculados</v>
      </c>
      <c r="U81" s="221">
        <f>[1]Sheet1!U81</f>
        <v>0</v>
      </c>
      <c r="V81" s="221" t="str">
        <f>[1]Sheet1!V81</f>
        <v>Experiencia</v>
      </c>
      <c r="W81" s="221" t="str">
        <f>[1]Sheet1!W81</f>
        <v>No</v>
      </c>
      <c r="X81" s="221">
        <f>[1]Sheet1!X81</f>
        <v>0</v>
      </c>
      <c r="Y81" s="221" t="str">
        <f>[1]Sheet1!Y81</f>
        <v>Mejora de experiancia del alumno al acceder a los horarios completos del periodo acádemico activo.</v>
      </c>
      <c r="Z81" s="59">
        <f>[1]Sheet1!Z81</f>
        <v>0</v>
      </c>
      <c r="AA81" s="59">
        <f>[1]Sheet1!AA81</f>
        <v>0.4</v>
      </c>
    </row>
    <row r="82" spans="1:27" ht="45.95" customHeight="1">
      <c r="A82" s="59">
        <f>[1]Sheet1!A82</f>
        <v>104</v>
      </c>
      <c r="B82" s="220">
        <f>[1]Sheet1!B82</f>
        <v>46129.492662037002</v>
      </c>
      <c r="C82" s="220">
        <f>[1]Sheet1!C82</f>
        <v>46129.635648148098</v>
      </c>
      <c r="D82" s="221" t="str">
        <f>[1]Sheet1!D82</f>
        <v>jeaniffer.caldas@laureate.pe</v>
      </c>
      <c r="E82" s="221" t="str">
        <f>[1]Sheet1!E82</f>
        <v>Jeaniffer Caldas Caceres</v>
      </c>
      <c r="F82" s="221" t="str">
        <f>[1]Sheet1!F82</f>
        <v>AI RISK ASSESSMENT</v>
      </c>
      <c r="G82" s="221"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221" t="str">
        <f>[1]Sheet1!H82</f>
        <v>LAUREATE</v>
      </c>
      <c r="I82" s="221" t="str">
        <f>[1]Sheet1!I82</f>
        <v>Humberto Marota - Tecnologías y transformación digital</v>
      </c>
      <c r="J82" s="221" t="str">
        <f>[1]Sheet1!J82</f>
        <v>Carlos Sánchez</v>
      </c>
      <c r="K82" s="221">
        <f>[1]Sheet1!K82</f>
        <v>0</v>
      </c>
      <c r="L82" s="221" t="str">
        <f>[1]Sheet1!L82</f>
        <v>Gerson Vereau</v>
      </c>
      <c r="M82" s="151">
        <f>[1]Sheet1!M82</f>
        <v>46132</v>
      </c>
      <c r="N82" s="151" t="str">
        <f>[1]Sheet1!N82</f>
        <v>No</v>
      </c>
      <c r="O82" s="221">
        <f>[1]Sheet1!O82</f>
        <v>0</v>
      </c>
      <c r="P82" s="221">
        <f>[1]Sheet1!P82</f>
        <v>0</v>
      </c>
      <c r="Q82" s="221" t="str">
        <f>[1]Sheet1!Q82</f>
        <v>Seguridad TI</v>
      </c>
      <c r="R82" s="221"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221">
        <f>[1]Sheet1!S82</f>
        <v>0</v>
      </c>
      <c r="T82" s="221" t="str">
        <f>[1]Sheet1!T82</f>
        <v>todos los que usen inteligencia artificial y manipulación de información sensible</v>
      </c>
      <c r="U82" s="221" t="str">
        <f>[1]Sheet1!U82</f>
        <v>Administrativos</v>
      </c>
      <c r="V82" s="221" t="str">
        <f>[1]Sheet1!V82</f>
        <v>Excelencia operativa</v>
      </c>
      <c r="W82" s="221" t="str">
        <f>[1]Sheet1!W82</f>
        <v>No</v>
      </c>
      <c r="X82" s="221" t="str">
        <f>[1]Sheet1!X82</f>
        <v>No cuantificado o S/0</v>
      </c>
      <c r="Y82" s="221"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59"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59">
        <f>[1]Sheet1!AA82</f>
        <v>1.3499999999999999</v>
      </c>
    </row>
    <row r="83" spans="1:27" ht="45.95" customHeight="1">
      <c r="A83" s="59">
        <f>[1]Sheet1!A83</f>
        <v>105</v>
      </c>
      <c r="B83" s="220">
        <f>[1]Sheet1!B83</f>
        <v>46128.739814814799</v>
      </c>
      <c r="C83" s="220">
        <f>[1]Sheet1!C83</f>
        <v>46132.560960648101</v>
      </c>
      <c r="D83" s="221" t="str">
        <f>[1]Sheet1!D83</f>
        <v>angela.lucano@laureate.pe</v>
      </c>
      <c r="E83" s="221" t="str">
        <f>[1]Sheet1!E83</f>
        <v>Angela Lucano Carranza</v>
      </c>
      <c r="F83" s="221" t="str">
        <f>[1]Sheet1!F83</f>
        <v>Acompañamiento en todo el proceso de implementación del cambio curricular</v>
      </c>
      <c r="G83" s="221"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221" t="str">
        <f>[1]Sheet1!H83</f>
        <v>UPC</v>
      </c>
      <c r="I83" s="221" t="str">
        <f>[1]Sheet1!I83</f>
        <v>Milagros Morgan - Rectorado UPC</v>
      </c>
      <c r="J83" s="221" t="str">
        <f>[1]Sheet1!J83</f>
        <v xml:space="preserve">Roxana E. Pairazaman </v>
      </c>
      <c r="K83" s="221">
        <f>[1]Sheet1!K83</f>
        <v>0</v>
      </c>
      <c r="L83" s="221" t="str">
        <f>[1]Sheet1!L83</f>
        <v>Ángela Lucano</v>
      </c>
      <c r="M83" s="151">
        <f>[1]Sheet1!M83</f>
        <v>46142</v>
      </c>
      <c r="N83" s="151" t="str">
        <f>[1]Sheet1!N83</f>
        <v>No</v>
      </c>
      <c r="O83" s="221">
        <f>[1]Sheet1!O83</f>
        <v>0</v>
      </c>
      <c r="P83" s="221">
        <f>[1]Sheet1!P83</f>
        <v>0</v>
      </c>
      <c r="Q83" s="221" t="str">
        <f>[1]Sheet1!Q83</f>
        <v>Otro</v>
      </c>
      <c r="R83" s="221"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221">
        <f>[1]Sheet1!S83</f>
        <v>0</v>
      </c>
      <c r="T83" s="221"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221" t="str">
        <f>[1]Sheet1!U83</f>
        <v>Alumnos</v>
      </c>
      <c r="V83" s="221" t="str">
        <f>[1]Sheet1!V83</f>
        <v>Excelencia académica</v>
      </c>
      <c r="W83" s="221" t="str">
        <f>[1]Sheet1!W83</f>
        <v>Si</v>
      </c>
      <c r="X83" s="221" t="str">
        <f>[1]Sheet1!X83</f>
        <v>No cuantificado o S/0</v>
      </c>
      <c r="Y83" s="221"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59">
        <f>[1]Sheet1!Z83</f>
        <v>0</v>
      </c>
      <c r="AA83" s="59">
        <f>[1]Sheet1!AA83</f>
        <v>1.25</v>
      </c>
    </row>
    <row r="84" spans="1:27" ht="29.25" customHeight="1">
      <c r="A84" s="59">
        <f>[1]Sheet1!A84</f>
        <v>106</v>
      </c>
      <c r="B84" s="220">
        <f>[1]Sheet1!B84</f>
        <v>46133.4069675926</v>
      </c>
      <c r="C84" s="220">
        <f>[1]Sheet1!C84</f>
        <v>46133.409571759301</v>
      </c>
      <c r="D84" s="221" t="str">
        <f>[1]Sheet1!D84</f>
        <v>daniella.poppe@laureate.pe</v>
      </c>
      <c r="E84" s="221" t="str">
        <f>[1]Sheet1!E84</f>
        <v>Daniella Poppe Medina</v>
      </c>
      <c r="F84" s="221" t="str">
        <f>[1]Sheet1!F84</f>
        <v>Digitalización trámite Digitalización Certificado de Estudios</v>
      </c>
      <c r="G84" s="221"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221" t="str">
        <f>[1]Sheet1!H84</f>
        <v>UPC</v>
      </c>
      <c r="I84" s="221" t="str">
        <f>[1]Sheet1!I84</f>
        <v>Mónica García - VP Operaciones Digitales y Online</v>
      </c>
      <c r="J84" s="221" t="str">
        <f>[1]Sheet1!J84</f>
        <v xml:space="preserve">Luis Roncal </v>
      </c>
      <c r="K84" s="221">
        <f>[1]Sheet1!K84</f>
        <v>0</v>
      </c>
      <c r="L84" s="221" t="str">
        <f>[1]Sheet1!L84</f>
        <v>Carla Arias-Schreiber</v>
      </c>
      <c r="M84" s="151">
        <f>[1]Sheet1!M84</f>
        <v>46173</v>
      </c>
      <c r="N84" s="151" t="str">
        <f>[1]Sheet1!N84</f>
        <v>Si</v>
      </c>
      <c r="O84" s="221" t="str">
        <f>[1]Sheet1!O84</f>
        <v>G&amp;A</v>
      </c>
      <c r="P84" s="221">
        <f>[1]Sheet1!P84</f>
        <v>0</v>
      </c>
      <c r="Q84" s="221" t="str">
        <f>[1]Sheet1!Q84</f>
        <v>Otro</v>
      </c>
      <c r="R84" s="221"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221">
        <f>[1]Sheet1!S84</f>
        <v>0</v>
      </c>
      <c r="T84" s="221" t="str">
        <f>[1]Sheet1!T84</f>
        <v>Pago de trámites</v>
      </c>
      <c r="U84" s="221">
        <f>[1]Sheet1!U84</f>
        <v>0</v>
      </c>
      <c r="V84" s="221" t="str">
        <f>[1]Sheet1!V84</f>
        <v>Experiencia</v>
      </c>
      <c r="W84" s="221" t="str">
        <f>[1]Sheet1!W84</f>
        <v>No</v>
      </c>
      <c r="X84" s="221">
        <f>[1]Sheet1!X84</f>
        <v>0</v>
      </c>
      <c r="Y84" s="221"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59"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59">
        <f>[1]Sheet1!AA84</f>
        <v>1.9</v>
      </c>
    </row>
    <row r="85" spans="1:27" ht="29.25" customHeight="1">
      <c r="A85" s="59">
        <f>[1]Sheet1!A85</f>
        <v>107</v>
      </c>
      <c r="B85" s="220">
        <f>[1]Sheet1!B85</f>
        <v>46132.585914351803</v>
      </c>
      <c r="C85" s="220">
        <f>[1]Sheet1!C85</f>
        <v>46133.479745370401</v>
      </c>
      <c r="D85" s="221" t="str">
        <f>[1]Sheet1!D85</f>
        <v>javier.santiago@laureate.pe</v>
      </c>
      <c r="E85" s="221" t="str">
        <f>[1]Sheet1!E85</f>
        <v>Javier Santiago Modesto</v>
      </c>
      <c r="F85" s="221" t="str">
        <f>[1]Sheet1!F85</f>
        <v>Agrupamiento y ordenación de cursos por módulo - Portal estudiante UPN</v>
      </c>
      <c r="G85" s="221" t="str">
        <f>[1]Sheet1!G85</f>
        <v>Necesitamos ordenar y agrupar los cursos por módulo, para mejorar la experiencia de los alumnos, logrando que el 100% de los alumnos visualizen correctamente los cursos por iniciar, iniciados y terminados.</v>
      </c>
      <c r="H85" s="221" t="str">
        <f>[1]Sheet1!H85</f>
        <v>UPN</v>
      </c>
      <c r="I85" s="221" t="str">
        <f>[1]Sheet1!I85</f>
        <v>Mónica García - VP Operaciones Digitales y Online</v>
      </c>
      <c r="J85" s="221" t="str">
        <f>[1]Sheet1!J85</f>
        <v xml:space="preserve">Janny Nicasio </v>
      </c>
      <c r="K85" s="221">
        <f>[1]Sheet1!K85</f>
        <v>0</v>
      </c>
      <c r="L85" s="221" t="str">
        <f>[1]Sheet1!L85</f>
        <v>Carla Arias-Schreiber</v>
      </c>
      <c r="M85" s="151">
        <f>[1]Sheet1!M85</f>
        <v>46142</v>
      </c>
      <c r="N85" s="151" t="str">
        <f>[1]Sheet1!N85</f>
        <v>No</v>
      </c>
      <c r="O85" s="221">
        <f>[1]Sheet1!O85</f>
        <v>0</v>
      </c>
      <c r="P85" s="221">
        <f>[1]Sheet1!P85</f>
        <v>0</v>
      </c>
      <c r="Q85" s="221" t="str">
        <f>[1]Sheet1!Q85</f>
        <v>Otro</v>
      </c>
      <c r="R85" s="221" t="str">
        <f>[1]Sheet1!R85</f>
        <v>En el portal del estudiante UPN, los alumnos visualizan los cursos denominados "Virtuales" desorganizados y con un estado incorrecto porque no cuentan con las fecha de inicio y fin de periodo.</v>
      </c>
      <c r="S85" s="221">
        <f>[1]Sheet1!S85</f>
        <v>0</v>
      </c>
      <c r="T85" s="221" t="str">
        <f>[1]Sheet1!T85</f>
        <v>Horarios de Periodos</v>
      </c>
      <c r="U85" s="221">
        <f>[1]Sheet1!U85</f>
        <v>0</v>
      </c>
      <c r="V85" s="221" t="str">
        <f>[1]Sheet1!V85</f>
        <v>Experiencia</v>
      </c>
      <c r="W85" s="221" t="str">
        <f>[1]Sheet1!W85</f>
        <v>No</v>
      </c>
      <c r="X85" s="221">
        <f>[1]Sheet1!X85</f>
        <v>0</v>
      </c>
      <c r="Y85" s="221" t="str">
        <f>[1]Sheet1!Y85</f>
        <v>Mejora de experiancia del alumno al acceder a los cursos organizados de su horarios de periodo.</v>
      </c>
      <c r="Z85" s="59">
        <f>[1]Sheet1!Z85</f>
        <v>0</v>
      </c>
      <c r="AA85" s="59">
        <f>[1]Sheet1!AA85</f>
        <v>0.4</v>
      </c>
    </row>
    <row r="86" spans="1:27" ht="29.25" customHeight="1">
      <c r="A86" s="59">
        <f>[1]Sheet1!A86</f>
        <v>108</v>
      </c>
      <c r="B86" s="220">
        <f>[1]Sheet1!B86</f>
        <v>46133.503645833298</v>
      </c>
      <c r="C86" s="220">
        <f>[1]Sheet1!C86</f>
        <v>46133.541018518503</v>
      </c>
      <c r="D86" s="221" t="str">
        <f>[1]Sheet1!D86</f>
        <v>angela.lucano@laureate.pe</v>
      </c>
      <c r="E86" s="221" t="str">
        <f>[1]Sheet1!E86</f>
        <v>Angela Lucano Carranza</v>
      </c>
      <c r="F86" s="221" t="str">
        <f>[1]Sheet1!F86</f>
        <v>Estrategia de habilitación de cursos en Blackboard UPN para evitar impactos en la operación académica</v>
      </c>
      <c r="G86" s="221"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221" t="str">
        <f>[1]Sheet1!H86</f>
        <v>UPN</v>
      </c>
      <c r="I86" s="221" t="str">
        <f>[1]Sheet1!I86</f>
        <v>Mónica García - VP Operaciones Digitales y Online</v>
      </c>
      <c r="J86" s="221" t="str">
        <f>[1]Sheet1!J86</f>
        <v xml:space="preserve">Carlos Olivera </v>
      </c>
      <c r="K86" s="221">
        <f>[1]Sheet1!K86</f>
        <v>0</v>
      </c>
      <c r="L86" s="221" t="str">
        <f>[1]Sheet1!L86</f>
        <v>Ángela Lucano</v>
      </c>
      <c r="M86" s="151">
        <f>[1]Sheet1!M86</f>
        <v>46188</v>
      </c>
      <c r="N86" s="151" t="str">
        <f>[1]Sheet1!N86</f>
        <v>No</v>
      </c>
      <c r="O86" s="221">
        <f>[1]Sheet1!O86</f>
        <v>0</v>
      </c>
      <c r="P86" s="221">
        <f>[1]Sheet1!P86</f>
        <v>0</v>
      </c>
      <c r="Q86" s="221" t="str">
        <f>[1]Sheet1!Q86</f>
        <v>Otro</v>
      </c>
      <c r="R86" s="221" t="str">
        <f>[1]Sheet1!R86</f>
        <v>La integración entre Banner y Blackboard no garantiza la creación, configuración y visibilidad oportuna de los cursos bajo criterios académicos actuales.</v>
      </c>
      <c r="S86" s="221">
        <f>[1]Sheet1!S86</f>
        <v>0</v>
      </c>
      <c r="T86" s="221" t="str">
        <f>[1]Sheet1!T86</f>
        <v>Clonación en Blackboard</v>
      </c>
      <c r="U86" s="221" t="str">
        <f>[1]Sheet1!U86</f>
        <v>Alumnos</v>
      </c>
      <c r="V86" s="221" t="str">
        <f>[1]Sheet1!V86</f>
        <v>Excelencia operativa</v>
      </c>
      <c r="W86" s="221" t="str">
        <f>[1]Sheet1!W86</f>
        <v>No</v>
      </c>
      <c r="X86" s="221" t="str">
        <f>[1]Sheet1!X86</f>
        <v>No cuantificado o S/0</v>
      </c>
      <c r="Y86" s="221"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59" t="str">
        <f>[1]Sheet1!Z86</f>
        <v>https://educorpperu-my.sharepoint.com/personal/diana_zapata_laureate_pe1/_layouts/15/Doc.aspx?sourcedoc=%7B0DDE374D-C347-4DB4-B1BA-BD0C3FD83E2E%7D&amp;file=Solicitud%20de%20cambio%20-%20NRC%20Anticipados%20y%20Modul_Angela%20Lucano%20Carran.pptx&amp;action=edit&amp;mobileredirect=true</v>
      </c>
      <c r="AA86" s="59">
        <f>[1]Sheet1!AA86</f>
        <v>1.05</v>
      </c>
    </row>
    <row r="87" spans="1:27" ht="29.25" customHeight="1">
      <c r="A87" s="59">
        <f>[1]Sheet1!A87</f>
        <v>109</v>
      </c>
      <c r="B87" s="220">
        <f>[1]Sheet1!B87</f>
        <v>46133.621030092603</v>
      </c>
      <c r="C87" s="220">
        <f>[1]Sheet1!C87</f>
        <v>46133.642569444397</v>
      </c>
      <c r="D87" s="221" t="str">
        <f>[1]Sheet1!D87</f>
        <v>jose.herbozo@laureate.pe</v>
      </c>
      <c r="E87" s="221" t="str">
        <f>[1]Sheet1!E87</f>
        <v>José Paredes Herbozo</v>
      </c>
      <c r="F87" s="221" t="str">
        <f>[1]Sheet1!F87</f>
        <v>Adelantar horario de generación de los reportes: Plano, llamadas y GD Banner</v>
      </c>
      <c r="G87" s="221"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221" t="str">
        <f>[1]Sheet1!H87</f>
        <v>UPN</v>
      </c>
      <c r="I87" s="221" t="str">
        <f>[1]Sheet1!I87</f>
        <v>Ivan Olivares - VP Marketing y Comercial</v>
      </c>
      <c r="J87" s="221" t="str">
        <f>[1]Sheet1!J87</f>
        <v xml:space="preserve">Álvaro Verástegui </v>
      </c>
      <c r="K87" s="221">
        <f>[1]Sheet1!K87</f>
        <v>0</v>
      </c>
      <c r="L87" s="221" t="str">
        <f>[1]Sheet1!L87</f>
        <v>Jose Paredes</v>
      </c>
      <c r="M87" s="151">
        <f>[1]Sheet1!M87</f>
        <v>46157</v>
      </c>
      <c r="N87" s="151" t="str">
        <f>[1]Sheet1!N87</f>
        <v>No</v>
      </c>
      <c r="O87" s="221">
        <f>[1]Sheet1!O87</f>
        <v>0</v>
      </c>
      <c r="P87" s="221">
        <f>[1]Sheet1!P87</f>
        <v>0</v>
      </c>
      <c r="Q87" s="221" t="str">
        <f>[1]Sheet1!Q87</f>
        <v>Otro</v>
      </c>
      <c r="R87" s="221" t="str">
        <f>[1]Sheet1!R87</f>
        <v>Se requiere que los 3 reportes estén listos y disponibles para el uso del equipo Comercial a las 6 am.</v>
      </c>
      <c r="S87" s="221">
        <f>[1]Sheet1!S87</f>
        <v>0</v>
      </c>
      <c r="T87" s="221" t="str">
        <f>[1]Sheet1!T87</f>
        <v>Ventas, admisión, Marketing.</v>
      </c>
      <c r="U87" s="221" t="str">
        <f>[1]Sheet1!U87</f>
        <v>Administrativos</v>
      </c>
      <c r="V87" s="221" t="str">
        <f>[1]Sheet1!V87</f>
        <v>Crecimiento escalable</v>
      </c>
      <c r="W87" s="221" t="str">
        <f>[1]Sheet1!W87</f>
        <v>No</v>
      </c>
      <c r="X87" s="221" t="str">
        <f>[1]Sheet1!X87</f>
        <v>No cuantificado o S/0</v>
      </c>
      <c r="Y87" s="221" t="str">
        <f>[1]Sheet1!Y87</f>
        <v>Incremento en las ventas</v>
      </c>
      <c r="Z87" s="59">
        <f>[1]Sheet1!Z87</f>
        <v>0</v>
      </c>
      <c r="AA87" s="59">
        <f>[1]Sheet1!AA87</f>
        <v>0.65</v>
      </c>
    </row>
    <row r="88" spans="1:27" ht="29.25" customHeight="1">
      <c r="A88" s="59">
        <f>[1]Sheet1!A88</f>
        <v>110</v>
      </c>
      <c r="B88" s="220">
        <f>[1]Sheet1!B88</f>
        <v>46133.981412036999</v>
      </c>
      <c r="C88" s="220">
        <f>[1]Sheet1!C88</f>
        <v>46133.989837963003</v>
      </c>
      <c r="D88" s="221" t="str">
        <f>[1]Sheet1!D88</f>
        <v>jose.herbozo@laureate.pe</v>
      </c>
      <c r="E88" s="221" t="str">
        <f>[1]Sheet1!E88</f>
        <v>José Paredes Herbozo</v>
      </c>
      <c r="F88" s="221" t="str">
        <f>[1]Sheet1!F88</f>
        <v>Incorporar los descuentos con 100% al reporte de matrícula que emite CRM</v>
      </c>
      <c r="G88" s="221"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221" t="str">
        <f>[1]Sheet1!H88</f>
        <v>UPN</v>
      </c>
      <c r="I88" s="221" t="str">
        <f>[1]Sheet1!I88</f>
        <v>Ivan Olivares - VP Marketing y Comercial</v>
      </c>
      <c r="J88" s="221" t="str">
        <f>[1]Sheet1!J88</f>
        <v>Álvaro Verástegui</v>
      </c>
      <c r="K88" s="221">
        <f>[1]Sheet1!K88</f>
        <v>0</v>
      </c>
      <c r="L88" s="221" t="str">
        <f>[1]Sheet1!L88</f>
        <v>Jose Paredes</v>
      </c>
      <c r="M88" s="151">
        <f>[1]Sheet1!M88</f>
        <v>46157</v>
      </c>
      <c r="N88" s="151" t="str">
        <f>[1]Sheet1!N88</f>
        <v>No</v>
      </c>
      <c r="O88" s="221">
        <f>[1]Sheet1!O88</f>
        <v>0</v>
      </c>
      <c r="P88" s="221">
        <f>[1]Sheet1!P88</f>
        <v>0</v>
      </c>
      <c r="Q88" s="221" t="str">
        <f>[1]Sheet1!Q88</f>
        <v>Otro</v>
      </c>
      <c r="R88" s="221"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221">
        <f>[1]Sheet1!S88</f>
        <v>0</v>
      </c>
      <c r="T88" s="221" t="str">
        <f>[1]Sheet1!T88</f>
        <v>Comercial</v>
      </c>
      <c r="U88" s="221" t="str">
        <f>[1]Sheet1!U88</f>
        <v>Administrativos</v>
      </c>
      <c r="V88" s="221" t="str">
        <f>[1]Sheet1!V88</f>
        <v>Crecimiento escalable</v>
      </c>
      <c r="W88" s="221" t="str">
        <f>[1]Sheet1!W88</f>
        <v>No</v>
      </c>
      <c r="X88" s="221" t="str">
        <f>[1]Sheet1!X88</f>
        <v>No cuantificado o S/0</v>
      </c>
      <c r="Y88" s="221" t="str">
        <f>[1]Sheet1!Y88</f>
        <v>Toma de decisiones corporativas que da beneficios a todos</v>
      </c>
      <c r="Z88" s="59">
        <f>[1]Sheet1!Z88</f>
        <v>0</v>
      </c>
      <c r="AA88" s="59">
        <f>[1]Sheet1!AA88</f>
        <v>0.65</v>
      </c>
    </row>
    <row r="89" spans="1:27" ht="29.25" customHeight="1">
      <c r="A89" s="59">
        <f>[1]Sheet1!A89</f>
        <v>111</v>
      </c>
      <c r="B89" s="220">
        <f>[1]Sheet1!B89</f>
        <v>46134.395162036999</v>
      </c>
      <c r="C89" s="220">
        <f>[1]Sheet1!C89</f>
        <v>46134.427453703698</v>
      </c>
      <c r="D89" s="221" t="str">
        <f>[1]Sheet1!D89</f>
        <v>angela.lucano@laureate.pe</v>
      </c>
      <c r="E89" s="221" t="str">
        <f>[1]Sheet1!E89</f>
        <v>Angela Lucano Carranza</v>
      </c>
      <c r="F89" s="221" t="str">
        <f>[1]Sheet1!F89</f>
        <v>Automatización RPA para la Actualización de Contenido en Cursos Asíncronos UPN</v>
      </c>
      <c r="G89" s="221"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221" t="str">
        <f>[1]Sheet1!H89</f>
        <v>UPN</v>
      </c>
      <c r="I89" s="221" t="str">
        <f>[1]Sheet1!I89</f>
        <v>Mónica García - VP Operaciones Digitales y Online</v>
      </c>
      <c r="J89" s="221" t="str">
        <f>[1]Sheet1!J89</f>
        <v xml:space="preserve">Carlos Olivera </v>
      </c>
      <c r="K89" s="221">
        <f>[1]Sheet1!K89</f>
        <v>0</v>
      </c>
      <c r="L89" s="221" t="str">
        <f>[1]Sheet1!L89</f>
        <v>Ángela Lucano</v>
      </c>
      <c r="M89" s="151">
        <f>[1]Sheet1!M89</f>
        <v>46234</v>
      </c>
      <c r="N89" s="151" t="str">
        <f>[1]Sheet1!N89</f>
        <v>No</v>
      </c>
      <c r="O89" s="221">
        <f>[1]Sheet1!O89</f>
        <v>0</v>
      </c>
      <c r="P89" s="221">
        <f>[1]Sheet1!P89</f>
        <v>0</v>
      </c>
      <c r="Q89" s="221" t="str">
        <f>[1]Sheet1!Q89</f>
        <v>Otro</v>
      </c>
      <c r="R89" s="221" t="str">
        <f>[1]Sheet1!R89</f>
        <v>El proceso de actualización de cursos asíncronos presenta alta carga manual y variabilidad, generando errores frecuentes en bancos de preguntas y contenido, lo que afecta la eficiencia operativa y la calidad de los cursos.</v>
      </c>
      <c r="S89" s="221">
        <f>[1]Sheet1!S89</f>
        <v>0</v>
      </c>
      <c r="T89" s="221" t="str">
        <f>[1]Sheet1!T89</f>
        <v>Ensamblaje de cursos asíncronos
Actualización de contenido y banco de preguntas
Control de calidad y corrección de errores en clones
Clonación de cursos</v>
      </c>
      <c r="U89" s="221" t="str">
        <f>[1]Sheet1!U89</f>
        <v>Administrativos</v>
      </c>
      <c r="V89" s="221" t="str">
        <f>[1]Sheet1!V89</f>
        <v>Excelencia operativa</v>
      </c>
      <c r="W89" s="221" t="str">
        <f>[1]Sheet1!W89</f>
        <v>No</v>
      </c>
      <c r="X89" s="221" t="str">
        <f>[1]Sheet1!X89</f>
        <v>Menor a S/100,000.00</v>
      </c>
      <c r="Y89" s="221" t="str">
        <f>[1]Sheet1!Y89</f>
        <v>Cursos con contenido y evaluaciones consistentes y sin errores.
Mayor confiabilidad en las evaluaciones y materiales de aprendizaje.
Experiencia más fluida, estandarizada y predecible en todos los cursos asíncronos.</v>
      </c>
      <c r="Z89" s="59"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59">
        <f>[1]Sheet1!AA89</f>
        <v>0.75000000000000011</v>
      </c>
    </row>
    <row r="90" spans="1:27" ht="29.25" customHeight="1">
      <c r="A90" s="59">
        <f>[1]Sheet1!A90</f>
        <v>112</v>
      </c>
      <c r="B90" s="220">
        <f>[1]Sheet1!B90</f>
        <v>46135.002974536997</v>
      </c>
      <c r="C90" s="220">
        <f>[1]Sheet1!C90</f>
        <v>46135.0083101852</v>
      </c>
      <c r="D90" s="221" t="str">
        <f>[1]Sheet1!D90</f>
        <v>jose.herbozo@laureate.pe</v>
      </c>
      <c r="E90" s="221" t="str">
        <f>[1]Sheet1!E90</f>
        <v>José Paredes Herbozo</v>
      </c>
      <c r="F90" s="221" t="str">
        <f>[1]Sheet1!F90</f>
        <v>Habilitar uso de External Tag</v>
      </c>
      <c r="G90" s="221" t="str">
        <f>[1]Sheet1!G90</f>
        <v>Implementar en Genesys Cloud la transferencia automática del campo "Código de Persona", ubicado en la lista de contactos, hacia la Etiqueta Externa de la interacción outbound.</v>
      </c>
      <c r="H90" s="221" t="str">
        <f>[1]Sheet1!H90</f>
        <v>LAUREATE</v>
      </c>
      <c r="I90" s="221" t="str">
        <f>[1]Sheet1!I90</f>
        <v>Ivan Olivares - VP Marketing y Comercial</v>
      </c>
      <c r="J90" s="221" t="str">
        <f>[1]Sheet1!J90</f>
        <v>Roberto Yepez</v>
      </c>
      <c r="K90" s="221">
        <f>[1]Sheet1!K90</f>
        <v>0</v>
      </c>
      <c r="L90" s="221" t="str">
        <f>[1]Sheet1!L90</f>
        <v>Jose Paredes</v>
      </c>
      <c r="M90" s="151">
        <f>[1]Sheet1!M90</f>
        <v>46157</v>
      </c>
      <c r="N90" s="151" t="str">
        <f>[1]Sheet1!N90</f>
        <v>No</v>
      </c>
      <c r="O90" s="221">
        <f>[1]Sheet1!O90</f>
        <v>0</v>
      </c>
      <c r="P90" s="221">
        <f>[1]Sheet1!P90</f>
        <v>0</v>
      </c>
      <c r="Q90" s="221" t="str">
        <f>[1]Sheet1!Q90</f>
        <v>Otro</v>
      </c>
      <c r="R90" s="221" t="str">
        <f>[1]Sheet1!R90</f>
        <v>Implementar en Genesys Cloud la transferencia automática del campo "Código de Persona", ubicado en la lista de contactos, hacia la Etiqueta Externa de la interacción outbound.</v>
      </c>
      <c r="S90" s="221">
        <f>[1]Sheet1!S90</f>
        <v>0</v>
      </c>
      <c r="T90" s="221" t="str">
        <f>[1]Sheet1!T90</f>
        <v>Implementar en Genesys Cloud la transferencia automática del campo "Código de Persona", ubicado en la lista de contactos, hacia la Etiqueta Externa de la interacción outbound.</v>
      </c>
      <c r="U90" s="221" t="str">
        <f>[1]Sheet1!U90</f>
        <v>Administrativos</v>
      </c>
      <c r="V90" s="221" t="str">
        <f>[1]Sheet1!V90</f>
        <v>Excelencia operativa</v>
      </c>
      <c r="W90" s="221" t="str">
        <f>[1]Sheet1!W90</f>
        <v>No</v>
      </c>
      <c r="X90" s="221" t="str">
        <f>[1]Sheet1!X90</f>
        <v>No cuantificado o S/0</v>
      </c>
      <c r="Y90" s="221" t="str">
        <f>[1]Sheet1!Y90</f>
        <v xml:space="preserve">Mejora la trazabilidad del lead, la calidad de la reportería y reduce reprocesos manuales de conciliación
</v>
      </c>
      <c r="Z90" s="59" t="str">
        <f>[1]Sheet1!Z90</f>
        <v>https://educorpperu-my.sharepoint.com/personal/diana_zapata_laureate_pe1/_layouts/15/Doc.aspx?sourcedoc=%7BAAC2DFB6-6438-4925-B98C-55078195DC5E%7D&amp;file=Solicitud%20de%20requerimientos_Etiqueta%20Externa_Jos%C3%A9%20Paredes%20Herbozo.pptx&amp;action=edit&amp;mobileredirect=true</v>
      </c>
      <c r="AA90" s="59">
        <f>[1]Sheet1!AA90</f>
        <v>0.45000000000000007</v>
      </c>
    </row>
    <row r="91" spans="1:27" ht="29.25" customHeight="1">
      <c r="A91" s="59">
        <f>[1]Sheet1!A91</f>
        <v>113</v>
      </c>
      <c r="B91" s="220">
        <f>[1]Sheet1!B91</f>
        <v>46135.407118055598</v>
      </c>
      <c r="C91" s="220">
        <f>[1]Sheet1!C91</f>
        <v>46135.410821759302</v>
      </c>
      <c r="D91" s="221" t="str">
        <f>[1]Sheet1!D91</f>
        <v>jose.herbozo@laureate.pe</v>
      </c>
      <c r="E91" s="221" t="str">
        <f>[1]Sheet1!E91</f>
        <v>José Paredes Herbozo</v>
      </c>
      <c r="F91" s="221" t="str">
        <f>[1]Sheet1!F91</f>
        <v>Elaborar un Funnel para el equipo de We Talk</v>
      </c>
      <c r="G91" s="221" t="str">
        <f>[1]Sheet1!G91</f>
        <v>Tener visibilidad de la información de ventas de We Talk que se ofrece para las 3 instituciones.</v>
      </c>
      <c r="H91" s="221" t="str">
        <f>[1]Sheet1!H91</f>
        <v>LAUREATE</v>
      </c>
      <c r="I91" s="221" t="str">
        <f>[1]Sheet1!I91</f>
        <v>Ivan Olivares - VP Marketing y Comercial</v>
      </c>
      <c r="J91" s="221" t="str">
        <f>[1]Sheet1!J91</f>
        <v>Gianfranco Espinoza</v>
      </c>
      <c r="K91" s="221">
        <f>[1]Sheet1!K91</f>
        <v>0</v>
      </c>
      <c r="L91" s="221" t="str">
        <f>[1]Sheet1!L91</f>
        <v>Jose Paredes</v>
      </c>
      <c r="M91" s="151">
        <f>[1]Sheet1!M91</f>
        <v>46172</v>
      </c>
      <c r="N91" s="151" t="str">
        <f>[1]Sheet1!N91</f>
        <v>Si</v>
      </c>
      <c r="O91" s="221" t="str">
        <f>[1]Sheet1!O91</f>
        <v>Revenue Growth</v>
      </c>
      <c r="P91" s="221">
        <f>[1]Sheet1!P91</f>
        <v>77760</v>
      </c>
      <c r="Q91" s="221" t="str">
        <f>[1]Sheet1!Q91</f>
        <v>Otro</v>
      </c>
      <c r="R91" s="221" t="str">
        <f>[1]Sheet1!R91</f>
        <v>Actualmente el equipo de We Talk no tiene un dashboard para visualizar sus ventas en las 3 instituciones.</v>
      </c>
      <c r="S91" s="221">
        <f>[1]Sheet1!S91</f>
        <v>0</v>
      </c>
      <c r="T91" s="221" t="str">
        <f>[1]Sheet1!T91</f>
        <v>Ventas</v>
      </c>
      <c r="U91" s="221" t="str">
        <f>[1]Sheet1!U91</f>
        <v>Administrativos</v>
      </c>
      <c r="V91" s="221" t="str">
        <f>[1]Sheet1!V91</f>
        <v>Crecimiento escalable</v>
      </c>
      <c r="W91" s="221" t="str">
        <f>[1]Sheet1!W91</f>
        <v>No</v>
      </c>
      <c r="X91" s="221" t="str">
        <f>[1]Sheet1!X91</f>
        <v>No cuantificado o S/0</v>
      </c>
      <c r="Y91" s="221" t="str">
        <f>[1]Sheet1!Y91</f>
        <v>Mejor toma de decisiones, incremento en ventas</v>
      </c>
      <c r="Z91" s="59">
        <f>[1]Sheet1!Z91</f>
        <v>0</v>
      </c>
      <c r="AA91" s="59">
        <f>[1]Sheet1!AA91</f>
        <v>2.15</v>
      </c>
    </row>
    <row r="92" spans="1:27" ht="29.25" customHeight="1">
      <c r="A92" s="59">
        <f>[1]Sheet1!A92</f>
        <v>114</v>
      </c>
      <c r="B92" s="220">
        <f>[1]Sheet1!B92</f>
        <v>46136.035648148099</v>
      </c>
      <c r="C92" s="220">
        <f>[1]Sheet1!C92</f>
        <v>46136.0446296296</v>
      </c>
      <c r="D92" s="221" t="str">
        <f>[1]Sheet1!D92</f>
        <v>jose.herbozo@laureate.pe</v>
      </c>
      <c r="E92" s="221" t="str">
        <f>[1]Sheet1!E92</f>
        <v>José Paredes Herbozo</v>
      </c>
      <c r="F92" s="221" t="str">
        <f>[1]Sheet1!F92</f>
        <v>Automatización del reporte de recálculo de ingresos contables</v>
      </c>
      <c r="G92" s="221" t="str">
        <f>[1]Sheet1!G92</f>
        <v xml:space="preserve">Automatizar un reporte estandarizado que permita recalcular y conciliar los ingresos contables desde PeopleSoft, considerando alumnos matriculados, patrocinados y no matriculados, con corte por periodo académico y fecha de cierre.
</v>
      </c>
      <c r="H92" s="221" t="str">
        <f>[1]Sheet1!H92</f>
        <v>UPN</v>
      </c>
      <c r="I92" s="221" t="str">
        <f>[1]Sheet1!I92</f>
        <v>Alex Pendavis - VP Finanzas</v>
      </c>
      <c r="J92" s="221" t="str">
        <f>[1]Sheet1!J92</f>
        <v>Elian I. Chumbimune</v>
      </c>
      <c r="K92" s="221">
        <f>[1]Sheet1!K92</f>
        <v>0</v>
      </c>
      <c r="L92" s="221" t="str">
        <f>[1]Sheet1!L92</f>
        <v>Gerson Vereau</v>
      </c>
      <c r="M92" s="151">
        <f>[1]Sheet1!M92</f>
        <v>46172</v>
      </c>
      <c r="N92" s="151" t="str">
        <f>[1]Sheet1!N92</f>
        <v>No</v>
      </c>
      <c r="O92" s="221">
        <f>[1]Sheet1!O92</f>
        <v>0</v>
      </c>
      <c r="P92" s="221">
        <f>[1]Sheet1!P92</f>
        <v>0</v>
      </c>
      <c r="Q92" s="221" t="str">
        <f>[1]Sheet1!Q92</f>
        <v>Otro</v>
      </c>
      <c r="R92" s="221"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221">
        <f>[1]Sheet1!S92</f>
        <v>0</v>
      </c>
      <c r="T92" s="221" t="str">
        <f>[1]Sheet1!T92</f>
        <v xml:space="preserve">Contabilidad </v>
      </c>
      <c r="U92" s="221" t="str">
        <f>[1]Sheet1!U92</f>
        <v>Administrativos</v>
      </c>
      <c r="V92" s="221" t="str">
        <f>[1]Sheet1!V92</f>
        <v>Excelencia operativa</v>
      </c>
      <c r="W92" s="221" t="str">
        <f>[1]Sheet1!W92</f>
        <v>No</v>
      </c>
      <c r="X92" s="221" t="str">
        <f>[1]Sheet1!X92</f>
        <v>No cuantificado o S/0</v>
      </c>
      <c r="Y92" s="221"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59" t="str">
        <f>[1]Sheet1!Z92</f>
        <v>https://educorpperu-my.sharepoint.com/personal/diana_zapata_laureate_pe1/_layouts/15/Doc.aspx?sourcedoc=%7BAC80CDFA-327B-47AB-A478-0577DBD8FE0E%7D&amp;file=Requerimiento%20Reporte%20Recalculo%20de%20ingresos_Jos%C3%A9%20Paredes%20Herbozo.pptx&amp;action=edit&amp;mobileredirect=true</v>
      </c>
      <c r="AA92" s="59">
        <f>[1]Sheet1!AA92</f>
        <v>0.45000000000000007</v>
      </c>
    </row>
    <row r="93" spans="1:27" ht="38.450000000000003" customHeight="1">
      <c r="A93" s="59">
        <f>[1]Sheet1!A93</f>
        <v>115</v>
      </c>
      <c r="B93" s="220">
        <f>[1]Sheet1!B93</f>
        <v>46136.386631944399</v>
      </c>
      <c r="C93" s="220">
        <f>[1]Sheet1!C93</f>
        <v>46136.399050925902</v>
      </c>
      <c r="D93" s="221" t="str">
        <f>[1]Sheet1!D93</f>
        <v>gerson.vereau@laureate.pe</v>
      </c>
      <c r="E93" s="221" t="str">
        <f>[1]Sheet1!E93</f>
        <v>Gerson Vereau Rosas</v>
      </c>
      <c r="F93" s="221" t="str">
        <f>[1]Sheet1!F93</f>
        <v>Cambio SAC - SRL</v>
      </c>
      <c r="G93" s="221" t="str">
        <f>[1]Sheet1!G93</f>
        <v>Proceso de cambio de tipo de sociedad de Cibertec, pasando de SAC a SRL.</v>
      </c>
      <c r="H93" s="221" t="str">
        <f>[1]Sheet1!H93</f>
        <v>CIB</v>
      </c>
      <c r="I93" s="221" t="str">
        <f>[1]Sheet1!I93</f>
        <v>Alex Pendavis - VP Finanzas</v>
      </c>
      <c r="J93" s="221" t="str">
        <f>[1]Sheet1!J93</f>
        <v xml:space="preserve">Rafael Andrade </v>
      </c>
      <c r="K93" s="221">
        <f>[1]Sheet1!K93</f>
        <v>0</v>
      </c>
      <c r="L93" s="221" t="str">
        <f>[1]Sheet1!L93</f>
        <v>Gerson Vereau</v>
      </c>
      <c r="M93" s="151">
        <f>[1]Sheet1!M93</f>
        <v>46136</v>
      </c>
      <c r="N93" s="151" t="str">
        <f>[1]Sheet1!N93</f>
        <v>No</v>
      </c>
      <c r="O93" s="221">
        <f>[1]Sheet1!O93</f>
        <v>0</v>
      </c>
      <c r="P93" s="221">
        <f>[1]Sheet1!P93</f>
        <v>0</v>
      </c>
      <c r="Q93" s="221" t="str">
        <f>[1]Sheet1!Q93</f>
        <v>Legal</v>
      </c>
      <c r="R93" s="221" t="str">
        <f>[1]Sheet1!R93</f>
        <v>Proceso de cambio de tipo de sociedad de Cibertec, pasando de SAC a SRL.</v>
      </c>
      <c r="S93" s="221">
        <f>[1]Sheet1!S93</f>
        <v>0</v>
      </c>
      <c r="T93" s="221" t="str">
        <f>[1]Sheet1!T93</f>
        <v>Procesos de facturación</v>
      </c>
      <c r="U93" s="221" t="str">
        <f>[1]Sheet1!U93</f>
        <v>Ninguno</v>
      </c>
      <c r="V93" s="221" t="str">
        <f>[1]Sheet1!V93</f>
        <v>Excelencia operativa</v>
      </c>
      <c r="W93" s="221" t="str">
        <f>[1]Sheet1!W93</f>
        <v>No</v>
      </c>
      <c r="X93" s="221" t="str">
        <f>[1]Sheet1!X93</f>
        <v>No cuantificado o S/0</v>
      </c>
      <c r="Y93" s="221" t="str">
        <f>[1]Sheet1!Y93</f>
        <v>Regulatorio - Evitar sanciones a CIB</v>
      </c>
      <c r="Z93" s="59">
        <f>[1]Sheet1!Z93</f>
        <v>0</v>
      </c>
      <c r="AA93" s="59">
        <f>[1]Sheet1!AA93</f>
        <v>1.8</v>
      </c>
    </row>
    <row r="94" spans="1:27" ht="38.450000000000003" customHeight="1">
      <c r="A94" s="59">
        <f>[1]Sheet1!A94</f>
        <v>116</v>
      </c>
      <c r="B94" s="220">
        <f>[1]Sheet1!B94</f>
        <v>46136.677083333299</v>
      </c>
      <c r="C94" s="220">
        <f>[1]Sheet1!C94</f>
        <v>46136.683622685203</v>
      </c>
      <c r="D94" s="221" t="str">
        <f>[1]Sheet1!D94</f>
        <v>jose.herbozo@laureate.pe</v>
      </c>
      <c r="E94" s="221" t="str">
        <f>[1]Sheet1!E94</f>
        <v>José Paredes Herbozo</v>
      </c>
      <c r="F94" s="221" t="str">
        <f>[1]Sheet1!F94</f>
        <v>Mejora en el proceso de migración de incorporados de Socrates a Banner</v>
      </c>
      <c r="G94" s="221" t="str">
        <f>[1]Sheet1!G94</f>
        <v>Asegurar una migración automática, consistente y sin errores para garantizar la correcta matrícula de los incorporados.</v>
      </c>
      <c r="H94" s="221" t="str">
        <f>[1]Sheet1!H94</f>
        <v>UPC</v>
      </c>
      <c r="I94" s="221" t="str">
        <f>[1]Sheet1!I94</f>
        <v>Ivan Olivares - VP Marketing y Comercial</v>
      </c>
      <c r="J94" s="221" t="str">
        <f>[1]Sheet1!J94</f>
        <v>Nestor Ayasta</v>
      </c>
      <c r="K94" s="221">
        <f>[1]Sheet1!K94</f>
        <v>0</v>
      </c>
      <c r="L94" s="221" t="str">
        <f>[1]Sheet1!L94</f>
        <v>Jose Paredes</v>
      </c>
      <c r="M94" s="151">
        <f>[1]Sheet1!M94</f>
        <v>46218</v>
      </c>
      <c r="N94" s="151" t="str">
        <f>[1]Sheet1!N94</f>
        <v>No</v>
      </c>
      <c r="O94" s="221">
        <f>[1]Sheet1!O94</f>
        <v>0</v>
      </c>
      <c r="P94" s="221">
        <f>[1]Sheet1!P94</f>
        <v>0</v>
      </c>
      <c r="Q94" s="221" t="str">
        <f>[1]Sheet1!Q94</f>
        <v>Otro</v>
      </c>
      <c r="R94" s="221" t="str">
        <f>[1]Sheet1!R94</f>
        <v>Errores e incongruencias en los datos, alta carga operativa (+400 horas hombre estimadas), baja trazabilidad y riesgo de afectar la experiencia del alumno.</v>
      </c>
      <c r="S94" s="221">
        <f>[1]Sheet1!S94</f>
        <v>0</v>
      </c>
      <c r="T94" s="221" t="str">
        <f>[1]Sheet1!T94</f>
        <v>Migración de incorporados</v>
      </c>
      <c r="U94" s="221">
        <f>[1]Sheet1!U94</f>
        <v>0</v>
      </c>
      <c r="V94" s="221" t="str">
        <f>[1]Sheet1!V94</f>
        <v>Excelencia operativa</v>
      </c>
      <c r="W94" s="221" t="str">
        <f>[1]Sheet1!W94</f>
        <v>No</v>
      </c>
      <c r="X94" s="221">
        <f>[1]Sheet1!X94</f>
        <v>0</v>
      </c>
      <c r="Y94" s="221" t="str">
        <f>[1]Sheet1!Y94</f>
        <v>Reducción de tareas manuales, disminución de errores, disponibilidad de información confiable en tiempo real y mejora en la eficiencia operativa.</v>
      </c>
      <c r="Z94" s="59" t="str">
        <f>[1]Sheet1!Z94</f>
        <v>https://educorpperu-my.sharepoint.com/personal/diana_zapata_laureate_pe1/_layouts/15/Doc.aspx?sourcedoc=%7BD5626DB0-B57E-42ED-B1EA-B6C45012A9F8%7D&amp;file=Plantilla%20Solicitud%20de%20requerimientos%20Mejora_Jos%C3%A9%20Paredes%20Herbozo.pptx&amp;action=edit&amp;mobileredirect=true</v>
      </c>
      <c r="AA94" s="59">
        <f>[1]Sheet1!AA94</f>
        <v>0.30000000000000004</v>
      </c>
    </row>
    <row r="95" spans="1:27" ht="38.450000000000003" customHeight="1">
      <c r="A95" s="59">
        <f>[1]Sheet1!A95</f>
        <v>117</v>
      </c>
      <c r="B95" s="220">
        <f>[1]Sheet1!B95</f>
        <v>46139.615439814799</v>
      </c>
      <c r="C95" s="220">
        <f>[1]Sheet1!C95</f>
        <v>46139.628645833298</v>
      </c>
      <c r="D95" s="221" t="str">
        <f>[1]Sheet1!D95</f>
        <v>carla.arias@laureate.pe</v>
      </c>
      <c r="E95" s="221" t="str">
        <f>[1]Sheet1!E95</f>
        <v>Carla Arias Schreiber Ulloa</v>
      </c>
      <c r="F95" s="221" t="str">
        <f>[1]Sheet1!F95</f>
        <v>Migración de Notas desde Blackboard a Gestión Docente</v>
      </c>
      <c r="G95" s="221" t="str">
        <f>[1]Sheet1!G95</f>
        <v>Lograr eficiencia en la gestión docente, ahora la asignación es manual es ambos sistemas.
Nota: Esta es la mejora top 2 del workshop Better Together con Cibertec.</v>
      </c>
      <c r="H95" s="221" t="str">
        <f>[1]Sheet1!H95</f>
        <v>CIB</v>
      </c>
      <c r="I95" s="221" t="str">
        <f>[1]Sheet1!I95</f>
        <v>Danilo Tauil - GM TecVoc</v>
      </c>
      <c r="J95" s="221" t="str">
        <f>[1]Sheet1!J95</f>
        <v>Paola Mora</v>
      </c>
      <c r="K95" s="221">
        <f>[1]Sheet1!K95</f>
        <v>0</v>
      </c>
      <c r="L95" s="221" t="str">
        <f>[1]Sheet1!L95</f>
        <v>Carla Arias-Schreiber</v>
      </c>
      <c r="M95" s="151">
        <f>[1]Sheet1!M95</f>
        <v>46172</v>
      </c>
      <c r="N95" s="151" t="str">
        <f>[1]Sheet1!N95</f>
        <v>No</v>
      </c>
      <c r="O95" s="221">
        <f>[1]Sheet1!O95</f>
        <v>0</v>
      </c>
      <c r="P95" s="221">
        <f>[1]Sheet1!P95</f>
        <v>0</v>
      </c>
      <c r="Q95" s="221" t="str">
        <f>[1]Sheet1!Q95</f>
        <v>Otro</v>
      </c>
      <c r="R95" s="221"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221">
        <f>[1]Sheet1!S95</f>
        <v>0</v>
      </c>
      <c r="T95" s="221" t="str">
        <f>[1]Sheet1!T95</f>
        <v>Desarrollo de clases
Cierre de ciclo
Retención de estudiantes
Programación de horarios (faculty cost)</v>
      </c>
      <c r="U95" s="221" t="str">
        <f>[1]Sheet1!U95</f>
        <v>Docentes</v>
      </c>
      <c r="V95" s="221" t="str">
        <f>[1]Sheet1!V95</f>
        <v>Excelencia operativa</v>
      </c>
      <c r="W95" s="221" t="str">
        <f>[1]Sheet1!W95</f>
        <v>No</v>
      </c>
      <c r="X95" s="221" t="str">
        <f>[1]Sheet1!X95</f>
        <v>No cuantificado o S/0</v>
      </c>
      <c r="Y95" s="221" t="str">
        <f>[1]Sheet1!Y95</f>
        <v>Mejorar experiencia de estudiantes (poder visualizar sus notas en Mi Cibertec más rápido), la gestión docente y acciones de retención.</v>
      </c>
      <c r="Z95" s="59">
        <f>[1]Sheet1!Z95</f>
        <v>0</v>
      </c>
      <c r="AA95" s="59">
        <f>[1]Sheet1!AA95</f>
        <v>0.9</v>
      </c>
    </row>
    <row r="96" spans="1:27" ht="38.450000000000003" customHeight="1">
      <c r="A96" s="59">
        <f>[1]Sheet1!A96</f>
        <v>118</v>
      </c>
      <c r="B96" s="220">
        <f>[1]Sheet1!B96</f>
        <v>46139.628726851799</v>
      </c>
      <c r="C96" s="220">
        <f>[1]Sheet1!C96</f>
        <v>46139.650196759299</v>
      </c>
      <c r="D96" s="221" t="str">
        <f>[1]Sheet1!D96</f>
        <v>carla.arias@laureate.pe</v>
      </c>
      <c r="E96" s="221" t="str">
        <f>[1]Sheet1!E96</f>
        <v>Carla Arias Schreiber Ulloa</v>
      </c>
      <c r="F96" s="221" t="str">
        <f>[1]Sheet1!F96</f>
        <v>LEGO Cibertec</v>
      </c>
      <c r="G96" s="221"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221" t="str">
        <f>[1]Sheet1!H96</f>
        <v>CIB</v>
      </c>
      <c r="I96" s="221" t="str">
        <f>[1]Sheet1!I96</f>
        <v>Danilo Tauil - GM TecVoc</v>
      </c>
      <c r="J96" s="221" t="str">
        <f>[1]Sheet1!J96</f>
        <v>Davi Paula Lima Goulart</v>
      </c>
      <c r="K96" s="221">
        <f>[1]Sheet1!K96</f>
        <v>0</v>
      </c>
      <c r="L96" s="221" t="str">
        <f>[1]Sheet1!L96</f>
        <v>Carla Arias-Schreiber</v>
      </c>
      <c r="M96" s="151">
        <f>[1]Sheet1!M96</f>
        <v>46353</v>
      </c>
      <c r="N96" s="151" t="str">
        <f>[1]Sheet1!N96</f>
        <v>Si</v>
      </c>
      <c r="O96" s="221" t="str">
        <f>[1]Sheet1!O96</f>
        <v>Academic Managment</v>
      </c>
      <c r="P96" s="221">
        <f>[1]Sheet1!P96</f>
        <v>77625</v>
      </c>
      <c r="Q96" s="221" t="str">
        <f>[1]Sheet1!Q96</f>
        <v>Otro</v>
      </c>
      <c r="R96" s="221" t="str">
        <f>[1]Sheet1!R96</f>
        <v>Dentro del ecosistema académico, Cibertec tiene muchas actividades manuales, que generen ineficiencia y errores.</v>
      </c>
      <c r="S96" s="221">
        <f>[1]Sheet1!S96</f>
        <v>0</v>
      </c>
      <c r="T96" s="221" t="str">
        <f>[1]Sheet1!T96</f>
        <v xml:space="preserve">Malla Curricular
Programación Horaria
Perfil Docente
Compactaciones
Nómina / Pago Docente
Ocupabilidad
Ambientes Académicos
Evaluación Académica
Calendario Académico
Reportes / Dashboard
</v>
      </c>
      <c r="U96" s="221" t="str">
        <f>[1]Sheet1!U96</f>
        <v>Todos</v>
      </c>
      <c r="V96" s="221" t="str">
        <f>[1]Sheet1!V96</f>
        <v>Excelencia académica</v>
      </c>
      <c r="W96" s="221" t="str">
        <f>[1]Sheet1!W96</f>
        <v>No</v>
      </c>
      <c r="X96" s="221" t="str">
        <f>[1]Sheet1!X96</f>
        <v>Mayor a S/500,000.00</v>
      </c>
      <c r="Y96" s="221" t="str">
        <f>[1]Sheet1!Y96</f>
        <v>REDUCCIÓN DE ERRORES, CENTRALIZACIÓN Y ESTANDARIZACIÓN, MAYOR EFICIENCIA Y AHORROS, RAPIDEZ, MENOS HEADCOUNT, ​MENOR FRICCIÓN PARA EL ESTUDIANTE</v>
      </c>
      <c r="Z96" s="59">
        <f>[1]Sheet1!Z96</f>
        <v>0</v>
      </c>
      <c r="AA96" s="59">
        <f>[1]Sheet1!AA96</f>
        <v>3.5</v>
      </c>
    </row>
    <row r="97" spans="1:27" ht="38.450000000000003" customHeight="1">
      <c r="A97" s="59">
        <f>[1]Sheet1!A97</f>
        <v>119</v>
      </c>
      <c r="B97" s="220">
        <f>[1]Sheet1!B97</f>
        <v>46140.4612962963</v>
      </c>
      <c r="C97" s="220">
        <f>[1]Sheet1!C97</f>
        <v>46140.463483796302</v>
      </c>
      <c r="D97" s="221" t="str">
        <f>[1]Sheet1!D97</f>
        <v>carla.arias@laureate.pe</v>
      </c>
      <c r="E97" s="221" t="str">
        <f>[1]Sheet1!E97</f>
        <v>Carla Arias Schreiber Ulloa</v>
      </c>
      <c r="F97" s="221" t="str">
        <f>[1]Sheet1!F97</f>
        <v>Implementar encuesta de satisfacción automática - Genesys</v>
      </c>
      <c r="G97" s="221"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221" t="str">
        <f>[1]Sheet1!H97</f>
        <v>UPN</v>
      </c>
      <c r="I97" s="221" t="str">
        <f>[1]Sheet1!I97</f>
        <v>Mónica García - VP Operaciones Digitales y Online</v>
      </c>
      <c r="J97" s="221" t="str">
        <f>[1]Sheet1!J97</f>
        <v xml:space="preserve">Lizbeth Bautista </v>
      </c>
      <c r="K97" s="221">
        <f>[1]Sheet1!K97</f>
        <v>0</v>
      </c>
      <c r="L97" s="221" t="str">
        <f>[1]Sheet1!L97</f>
        <v>Ángela Lucano</v>
      </c>
      <c r="M97" s="151">
        <f>[1]Sheet1!M97</f>
        <v>46199</v>
      </c>
      <c r="N97" s="151" t="str">
        <f>[1]Sheet1!N97</f>
        <v>No</v>
      </c>
      <c r="O97" s="221">
        <f>[1]Sheet1!O97</f>
        <v>0</v>
      </c>
      <c r="P97" s="221">
        <f>[1]Sheet1!P97</f>
        <v>0</v>
      </c>
      <c r="Q97" s="221" t="str">
        <f>[1]Sheet1!Q97</f>
        <v>Otro</v>
      </c>
      <c r="R97" s="221" t="str">
        <f>[1]Sheet1!R97</f>
        <v xml:space="preserve">No podremos medir la satisfacción de los estudiantes en el proceso de matrícula 2026-02
</v>
      </c>
      <c r="S97" s="221">
        <f>[1]Sheet1!S97</f>
        <v>0</v>
      </c>
      <c r="T97" s="221" t="str">
        <f>[1]Sheet1!T97</f>
        <v>Matrícula
Soporte de canales inbound</v>
      </c>
      <c r="U97" s="221" t="str">
        <f>[1]Sheet1!U97</f>
        <v>Alumnos</v>
      </c>
      <c r="V97" s="221" t="str">
        <f>[1]Sheet1!V97</f>
        <v>Experiencia</v>
      </c>
      <c r="W97" s="221" t="str">
        <f>[1]Sheet1!W97</f>
        <v>No</v>
      </c>
      <c r="X97" s="221" t="str">
        <f>[1]Sheet1!X97</f>
        <v>No cuantificado o S/0</v>
      </c>
      <c r="Y97" s="221" t="str">
        <f>[1]Sheet1!Y97</f>
        <v>Al tener visibilidad, se podrán activar acciones mejor orientadas al logro de este objetivo.</v>
      </c>
      <c r="Z97" s="59" t="str">
        <f>[1]Sheet1!Z97</f>
        <v>https://educorpperu-my.sharepoint.com/personal/diana_zapata_laureate_pe1/_layouts/15/Doc.aspx?sourcedoc=%7B4A032391-1102-4C72-8BF4-5F7566C7D028%7D&amp;file=SOLICITUD%20DE%20REQUERIMIENTOS_Carla%20Arias%20Schreibe.pptx&amp;action=edit&amp;mobileredirect=true</v>
      </c>
      <c r="AA97" s="59">
        <f>[1]Sheet1!AA97</f>
        <v>1.1499999999999999</v>
      </c>
    </row>
    <row r="98" spans="1:27" ht="38.450000000000003" customHeight="1">
      <c r="A98" s="59">
        <f>[1]Sheet1!A98</f>
        <v>120</v>
      </c>
      <c r="B98" s="220">
        <f>[1]Sheet1!B98</f>
        <v>46140.504409722198</v>
      </c>
      <c r="C98" s="220">
        <f>[1]Sheet1!C98</f>
        <v>46140.510578703703</v>
      </c>
      <c r="D98" s="221" t="str">
        <f>[1]Sheet1!D98</f>
        <v>gerson.vereau@laureate.pe</v>
      </c>
      <c r="E98" s="221" t="str">
        <f>[1]Sheet1!E98</f>
        <v>Gerson Vereau Rosas</v>
      </c>
      <c r="F98" s="221" t="str">
        <f>[1]Sheet1!F98</f>
        <v>Creación del query para la generación de información en la tabla de Cobranzas del Data Lake</v>
      </c>
      <c r="G98" s="221" t="str">
        <f>[1]Sheet1!G98</f>
        <v xml:space="preserve">Generar una lógica a a nivel de Base de Datos, con el fin de mostrar la tabla de Cobranzas de UPC en el Datalake a nivel de tipo de pago y no genere duplicidad en los montos  que viene construyendo el equipo de Data &amp; BI.
</v>
      </c>
      <c r="H98" s="221" t="str">
        <f>[1]Sheet1!H98</f>
        <v>UPC</v>
      </c>
      <c r="I98" s="221" t="str">
        <f>[1]Sheet1!I98</f>
        <v>Alex Pendavis - VP Finanzas</v>
      </c>
      <c r="J98" s="221" t="str">
        <f>[1]Sheet1!J98</f>
        <v>Franco Chiappe</v>
      </c>
      <c r="K98" s="221">
        <f>[1]Sheet1!K98</f>
        <v>0</v>
      </c>
      <c r="L98" s="221" t="str">
        <f>[1]Sheet1!L98</f>
        <v>Gerson Vereau</v>
      </c>
      <c r="M98" s="151">
        <f>[1]Sheet1!M98</f>
        <v>46142</v>
      </c>
      <c r="N98" s="151" t="str">
        <f>[1]Sheet1!N98</f>
        <v>No</v>
      </c>
      <c r="O98" s="221">
        <f>[1]Sheet1!O98</f>
        <v>0</v>
      </c>
      <c r="P98" s="221">
        <f>[1]Sheet1!P98</f>
        <v>0</v>
      </c>
      <c r="Q98" s="221" t="str">
        <f>[1]Sheet1!Q98</f>
        <v>Otro</v>
      </c>
      <c r="R98" s="221"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221">
        <f>[1]Sheet1!S98</f>
        <v>0</v>
      </c>
      <c r="T98" s="221" t="str">
        <f>[1]Sheet1!T98</f>
        <v xml:space="preserve">Proceso de Cobranzas, utilizando información para el seguimiento y control de los indicadores.
</v>
      </c>
      <c r="U98" s="221" t="str">
        <f>[1]Sheet1!U98</f>
        <v>Ninguno</v>
      </c>
      <c r="V98" s="221" t="str">
        <f>[1]Sheet1!V98</f>
        <v>Excelencia operativa</v>
      </c>
      <c r="W98" s="221" t="str">
        <f>[1]Sheet1!W98</f>
        <v>No</v>
      </c>
      <c r="X98" s="221" t="str">
        <f>[1]Sheet1!X98</f>
        <v>No cuantificado o S/0</v>
      </c>
      <c r="Y98" s="221" t="str">
        <f>[1]Sheet1!Y98</f>
        <v>Visibilidad correcta de la información, tal como se muestra en Spring UPC</v>
      </c>
      <c r="Z98" s="59"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59">
        <f>[1]Sheet1!AA98</f>
        <v>0.30000000000000004</v>
      </c>
    </row>
    <row r="99" spans="1:27" ht="38.450000000000003" customHeight="1">
      <c r="A99" s="59">
        <f>[1]Sheet1!A99</f>
        <v>121</v>
      </c>
      <c r="B99" s="220">
        <f>[1]Sheet1!B99</f>
        <v>46140.764629629601</v>
      </c>
      <c r="C99" s="220">
        <f>[1]Sheet1!C99</f>
        <v>46140.901574074102</v>
      </c>
      <c r="D99" s="221" t="str">
        <f>[1]Sheet1!D99</f>
        <v>javier.santiago@laureate.pe</v>
      </c>
      <c r="E99" s="221" t="str">
        <f>[1]Sheet1!E99</f>
        <v>Javier Santiago Modesto</v>
      </c>
      <c r="F99" s="221" t="str">
        <f>[1]Sheet1!F99</f>
        <v>Implementación de una Api Banner para consultar los asesores de alumnos cachimbo - Onboarding Portal del Estudiante UPN</v>
      </c>
      <c r="G99" s="221" t="str">
        <f>[1]Sheet1!G99</f>
        <v>Necesitamos mostrar a los alumnos cachimbos sus asesores designados, para garantizar la experiencia en Onboarding, logrando que el 100% de alumnos cachimbos esten informados correctamente acerca de sus clases en el primer periodo académico.</v>
      </c>
      <c r="H99" s="221" t="str">
        <f>[1]Sheet1!H99</f>
        <v>UPN</v>
      </c>
      <c r="I99" s="221" t="str">
        <f>[1]Sheet1!I99</f>
        <v>Mónica García - VP Operaciones Digitales y Online</v>
      </c>
      <c r="J99" s="221" t="str">
        <f>[1]Sheet1!J99</f>
        <v xml:space="preserve">Janny Nicasio </v>
      </c>
      <c r="K99" s="221">
        <f>[1]Sheet1!K99</f>
        <v>0</v>
      </c>
      <c r="L99" s="221" t="str">
        <f>[1]Sheet1!L99</f>
        <v>Carla Arias-Schreiber</v>
      </c>
      <c r="M99" s="151">
        <f>[1]Sheet1!M99</f>
        <v>46157</v>
      </c>
      <c r="N99" s="151" t="str">
        <f>[1]Sheet1!N99</f>
        <v>No</v>
      </c>
      <c r="O99" s="221">
        <f>[1]Sheet1!O99</f>
        <v>0</v>
      </c>
      <c r="P99" s="221">
        <f>[1]Sheet1!P99</f>
        <v>0</v>
      </c>
      <c r="Q99" s="221" t="str">
        <f>[1]Sheet1!Q99</f>
        <v>Otro</v>
      </c>
      <c r="R99" s="221" t="str">
        <f>[1]Sheet1!R99</f>
        <v>Actualmente no existe una Api para mostrar los asesores a los alumnos chachimbos, sin embargo para presentar los asesores a los estudiantes se tiene que carga de forma manual un excel en el Portal del Estudiante.</v>
      </c>
      <c r="S99" s="221">
        <f>[1]Sheet1!S99</f>
        <v>0</v>
      </c>
      <c r="T99" s="221" t="str">
        <f>[1]Sheet1!T99</f>
        <v>Onboarding del Portal del Estudiante</v>
      </c>
      <c r="U99" s="221" t="str">
        <f>[1]Sheet1!U99</f>
        <v>Alumnos</v>
      </c>
      <c r="V99" s="221" t="str">
        <f>[1]Sheet1!V99</f>
        <v>Experiencia</v>
      </c>
      <c r="W99" s="221" t="str">
        <f>[1]Sheet1!W99</f>
        <v>No</v>
      </c>
      <c r="X99" s="221" t="str">
        <f>[1]Sheet1!X99</f>
        <v>No cuantificado o S/0</v>
      </c>
      <c r="Y99" s="221" t="str">
        <f>[1]Sheet1!Y99</f>
        <v>Mejora de experiencia del alumno en Onboarding</v>
      </c>
      <c r="Z99" s="59">
        <f>[1]Sheet1!Z99</f>
        <v>0</v>
      </c>
      <c r="AA99" s="59">
        <f>[1]Sheet1!AA99</f>
        <v>1.1499999999999999</v>
      </c>
    </row>
    <row r="100" spans="1:27" ht="38.450000000000003" customHeight="1">
      <c r="A100" s="59">
        <f>[1]Sheet1!A100</f>
        <v>122</v>
      </c>
      <c r="B100" s="220">
        <f>[1]Sheet1!B100</f>
        <v>46141.427557870396</v>
      </c>
      <c r="C100" s="220">
        <f>[1]Sheet1!C100</f>
        <v>46141.475474537001</v>
      </c>
      <c r="D100" s="221" t="str">
        <f>[1]Sheet1!D100</f>
        <v>gerson.vereau@laureate.pe</v>
      </c>
      <c r="E100" s="221" t="str">
        <f>[1]Sheet1!E100</f>
        <v>Gerson Vereau Rosas</v>
      </c>
      <c r="F100" s="221" t="str">
        <f>[1]Sheet1!F100</f>
        <v>Cambio de SAC a SRL - UPC</v>
      </c>
      <c r="G100" s="221" t="str">
        <f>[1]Sheet1!G100</f>
        <v>Cambiar de SAC a SRL - UPC, normativo</v>
      </c>
      <c r="H100" s="221" t="str">
        <f>[1]Sheet1!H100</f>
        <v>UPC</v>
      </c>
      <c r="I100" s="221" t="str">
        <f>[1]Sheet1!I100</f>
        <v>Alex Pendavis - VP Finanzas</v>
      </c>
      <c r="J100" s="221" t="str">
        <f>[1]Sheet1!J100</f>
        <v>Franco Chiappe</v>
      </c>
      <c r="K100" s="221">
        <f>[1]Sheet1!K100</f>
        <v>0</v>
      </c>
      <c r="L100" s="221" t="str">
        <f>[1]Sheet1!L100</f>
        <v>Gerson Vereau</v>
      </c>
      <c r="M100" s="151">
        <f>[1]Sheet1!M100</f>
        <v>46150</v>
      </c>
      <c r="N100" s="151" t="str">
        <f>[1]Sheet1!N100</f>
        <v>No</v>
      </c>
      <c r="O100" s="221">
        <f>[1]Sheet1!O100</f>
        <v>0</v>
      </c>
      <c r="P100" s="221">
        <f>[1]Sheet1!P100</f>
        <v>0</v>
      </c>
      <c r="Q100" s="221" t="str">
        <f>[1]Sheet1!Q100</f>
        <v>Legal</v>
      </c>
      <c r="R100" s="221" t="str">
        <f>[1]Sheet1!R100</f>
        <v>Proceso de cambio de tipo de sociedad de UPC, pasando de SAC a SRL.</v>
      </c>
      <c r="S100" s="221">
        <f>[1]Sheet1!S100</f>
        <v>0</v>
      </c>
      <c r="T100" s="221" t="str">
        <f>[1]Sheet1!T100</f>
        <v>Procesos de facturación</v>
      </c>
      <c r="U100" s="221" t="str">
        <f>[1]Sheet1!U100</f>
        <v>Ninguno</v>
      </c>
      <c r="V100" s="221" t="str">
        <f>[1]Sheet1!V100</f>
        <v>Excelencia operativa</v>
      </c>
      <c r="W100" s="221" t="str">
        <f>[1]Sheet1!W100</f>
        <v>No</v>
      </c>
      <c r="X100" s="221" t="str">
        <f>[1]Sheet1!X100</f>
        <v>No cuantificado o S/0</v>
      </c>
      <c r="Y100" s="221" t="str">
        <f>[1]Sheet1!Y100</f>
        <v>Normativo</v>
      </c>
      <c r="Z100" s="59"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59">
        <f>[1]Sheet1!AA100</f>
        <v>1.8</v>
      </c>
    </row>
    <row r="101" spans="1:27" ht="38.450000000000003" customHeight="1">
      <c r="A101" s="59">
        <f>[1]Sheet1!A101</f>
        <v>123</v>
      </c>
      <c r="B101" s="220">
        <f>[1]Sheet1!B101</f>
        <v>46141.475590277798</v>
      </c>
      <c r="C101" s="220">
        <f>[1]Sheet1!C101</f>
        <v>46141.484548611101</v>
      </c>
      <c r="D101" s="221" t="str">
        <f>[1]Sheet1!D101</f>
        <v>gerson.vereau@laureate.pe</v>
      </c>
      <c r="E101" s="221" t="str">
        <f>[1]Sheet1!E101</f>
        <v>Gerson Vereau Rosas</v>
      </c>
      <c r="F101" s="221" t="str">
        <f>[1]Sheet1!F101</f>
        <v>Creación del query para la generación de información en la tabla de Cobranzas del Data Lake</v>
      </c>
      <c r="G101" s="221" t="str">
        <f>[1]Sheet1!G101</f>
        <v>Generar una lógica a a nivel de Base de Datos, con el fin de mostrar la tabla de Cobranzas de UPC en el Datalake a nivel de tipo de pago y no genere duplicidad en los montos  que viene construyendo el equipo de Data &amp; BI.</v>
      </c>
      <c r="H101" s="221" t="str">
        <f>[1]Sheet1!H101</f>
        <v>UPC</v>
      </c>
      <c r="I101" s="221" t="str">
        <f>[1]Sheet1!I101</f>
        <v>Alex Pendavis - VP Finanzas</v>
      </c>
      <c r="J101" s="221" t="str">
        <f>[1]Sheet1!J101</f>
        <v>Franco Chiappe</v>
      </c>
      <c r="K101" s="221">
        <f>[1]Sheet1!K101</f>
        <v>0</v>
      </c>
      <c r="L101" s="221" t="str">
        <f>[1]Sheet1!L101</f>
        <v>Gerson Vereau</v>
      </c>
      <c r="M101" s="151">
        <f>[1]Sheet1!M101</f>
        <v>46150</v>
      </c>
      <c r="N101" s="151" t="str">
        <f>[1]Sheet1!N101</f>
        <v>No</v>
      </c>
      <c r="O101" s="221">
        <f>[1]Sheet1!O101</f>
        <v>0</v>
      </c>
      <c r="P101" s="221">
        <f>[1]Sheet1!P101</f>
        <v>0</v>
      </c>
      <c r="Q101" s="221" t="str">
        <f>[1]Sheet1!Q101</f>
        <v>Otro</v>
      </c>
      <c r="R101" s="221"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221">
        <f>[1]Sheet1!S101</f>
        <v>0</v>
      </c>
      <c r="T101" s="221" t="str">
        <f>[1]Sheet1!T101</f>
        <v>Proceso de Cobranzas, utilizando información para el seguimiento y control de los indicadores</v>
      </c>
      <c r="U101" s="221" t="str">
        <f>[1]Sheet1!U101</f>
        <v>Ninguno</v>
      </c>
      <c r="V101" s="221" t="str">
        <f>[1]Sheet1!V101</f>
        <v>Excelencia operativa</v>
      </c>
      <c r="W101" s="221" t="str">
        <f>[1]Sheet1!W101</f>
        <v>No</v>
      </c>
      <c r="X101" s="221" t="str">
        <f>[1]Sheet1!X101</f>
        <v>No cuantificado o S/0</v>
      </c>
      <c r="Y101" s="221" t="str">
        <f>[1]Sheet1!Y101</f>
        <v>Visibilidad correcta de la información, tal como se muestra en Spring UPC</v>
      </c>
      <c r="Z101" s="59"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59">
        <f>[1]Sheet1!AA101</f>
        <v>0.30000000000000004</v>
      </c>
    </row>
    <row r="102" spans="1:27" ht="38.450000000000003" customHeight="1">
      <c r="A102" s="59">
        <f>[1]Sheet1!A102</f>
        <v>124</v>
      </c>
      <c r="B102" s="220">
        <f>[1]Sheet1!B102</f>
        <v>46141.490138888897</v>
      </c>
      <c r="C102" s="220">
        <f>[1]Sheet1!C102</f>
        <v>46141.504571759302</v>
      </c>
      <c r="D102" s="221" t="str">
        <f>[1]Sheet1!D102</f>
        <v>gerson.vereau@laureate.pe</v>
      </c>
      <c r="E102" s="221" t="str">
        <f>[1]Sheet1!E102</f>
        <v>Gerson Vereau Rosas</v>
      </c>
      <c r="F102" s="221" t="str">
        <f>[1]Sheet1!F102</f>
        <v>Corrección del reporte de Spring UPC</v>
      </c>
      <c r="G102" s="221"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221" t="str">
        <f>[1]Sheet1!H102</f>
        <v>UPC</v>
      </c>
      <c r="I102" s="221" t="str">
        <f>[1]Sheet1!I102</f>
        <v>Alex Pendavis - VP Finanzas</v>
      </c>
      <c r="J102" s="221" t="str">
        <f>[1]Sheet1!J102</f>
        <v>Franco Chiappe</v>
      </c>
      <c r="K102" s="221">
        <f>[1]Sheet1!K102</f>
        <v>0</v>
      </c>
      <c r="L102" s="221" t="str">
        <f>[1]Sheet1!L102</f>
        <v>Gerson Vereau</v>
      </c>
      <c r="M102" s="151">
        <f>[1]Sheet1!M102</f>
        <v>46150</v>
      </c>
      <c r="N102" s="151" t="str">
        <f>[1]Sheet1!N102</f>
        <v>No</v>
      </c>
      <c r="O102" s="221">
        <f>[1]Sheet1!O102</f>
        <v>0</v>
      </c>
      <c r="P102" s="221">
        <f>[1]Sheet1!P102</f>
        <v>0</v>
      </c>
      <c r="Q102" s="221" t="str">
        <f>[1]Sheet1!Q102</f>
        <v>Otro</v>
      </c>
      <c r="R102" s="221"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221">
        <f>[1]Sheet1!S102</f>
        <v>0</v>
      </c>
      <c r="T102" s="221" t="str">
        <f>[1]Sheet1!T102</f>
        <v>Proceso de Cobranzas, utilizando información para el seguimiento y control de los indicadores.</v>
      </c>
      <c r="U102" s="221" t="str">
        <f>[1]Sheet1!U102</f>
        <v>Ninguno</v>
      </c>
      <c r="V102" s="221" t="str">
        <f>[1]Sheet1!V102</f>
        <v>Excelencia operativa</v>
      </c>
      <c r="W102" s="221" t="str">
        <f>[1]Sheet1!W102</f>
        <v>No</v>
      </c>
      <c r="X102" s="221" t="str">
        <f>[1]Sheet1!X102</f>
        <v>No cuantificado o S/0</v>
      </c>
      <c r="Y102" s="221" t="str">
        <f>[1]Sheet1!Y102</f>
        <v>Menor error de la data al momento de extaer el reporte</v>
      </c>
      <c r="Z102" s="59"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59">
        <f>[1]Sheet1!AA102</f>
        <v>0.30000000000000004</v>
      </c>
    </row>
    <row r="103" spans="1:27" ht="38.450000000000003" customHeight="1">
      <c r="A103" s="59">
        <f>[1]Sheet1!A103</f>
        <v>125</v>
      </c>
      <c r="B103" s="220">
        <f>[1]Sheet1!B103</f>
        <v>46141.514305555596</v>
      </c>
      <c r="C103" s="220">
        <f>[1]Sheet1!C103</f>
        <v>46141.571064814802</v>
      </c>
      <c r="D103" s="221" t="str">
        <f>[1]Sheet1!D103</f>
        <v>jhon.huanca@upn.edu.pe</v>
      </c>
      <c r="E103" s="221" t="str">
        <f>[1]Sheet1!E103</f>
        <v>Jhon Huanca Huaman</v>
      </c>
      <c r="F103" s="221" t="str">
        <f>[1]Sheet1!F103</f>
        <v>Implementación de Plataforma con Power Platform para la generación y envío de constancias y certificados.</v>
      </c>
      <c r="G103" s="221"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221" t="str">
        <f>[1]Sheet1!H103</f>
        <v>UPN</v>
      </c>
      <c r="I103" s="221" t="str">
        <f>[1]Sheet1!I103</f>
        <v>Álvaro Valdez - VP Operaciones</v>
      </c>
      <c r="J103" s="221" t="str">
        <f>[1]Sheet1!J103</f>
        <v xml:space="preserve">Sally Vilcapoma </v>
      </c>
      <c r="K103" s="221">
        <f>[1]Sheet1!K103</f>
        <v>0</v>
      </c>
      <c r="L103" s="221">
        <f>[1]Sheet1!L103</f>
        <v>0</v>
      </c>
      <c r="M103" s="151">
        <f>[1]Sheet1!M103</f>
        <v>46158</v>
      </c>
      <c r="N103" s="151" t="str">
        <f>[1]Sheet1!N103</f>
        <v>No</v>
      </c>
      <c r="O103" s="221">
        <f>[1]Sheet1!O103</f>
        <v>0</v>
      </c>
      <c r="P103" s="221">
        <f>[1]Sheet1!P103</f>
        <v>0</v>
      </c>
      <c r="Q103" s="221" t="str">
        <f>[1]Sheet1!Q103</f>
        <v>Otro</v>
      </c>
      <c r="R103" s="221"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221">
        <f>[1]Sheet1!S103</f>
        <v>0</v>
      </c>
      <c r="T103" s="221" t="str">
        <f>[1]Sheet1!T103</f>
        <v>Proceso de envío de constancias y certificados</v>
      </c>
      <c r="U103" s="221">
        <f>[1]Sheet1!U103</f>
        <v>0</v>
      </c>
      <c r="V103" s="221" t="str">
        <f>[1]Sheet1!V103</f>
        <v>Excelencia operativa</v>
      </c>
      <c r="W103" s="221" t="str">
        <f>[1]Sheet1!W103</f>
        <v>No</v>
      </c>
      <c r="X103" s="221">
        <f>[1]Sheet1!X103</f>
        <v>0</v>
      </c>
      <c r="Y103" s="221"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59">
        <f>[1]Sheet1!Z103</f>
        <v>0</v>
      </c>
      <c r="AA103" s="59">
        <f>[1]Sheet1!AA103</f>
        <v>0.30000000000000004</v>
      </c>
    </row>
    <row r="104" spans="1:27" ht="38.450000000000003" customHeight="1">
      <c r="A104" s="59">
        <f>[1]Sheet1!A104</f>
        <v>126</v>
      </c>
      <c r="B104" s="220">
        <f>[1]Sheet1!B104</f>
        <v>46141.590185185203</v>
      </c>
      <c r="C104" s="220">
        <f>[1]Sheet1!C104</f>
        <v>46141.600729166697</v>
      </c>
      <c r="D104" s="221" t="str">
        <f>[1]Sheet1!D104</f>
        <v>johnny.rodriguez@laureate.pe</v>
      </c>
      <c r="E104" s="221" t="str">
        <f>[1]Sheet1!E104</f>
        <v>Johnny Rodríguez Godos</v>
      </c>
      <c r="F104" s="221" t="str">
        <f>[1]Sheet1!F104</f>
        <v>Optimización de arquitectura de integración de procesos de Admisión y Pagos de UPN</v>
      </c>
      <c r="G104" s="221"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221" t="str">
        <f>[1]Sheet1!H104</f>
        <v>UPN</v>
      </c>
      <c r="I104" s="221" t="str">
        <f>[1]Sheet1!I104</f>
        <v>Humberto Marota - Tecnologías y transformación digital</v>
      </c>
      <c r="J104" s="221" t="str">
        <f>[1]Sheet1!J104</f>
        <v>Humberto Marotta</v>
      </c>
      <c r="K104" s="221">
        <f>[1]Sheet1!K104</f>
        <v>0</v>
      </c>
      <c r="L104" s="221" t="str">
        <f>[1]Sheet1!L104</f>
        <v>Jose Paredes</v>
      </c>
      <c r="M104" s="151">
        <f>[1]Sheet1!M104</f>
        <v>46326</v>
      </c>
      <c r="N104" s="151" t="str">
        <f>[1]Sheet1!N104</f>
        <v>No</v>
      </c>
      <c r="O104" s="221">
        <f>[1]Sheet1!O104</f>
        <v>0</v>
      </c>
      <c r="P104" s="221">
        <f>[1]Sheet1!P104</f>
        <v>0</v>
      </c>
      <c r="Q104" s="221" t="str">
        <f>[1]Sheet1!Q104</f>
        <v>Otro</v>
      </c>
      <c r="R104" s="221" t="str">
        <f>[1]Sheet1!R104</f>
        <v>Constantemente se reportan incidencias de Prioridad 1 relacionadas a las integraciones de los procesos de Admisión y Pagos. Incluye sistemas como CRM, Banner y Peoplesoft.</v>
      </c>
      <c r="S104" s="221">
        <f>[1]Sheet1!S104</f>
        <v>0</v>
      </c>
      <c r="T104" s="221" t="str">
        <f>[1]Sheet1!T104</f>
        <v>Admisión y Pagos</v>
      </c>
      <c r="U104" s="221" t="str">
        <f>[1]Sheet1!U104</f>
        <v>Ninguno</v>
      </c>
      <c r="V104" s="221" t="str">
        <f>[1]Sheet1!V104</f>
        <v>Excelencia operativa</v>
      </c>
      <c r="W104" s="221" t="str">
        <f>[1]Sheet1!W104</f>
        <v>No</v>
      </c>
      <c r="X104" s="221" t="str">
        <f>[1]Sheet1!X104</f>
        <v>No cuantificado o S/0</v>
      </c>
      <c r="Y104" s="221" t="str">
        <f>[1]Sheet1!Y104</f>
        <v>Alto</v>
      </c>
      <c r="Z104" s="59">
        <f>[1]Sheet1!Z104</f>
        <v>0</v>
      </c>
      <c r="AA104" s="59">
        <f>[1]Sheet1!AA104</f>
        <v>0.30000000000000004</v>
      </c>
    </row>
    <row r="105" spans="1:27" ht="38.450000000000003" customHeight="1">
      <c r="A105" s="59">
        <f>[1]Sheet1!A105</f>
        <v>127</v>
      </c>
      <c r="B105" s="220">
        <f>[1]Sheet1!B105</f>
        <v>46141.881620370397</v>
      </c>
      <c r="C105" s="220">
        <f>[1]Sheet1!C105</f>
        <v>46141.898564814801</v>
      </c>
      <c r="D105" s="221" t="str">
        <f>[1]Sheet1!D105</f>
        <v>carla.arias@laureate.pe</v>
      </c>
      <c r="E105" s="221" t="str">
        <f>[1]Sheet1!E105</f>
        <v>Carla Arias Schreiber Ulloa</v>
      </c>
      <c r="F105" s="221" t="str">
        <f>[1]Sheet1!F105</f>
        <v>Carga masiva de programación de horarios</v>
      </c>
      <c r="G105" s="221"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221" t="str">
        <f>[1]Sheet1!H105</f>
        <v>CIB</v>
      </c>
      <c r="I105" s="221" t="str">
        <f>[1]Sheet1!I105</f>
        <v>Danilo Tauil - GM TecVoc</v>
      </c>
      <c r="J105" s="221" t="str">
        <f>[1]Sheet1!J105</f>
        <v xml:space="preserve">Spencer Camacho </v>
      </c>
      <c r="K105" s="221">
        <f>[1]Sheet1!K105</f>
        <v>0</v>
      </c>
      <c r="L105" s="221" t="str">
        <f>[1]Sheet1!L105</f>
        <v>Carla Arias-Schreiber</v>
      </c>
      <c r="M105" s="151">
        <f>[1]Sheet1!M105</f>
        <v>46172</v>
      </c>
      <c r="N105" s="151" t="str">
        <f>[1]Sheet1!N105</f>
        <v>No</v>
      </c>
      <c r="O105" s="221">
        <f>[1]Sheet1!O105</f>
        <v>0</v>
      </c>
      <c r="P105" s="221">
        <f>[1]Sheet1!P105</f>
        <v>0</v>
      </c>
      <c r="Q105" s="221" t="str">
        <f>[1]Sheet1!Q105</f>
        <v>Otro</v>
      </c>
      <c r="R105" s="221" t="str">
        <f>[1]Sheet1!R105</f>
        <v>Registro de programación de horarios en Banner 100% individual (NRC por NRC) - Cada programación tiene aprox 4000 NRC. Toma 1 semana, con 4 asistentes dedicados.</v>
      </c>
      <c r="S105" s="221">
        <f>[1]Sheet1!S105</f>
        <v>0</v>
      </c>
      <c r="T105" s="221" t="str">
        <f>[1]Sheet1!T105</f>
        <v>Programación de horarios
Matrícula</v>
      </c>
      <c r="U105" s="221" t="str">
        <f>[1]Sheet1!U105</f>
        <v>Administrativos</v>
      </c>
      <c r="V105" s="221" t="str">
        <f>[1]Sheet1!V105</f>
        <v>Excelencia operativa</v>
      </c>
      <c r="W105" s="221" t="str">
        <f>[1]Sheet1!W105</f>
        <v>No</v>
      </c>
      <c r="X105" s="221" t="str">
        <f>[1]Sheet1!X105</f>
        <v>Menor a S/100,000.00</v>
      </c>
      <c r="Y105" s="221" t="str">
        <f>[1]Sheet1!Y105</f>
        <v>Reducción de errores manuales e impactos/ reprocesos en matrícula</v>
      </c>
      <c r="Z105" s="59">
        <f>[1]Sheet1!Z105</f>
        <v>0</v>
      </c>
      <c r="AA105" s="59">
        <f>[1]Sheet1!AA105</f>
        <v>0.75000000000000011</v>
      </c>
    </row>
    <row r="106" spans="1:27" ht="18.600000000000001" customHeight="1">
      <c r="A106" s="59">
        <f>[1]Sheet1!A106</f>
        <v>128</v>
      </c>
      <c r="B106" s="220">
        <f>[1]Sheet1!B106</f>
        <v>46142.473877314798</v>
      </c>
      <c r="C106" s="220">
        <f>[1]Sheet1!C106</f>
        <v>46142.488136574102</v>
      </c>
      <c r="D106" s="221" t="str">
        <f>[1]Sheet1!D106</f>
        <v>franco.vera@laureate.pe</v>
      </c>
      <c r="E106" s="221" t="str">
        <f>[1]Sheet1!E106</f>
        <v>Franco Manuel Vera Sanchez</v>
      </c>
      <c r="F106" s="221" t="str">
        <f>[1]Sheet1!F106</f>
        <v>Cargos de estudiantes aparecen con las fechas de vencimiento incorrectas (Portal y Bancos)</v>
      </c>
      <c r="G106" s="221" t="str">
        <f>[1]Sheet1!G106</f>
        <v>Que el negocio pueda realizar los cambios sin depender de los tiempos de TI, asegurando a la vez que los cambios que realicen no ocasiones otras caídas de integración,</v>
      </c>
      <c r="H106" s="221" t="str">
        <f>[1]Sheet1!H106</f>
        <v>UPN</v>
      </c>
      <c r="I106" s="221" t="str">
        <f>[1]Sheet1!I106</f>
        <v>Alex Pendavis - VP Finanzas</v>
      </c>
      <c r="J106" s="221" t="str">
        <f>[1]Sheet1!J106</f>
        <v>Loussiana Pacheco</v>
      </c>
      <c r="K106" s="221">
        <f>[1]Sheet1!K106</f>
        <v>0</v>
      </c>
      <c r="L106" s="221" t="str">
        <f>[1]Sheet1!L106</f>
        <v>Gerson Vereau</v>
      </c>
      <c r="M106" s="151">
        <f>[1]Sheet1!M106</f>
        <v>46167</v>
      </c>
      <c r="N106" s="151" t="str">
        <f>[1]Sheet1!N106</f>
        <v>No</v>
      </c>
      <c r="O106" s="221">
        <f>[1]Sheet1!O106</f>
        <v>0</v>
      </c>
      <c r="P106" s="221">
        <f>[1]Sheet1!P106</f>
        <v>0</v>
      </c>
      <c r="Q106" s="221" t="str">
        <f>[1]Sheet1!Q106</f>
        <v>Otro</v>
      </c>
      <c r="R106" s="221" t="str">
        <f>[1]Sheet1!R106</f>
        <v>Cargos de estudiantes aparecen con las fechas de vencimiento incorrectas (Portal y Bancos).</v>
      </c>
      <c r="S106" s="221">
        <f>[1]Sheet1!S106</f>
        <v>0</v>
      </c>
      <c r="T106" s="221" t="str">
        <f>[1]Sheet1!T106</f>
        <v>Cargo de fechas de vencimiento para estudiantes con fecha incorrecta.</v>
      </c>
      <c r="U106" s="221" t="str">
        <f>[1]Sheet1!U106</f>
        <v>Alumnos</v>
      </c>
      <c r="V106" s="221" t="str">
        <f>[1]Sheet1!V106</f>
        <v>Excelencia operativa</v>
      </c>
      <c r="W106" s="221" t="str">
        <f>[1]Sheet1!W106</f>
        <v>No</v>
      </c>
      <c r="X106" s="221" t="str">
        <f>[1]Sheet1!X106</f>
        <v>No cuantificado o S/0</v>
      </c>
      <c r="Y106" s="221" t="str">
        <f>[1]Sheet1!Y106</f>
        <v>Autonomía y eficiencia de 7 días a 2 días en la ejecución del proceso.</v>
      </c>
      <c r="Z106" s="59"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59">
        <f>[1]Sheet1!AA106</f>
        <v>1.05</v>
      </c>
    </row>
    <row r="107" spans="1:27" ht="18.600000000000001" customHeight="1">
      <c r="A107" s="59">
        <f>[1]Sheet1!A107</f>
        <v>129</v>
      </c>
      <c r="B107" s="220">
        <f>[1]Sheet1!B107</f>
        <v>46142.488923611098</v>
      </c>
      <c r="C107" s="220">
        <f>[1]Sheet1!C107</f>
        <v>46142.509629629603</v>
      </c>
      <c r="D107" s="221" t="str">
        <f>[1]Sheet1!D107</f>
        <v>franco.vera@laureate.pe</v>
      </c>
      <c r="E107" s="221" t="str">
        <f>[1]Sheet1!E107</f>
        <v>Franco Manuel Vera Sanchez</v>
      </c>
      <c r="F107" s="221" t="str">
        <f>[1]Sheet1!F107</f>
        <v>CENTRALIZACIÓN DE CCTV</v>
      </c>
      <c r="G107" s="221"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221" t="str">
        <f>[1]Sheet1!H107</f>
        <v>UPC</v>
      </c>
      <c r="I107" s="221" t="str">
        <f>[1]Sheet1!I107</f>
        <v>Álvaro Valdez - VP Operaciones</v>
      </c>
      <c r="J107" s="221" t="str">
        <f>[1]Sheet1!J107</f>
        <v xml:space="preserve">Alexander Sindical </v>
      </c>
      <c r="K107" s="221">
        <f>[1]Sheet1!K107</f>
        <v>0</v>
      </c>
      <c r="L107" s="221" t="str">
        <f>[1]Sheet1!L107</f>
        <v>Gerson Vereau</v>
      </c>
      <c r="M107" s="151">
        <f>[1]Sheet1!M107</f>
        <v>46325</v>
      </c>
      <c r="N107" s="151" t="str">
        <f>[1]Sheet1!N107</f>
        <v>No</v>
      </c>
      <c r="O107" s="221">
        <f>[1]Sheet1!O107</f>
        <v>0</v>
      </c>
      <c r="P107" s="221">
        <f>[1]Sheet1!P107</f>
        <v>0</v>
      </c>
      <c r="Q107" s="221" t="str">
        <f>[1]Sheet1!Q107</f>
        <v>Otro</v>
      </c>
      <c r="R107" s="221"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221">
        <f>[1]Sheet1!S107</f>
        <v>0</v>
      </c>
      <c r="T107" s="221" t="str">
        <f>[1]Sheet1!T107</f>
        <v xml:space="preserve">Proceso de personal de vigilancia físico. </v>
      </c>
      <c r="U107" s="221">
        <f>[1]Sheet1!U107</f>
        <v>0</v>
      </c>
      <c r="V107" s="221" t="str">
        <f>[1]Sheet1!V107</f>
        <v>Excelencia operativa</v>
      </c>
      <c r="W107" s="221" t="str">
        <f>[1]Sheet1!W107</f>
        <v>No</v>
      </c>
      <c r="X107" s="221">
        <f>[1]Sheet1!X107</f>
        <v>0</v>
      </c>
      <c r="Y107" s="221" t="str">
        <f>[1]Sheet1!Y107</f>
        <v>Implementar un Centro de Control Corporativo Unificado en sede Villa, de tal manera que se mitiguen riesgos operativos. Actualmente el sistema se encuentra descentralizado.</v>
      </c>
      <c r="Z107" s="59"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59">
        <f>[1]Sheet1!AA107</f>
        <v>0.30000000000000004</v>
      </c>
    </row>
    <row r="108" spans="1:27" ht="18.600000000000001" customHeight="1">
      <c r="A108" s="59">
        <f>[1]Sheet1!A108</f>
        <v>130</v>
      </c>
      <c r="B108" s="220">
        <f>[1]Sheet1!B108</f>
        <v>46142.660879629599</v>
      </c>
      <c r="C108" s="220">
        <f>[1]Sheet1!C108</f>
        <v>46142.680972222202</v>
      </c>
      <c r="D108" s="221" t="str">
        <f>[1]Sheet1!D108</f>
        <v>franco.vera@laureate.pe</v>
      </c>
      <c r="E108" s="221" t="str">
        <f>[1]Sheet1!E108</f>
        <v>Franco Manuel Vera Sanchez</v>
      </c>
      <c r="F108" s="221" t="str">
        <f>[1]Sheet1!F108</f>
        <v>Actualización de CALIDAD UPN</v>
      </c>
      <c r="G108" s="221" t="str">
        <f>[1]Sheet1!G108</f>
        <v>Necesitamos asegurar que Calidad UPN tenga soporte técnico, ya que actualmente no se cuenta con ello.</v>
      </c>
      <c r="H108" s="221" t="str">
        <f>[1]Sheet1!H108</f>
        <v>UPN</v>
      </c>
      <c r="I108" s="221" t="str">
        <f>[1]Sheet1!I108</f>
        <v>Martín Santana - Rectorado UPN</v>
      </c>
      <c r="J108" s="221" t="str">
        <f>[1]Sheet1!J108</f>
        <v xml:space="preserve">Ana Karina Rozas </v>
      </c>
      <c r="K108" s="221">
        <f>[1]Sheet1!K108</f>
        <v>0</v>
      </c>
      <c r="L108" s="221" t="str">
        <f>[1]Sheet1!L108</f>
        <v>Gerson Vereau</v>
      </c>
      <c r="M108" s="151">
        <f>[1]Sheet1!M108</f>
        <v>46296</v>
      </c>
      <c r="N108" s="151" t="str">
        <f>[1]Sheet1!N108</f>
        <v>No</v>
      </c>
      <c r="O108" s="221">
        <f>[1]Sheet1!O108</f>
        <v>0</v>
      </c>
      <c r="P108" s="221">
        <f>[1]Sheet1!P108</f>
        <v>0</v>
      </c>
      <c r="Q108" s="221" t="str">
        <f>[1]Sheet1!Q108</f>
        <v>Otro</v>
      </c>
      <c r="R108" s="221" t="str">
        <f>[1]Sheet1!R108</f>
        <v>Actualmente Calidad UPN no cuenta con soporte por parte de Microsoft, generando un riesgo continuo ante cualquier incidencia en la plataforma.</v>
      </c>
      <c r="S108" s="221">
        <f>[1]Sheet1!S108</f>
        <v>0</v>
      </c>
      <c r="T108" s="221" t="str">
        <f>[1]Sheet1!T108</f>
        <v>Certificación de la norma ISO 21001 y el proceso regulatorio de Auditoría Externa.</v>
      </c>
      <c r="U108" s="221" t="str">
        <f>[1]Sheet1!U108</f>
        <v>Administrativos</v>
      </c>
      <c r="V108" s="221" t="str">
        <f>[1]Sheet1!V108</f>
        <v>Excelencia operativa</v>
      </c>
      <c r="W108" s="221" t="str">
        <f>[1]Sheet1!W108</f>
        <v>No</v>
      </c>
      <c r="X108" s="221" t="str">
        <f>[1]Sheet1!X108</f>
        <v>No cuantificado o S/0</v>
      </c>
      <c r="Y108" s="221" t="str">
        <f>[1]Sheet1!Y108</f>
        <v>Asegurar cualquier incidente que pudiese ocurrir en la plataforma antes de la auditoría externa de octubre.</v>
      </c>
      <c r="Z108" s="59">
        <f>[1]Sheet1!Z108</f>
        <v>0</v>
      </c>
      <c r="AA108" s="59">
        <f>[1]Sheet1!AA108</f>
        <v>0.45000000000000007</v>
      </c>
    </row>
    <row r="109" spans="1:27" ht="18.600000000000001" customHeight="1">
      <c r="A109" s="59">
        <f>[1]Sheet1!A109</f>
        <v>131</v>
      </c>
      <c r="B109" s="220">
        <f>[1]Sheet1!B109</f>
        <v>46142.716261574104</v>
      </c>
      <c r="C109" s="220">
        <f>[1]Sheet1!C109</f>
        <v>46142.721655092602</v>
      </c>
      <c r="D109" s="221" t="str">
        <f>[1]Sheet1!D109</f>
        <v>gerson.vereau@laureate.pe</v>
      </c>
      <c r="E109" s="221" t="str">
        <f>[1]Sheet1!E109</f>
        <v>Gerson Vereau Rosas</v>
      </c>
      <c r="F109" s="221" t="str">
        <f>[1]Sheet1!F109</f>
        <v>Cambio de SAC a SRL - UPN</v>
      </c>
      <c r="G109" s="221" t="str">
        <f>[1]Sheet1!G109</f>
        <v>Cambiar de SAC a SRL - UPN</v>
      </c>
      <c r="H109" s="221" t="str">
        <f>[1]Sheet1!H109</f>
        <v>UPN</v>
      </c>
      <c r="I109" s="221" t="str">
        <f>[1]Sheet1!I109</f>
        <v>Alex Pendavis - VP Finanzas</v>
      </c>
      <c r="J109" s="221" t="str">
        <f>[1]Sheet1!J109</f>
        <v>Franco chiappe</v>
      </c>
      <c r="K109" s="221">
        <f>[1]Sheet1!K109</f>
        <v>0</v>
      </c>
      <c r="L109" s="221" t="str">
        <f>[1]Sheet1!L109</f>
        <v>Gerson Vereau</v>
      </c>
      <c r="M109" s="151">
        <f>[1]Sheet1!M109</f>
        <v>46154</v>
      </c>
      <c r="N109" s="151" t="str">
        <f>[1]Sheet1!N109</f>
        <v>No</v>
      </c>
      <c r="O109" s="221">
        <f>[1]Sheet1!O109</f>
        <v>0</v>
      </c>
      <c r="P109" s="221">
        <f>[1]Sheet1!P109</f>
        <v>0</v>
      </c>
      <c r="Q109" s="221" t="str">
        <f>[1]Sheet1!Q109</f>
        <v>Legal</v>
      </c>
      <c r="R109" s="221" t="str">
        <f>[1]Sheet1!R109</f>
        <v>Proceso de cambio de tipo de sociedad de UPN, pasando de SAC a SRL.</v>
      </c>
      <c r="S109" s="221">
        <f>[1]Sheet1!S109</f>
        <v>0</v>
      </c>
      <c r="T109" s="221" t="str">
        <f>[1]Sheet1!T109</f>
        <v>Procesos de facturación</v>
      </c>
      <c r="U109" s="221" t="str">
        <f>[1]Sheet1!U109</f>
        <v>Ninguno</v>
      </c>
      <c r="V109" s="221" t="str">
        <f>[1]Sheet1!V109</f>
        <v>Excelencia académica</v>
      </c>
      <c r="W109" s="221" t="str">
        <f>[1]Sheet1!W109</f>
        <v>No</v>
      </c>
      <c r="X109" s="221" t="str">
        <f>[1]Sheet1!X109</f>
        <v>No cuantificado o S/0</v>
      </c>
      <c r="Y109" s="221" t="str">
        <f>[1]Sheet1!Y109</f>
        <v>Normativo</v>
      </c>
      <c r="Z109" s="59">
        <f>[1]Sheet1!Z109</f>
        <v>0</v>
      </c>
      <c r="AA109" s="59">
        <f>[1]Sheet1!AA109</f>
        <v>2</v>
      </c>
    </row>
    <row r="110" spans="1:27" ht="18.600000000000001" customHeight="1">
      <c r="A110" s="59">
        <f>[1]Sheet1!A110</f>
        <v>132</v>
      </c>
      <c r="B110" s="220">
        <f>[1]Sheet1!B110</f>
        <v>46153.716261574074</v>
      </c>
      <c r="C110" s="220">
        <f>[1]Sheet1!C110</f>
        <v>46153.721655092595</v>
      </c>
      <c r="D110" s="221" t="str">
        <f>[1]Sheet1!D110</f>
        <v>julio.rodriguez@laureate.pe</v>
      </c>
      <c r="E110" s="221" t="str">
        <f>[1]Sheet1!E110</f>
        <v>Julio Rodriguez</v>
      </c>
      <c r="F110" s="221" t="str">
        <f>[1]Sheet1!F110</f>
        <v>CRM - Nueva plataforma CRM</v>
      </c>
      <c r="G110" s="221" t="str">
        <f>[1]Sheet1!G110</f>
        <v>Implementación de Microsoft Dynamics 365 Sales, Customer Insights y Customer Service para optimizar el proceso de Admisión y seguimiento de Alumnos.</v>
      </c>
      <c r="H110" s="221" t="str">
        <f>[1]Sheet1!H110</f>
        <v>UPN</v>
      </c>
      <c r="I110" s="221" t="str">
        <f>[1]Sheet1!I110</f>
        <v>Ivan Olivares - VP Marketing y Comercial</v>
      </c>
      <c r="J110" s="221" t="str">
        <f>[1]Sheet1!J110</f>
        <v>Abel Reyes</v>
      </c>
      <c r="K110" s="221" t="str">
        <f>[1]Sheet1!K110</f>
        <v> </v>
      </c>
      <c r="L110" s="221" t="str">
        <f>[1]Sheet1!L110</f>
        <v>Jose Paredes</v>
      </c>
      <c r="M110" s="151">
        <f>[1]Sheet1!M110</f>
        <v>0</v>
      </c>
      <c r="N110" s="151" t="str">
        <f>[1]Sheet1!N110</f>
        <v>Si</v>
      </c>
      <c r="O110" s="221" t="str">
        <f>[1]Sheet1!O110</f>
        <v>Por entregar</v>
      </c>
      <c r="P110" s="221">
        <f>[1]Sheet1!P110</f>
        <v>75722</v>
      </c>
      <c r="Q110" s="221" t="str">
        <f>[1]Sheet1!Q110</f>
        <v>Otro</v>
      </c>
      <c r="R110" s="221"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221">
        <f>[1]Sheet1!S110</f>
        <v>0</v>
      </c>
      <c r="T110" s="221" t="str">
        <f>[1]Sheet1!T110</f>
        <v>Admisión Pregrado, EPE y Postgrado
Prospección</v>
      </c>
      <c r="U110" s="221">
        <f>[1]Sheet1!U110</f>
        <v>0</v>
      </c>
      <c r="V110" s="221" t="str">
        <f>[1]Sheet1!V110</f>
        <v>Excelencia operativa</v>
      </c>
      <c r="W110" s="221" t="str">
        <f>[1]Sheet1!W110</f>
        <v>No</v>
      </c>
      <c r="X110" s="221">
        <f>[1]Sheet1!X110</f>
        <v>0</v>
      </c>
      <c r="Y110" s="221" t="str">
        <f>[1]Sheet1!Y110</f>
        <v>Esta iniciativa busca fortalecer la eficiencia operativa, mejorar la experiencia del usuario y asegurar la escalabilidad tecnológica en línea con los objetivos institucionales.</v>
      </c>
      <c r="Z110" s="59" t="str">
        <f>[1]Sheet1!Z110</f>
        <v> </v>
      </c>
      <c r="AA110" s="59">
        <f>[1]Sheet1!AA110</f>
        <v>1.8</v>
      </c>
    </row>
    <row r="111" spans="1:27" ht="18.600000000000001" customHeight="1">
      <c r="A111" s="59">
        <f>[1]Sheet1!A111</f>
        <v>133</v>
      </c>
      <c r="B111" s="220">
        <f>[1]Sheet1!B111</f>
        <v>46153.365740740701</v>
      </c>
      <c r="C111" s="220">
        <f>[1]Sheet1!C111</f>
        <v>46153.404918981498</v>
      </c>
      <c r="D111" s="221" t="str">
        <f>[1]Sheet1!D111</f>
        <v>ethel.sotomayor@laureate.pe</v>
      </c>
      <c r="E111" s="221" t="str">
        <f>[1]Sheet1!E111</f>
        <v xml:space="preserve">
Ethel Lorena Guerrero Sotomayor</v>
      </c>
      <c r="F111" s="221" t="str">
        <f>[1]Sheet1!F111</f>
        <v>New Campus UPN Lima Sur - Nueva Sede UPN San Juan de Miraflores</v>
      </c>
      <c r="G111" s="221" t="str">
        <f>[1]Sheet1!G111</f>
        <v>Expansión: Implementación de la nueva sede UPN Lima Sur (SJM).</v>
      </c>
      <c r="H111" s="221" t="str">
        <f>[1]Sheet1!H111</f>
        <v>UPN</v>
      </c>
      <c r="I111" s="221" t="str">
        <f>[1]Sheet1!I111</f>
        <v>Álvaro Valdez - VP Operaciones</v>
      </c>
      <c r="J111" s="221" t="str">
        <f>[1]Sheet1!J111</f>
        <v xml:space="preserve">Sharon Chou </v>
      </c>
      <c r="K111" s="221">
        <f>[1]Sheet1!K111</f>
        <v>0</v>
      </c>
      <c r="L111" s="221">
        <f>[1]Sheet1!L111</f>
        <v>0</v>
      </c>
      <c r="M111" s="151">
        <f>[1]Sheet1!M111</f>
        <v>46447</v>
      </c>
      <c r="N111" s="151" t="str">
        <f>[1]Sheet1!N111</f>
        <v>Si</v>
      </c>
      <c r="O111" s="221" t="str">
        <f>[1]Sheet1!O111</f>
        <v>Campus Expansion &amp; Operation Optimization</v>
      </c>
      <c r="P111" s="221">
        <f>[1]Sheet1!P111</f>
        <v>77465</v>
      </c>
      <c r="Q111" s="221" t="str">
        <f>[1]Sheet1!Q111</f>
        <v>Otro</v>
      </c>
      <c r="R111" s="221" t="str">
        <f>[1]Sheet1!R111</f>
        <v>Nueva sede</v>
      </c>
      <c r="S111" s="221">
        <f>[1]Sheet1!S111</f>
        <v>0</v>
      </c>
      <c r="T111" s="221">
        <f>[1]Sheet1!T111</f>
        <v>0</v>
      </c>
      <c r="U111" s="221">
        <f>[1]Sheet1!U111</f>
        <v>0</v>
      </c>
      <c r="V111" s="221" t="str">
        <f>[1]Sheet1!V111</f>
        <v>Crecimiento Escalable</v>
      </c>
      <c r="W111" s="221" t="str">
        <f>[1]Sheet1!W111</f>
        <v>No</v>
      </c>
      <c r="X111" s="221">
        <f>[1]Sheet1!X111</f>
        <v>0</v>
      </c>
      <c r="Y111" s="221">
        <f>[1]Sheet1!Y111</f>
        <v>0</v>
      </c>
      <c r="Z111" s="59">
        <f>[1]Sheet1!Z111</f>
        <v>0</v>
      </c>
      <c r="AA111" s="59">
        <f>[1]Sheet1!AA111</f>
        <v>2</v>
      </c>
    </row>
    <row r="112" spans="1:27" ht="18.600000000000001" customHeight="1">
      <c r="A112" s="59">
        <f>[1]Sheet1!A112</f>
        <v>134</v>
      </c>
      <c r="B112" s="220">
        <f>[1]Sheet1!B112</f>
        <v>46146.699976851902</v>
      </c>
      <c r="C112" s="220">
        <f>[1]Sheet1!C112</f>
        <v>46146.714398148099</v>
      </c>
      <c r="D112" s="221" t="str">
        <f>[1]Sheet1!D112</f>
        <v>jorge.santacruz@laureate.pe</v>
      </c>
      <c r="E112" s="221" t="str">
        <f>[1]Sheet1!E112</f>
        <v>Jorge Santa Cruz Espinoza</v>
      </c>
      <c r="F112" s="221" t="str">
        <f>[1]Sheet1!F112</f>
        <v>Fase 2 Mis Procesos Goldenbelt</v>
      </c>
      <c r="G112" s="221" t="str">
        <f>[1]Sheet1!G112</f>
        <v>Como parte de los acuerdos de continuidad para el proyecto de Mis Procesos Goldenbelt, en esta Fase 2 se requiere incorporar toda la documentación de procesos de Laureate Perú.</v>
      </c>
      <c r="H112" s="221" t="str">
        <f>[1]Sheet1!H112</f>
        <v>LAUREATE</v>
      </c>
      <c r="I112" s="221" t="str">
        <f>[1]Sheet1!I112</f>
        <v>Rossina Caballero - VP Legal</v>
      </c>
      <c r="J112" s="221" t="str">
        <f>[1]Sheet1!J112</f>
        <v xml:space="preserve">Jorge Luis Santa Cruz Espinoza </v>
      </c>
      <c r="K112" s="221" t="str">
        <f>[1]Sheet1!K112</f>
        <v>https://educorpperu-my.sharepoint.com/personal/diana_zapata_laureate_pe1/Documents/Aplicaciones/Microsoft%20Forms/REGISTRO%20DE%20INICIATIVAS%20-%20GESTI%C3%93N%20DE%20LA%20DEMANDA%20(2%201/Pregunta/Aprobaci%C3%B3n%20de%20inicio%20de%20Fase%20II%20Mis%20Procesos_Jorge%20Santa%20Cruz%20Esp.pdf</v>
      </c>
      <c r="L112" s="221" t="str">
        <f>[1]Sheet1!L112</f>
        <v>Franco Vera</v>
      </c>
      <c r="M112" s="151">
        <f>[1]Sheet1!M112</f>
        <v>46238</v>
      </c>
      <c r="N112" s="151" t="str">
        <f>[1]Sheet1!N112</f>
        <v>No</v>
      </c>
      <c r="O112" s="221">
        <f>[1]Sheet1!O112</f>
        <v>0</v>
      </c>
      <c r="P112" s="221">
        <f>[1]Sheet1!P112</f>
        <v>0</v>
      </c>
      <c r="Q112" s="221" t="str">
        <f>[1]Sheet1!Q112</f>
        <v>Otro</v>
      </c>
      <c r="R112" s="221" t="str">
        <f>[1]Sheet1!R112</f>
        <v>Actualmente contamos con un aplicativo diseñado en PowerApps que gestiona y tiene como repositorio la documentación de Laureate Perú, y se plantea migrar toda información a la plataforma centralizada de Mis Procesos Goldenbelt</v>
      </c>
      <c r="S112" s="221">
        <f>[1]Sheet1!S112</f>
        <v>0</v>
      </c>
      <c r="T112" s="221" t="str">
        <f>[1]Sheet1!T112</f>
        <v xml:space="preserve">Todos los procesos centralizados de la organización </v>
      </c>
      <c r="U112" s="221" t="str">
        <f>[1]Sheet1!U112</f>
        <v>Administrativos</v>
      </c>
      <c r="V112" s="221" t="str">
        <f>[1]Sheet1!V112</f>
        <v>Excelencia operativa</v>
      </c>
      <c r="W112" s="221" t="str">
        <f>[1]Sheet1!W112</f>
        <v>No</v>
      </c>
      <c r="X112" s="221" t="str">
        <f>[1]Sheet1!X112</f>
        <v>No cuantificado o S/0</v>
      </c>
      <c r="Y112" s="221" t="str">
        <f>[1]Sheet1!Y112</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2" s="59" t="str">
        <f>[1]Sheet1!Z112</f>
        <v>https://educorpperu-my.sharepoint.com/personal/diana_zapata_laureate_pe1/_layouts/15/Doc.aspx?sourcedoc=%7B624F527C-33C1-4CED-9E49-04BF8077595A%7D&amp;file=Goldenbelt_presentaci%C3%B3n_Jorge%20Santa%20Cruz%20Esp.pptx&amp;action=edit&amp;mobileredirect=true</v>
      </c>
      <c r="AA112" s="59">
        <f>[1]Sheet1!AA112</f>
        <v>0.45000000000000007</v>
      </c>
    </row>
    <row r="113" spans="1:27" ht="18.600000000000001" customHeight="1">
      <c r="A113" s="59">
        <f>[1]Sheet1!A113</f>
        <v>135</v>
      </c>
      <c r="B113" s="220">
        <f>[1]Sheet1!B113</f>
        <v>46148.721481481502</v>
      </c>
      <c r="C113" s="220">
        <f>[1]Sheet1!C113</f>
        <v>46148.761435185203</v>
      </c>
      <c r="D113" s="221" t="str">
        <f>[1]Sheet1!D113</f>
        <v>franco.vera@laureate.pe</v>
      </c>
      <c r="E113" s="221" t="str">
        <f>[1]Sheet1!E113</f>
        <v>Franco Manuel Vera Sanchez</v>
      </c>
      <c r="F113" s="221" t="str">
        <f>[1]Sheet1!F113</f>
        <v xml:space="preserve">Depuración de RPA ineficientes </v>
      </c>
      <c r="G113" s="221" t="str">
        <f>[1]Sheet1!G113</f>
        <v>Necesitamos asegurar el retiro de 10 RPA deficientes, para ejecutar un plan de acción definido (rediseño de procesos, desarrollo, integración), logrando quedarnos sólo con los RPA justificados, según Plan de Trabajo realizado.</v>
      </c>
      <c r="H113" s="221" t="str">
        <f>[1]Sheet1!H113</f>
        <v>LAUREATE</v>
      </c>
      <c r="I113" s="221" t="str">
        <f>[1]Sheet1!I113</f>
        <v>Humberto Marota - Tecnologías y transformación digital</v>
      </c>
      <c r="J113" s="221" t="str">
        <f>[1]Sheet1!J113</f>
        <v xml:space="preserve">Christian Quiroz </v>
      </c>
      <c r="K113" s="221" t="str">
        <f>[1]Sheet1!K113</f>
        <v>https://educorpperu-my.sharepoint.com/:b:/g/personal/franco_vera_laureate_pe/IQAeX2Tg8y1WSYeioPE9dNhYAVKWmQNzPEOjQhlY8RjQY4k?e=bEb9WD</v>
      </c>
      <c r="L113" s="221" t="str">
        <f>[1]Sheet1!L113</f>
        <v>Franco Vera</v>
      </c>
      <c r="M113" s="151">
        <f>[1]Sheet1!M113</f>
        <v>46203</v>
      </c>
      <c r="N113" s="151" t="str">
        <f>[1]Sheet1!N113</f>
        <v>No</v>
      </c>
      <c r="O113" s="221">
        <f>[1]Sheet1!O113</f>
        <v>0</v>
      </c>
      <c r="P113" s="221">
        <f>[1]Sheet1!P113</f>
        <v>0</v>
      </c>
      <c r="Q113" s="221" t="str">
        <f>[1]Sheet1!Q113</f>
        <v>Otro</v>
      </c>
      <c r="R113" s="221" t="str">
        <f>[1]Sheet1!R113</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3" s="221">
        <f>[1]Sheet1!S113</f>
        <v>0</v>
      </c>
      <c r="T113" s="221" t="str">
        <f>[1]Sheet1!T113</f>
        <v>Académicos y de operaciones</v>
      </c>
      <c r="U113" s="221" t="str">
        <f>[1]Sheet1!U113</f>
        <v>Ninguno</v>
      </c>
      <c r="V113" s="221" t="str">
        <f>[1]Sheet1!V113</f>
        <v>Excelencia operativa</v>
      </c>
      <c r="W113" s="221" t="str">
        <f>[1]Sheet1!W113</f>
        <v>No</v>
      </c>
      <c r="X113" s="221" t="str">
        <f>[1]Sheet1!X113</f>
        <v>No cuantificado o S/0</v>
      </c>
      <c r="Y113" s="221" t="str">
        <f>[1]Sheet1!Y113</f>
        <v>Elevar el grado de alineamiento de los RPA y la optimización del modelo de automatización en UPN y UPC.</v>
      </c>
      <c r="Z113" s="59" t="str">
        <f>[1]Sheet1!Z113</f>
        <v>https://educorpperu-my.sharepoint.com/personal/diana_zapata_laureate_pe1/_layouts/15/Doc.aspx?sourcedoc=%7B24A1BDF7-9308-49FC-8068-7E45AEA5D050%7D&amp;file=Status%20RPA%202026-04-01_Franco%20Manuel%20Vera%20S.pptx&amp;action=edit&amp;mobileredirect=true</v>
      </c>
      <c r="AA113" s="59">
        <f>[1]Sheet1!AA113</f>
        <v>0.30000000000000004</v>
      </c>
    </row>
    <row r="114" spans="1:27" ht="18.600000000000001" customHeight="1">
      <c r="A114" s="59">
        <f>[1]Sheet1!A114</f>
        <v>136</v>
      </c>
      <c r="B114" s="220">
        <f>[1]Sheet1!B114</f>
        <v>46148.807418981502</v>
      </c>
      <c r="C114" s="220">
        <f>[1]Sheet1!C114</f>
        <v>46148.817395833299</v>
      </c>
      <c r="D114" s="221" t="str">
        <f>[1]Sheet1!D114</f>
        <v>jose.herbozo@laureate.pe</v>
      </c>
      <c r="E114" s="221" t="str">
        <f>[1]Sheet1!E114</f>
        <v>José Paredes Herbozo</v>
      </c>
      <c r="F114" s="221" t="str">
        <f>[1]Sheet1!F114</f>
        <v>Admisión Online (Fase 2)</v>
      </c>
      <c r="G114" s="221" t="str">
        <f>[1]Sheet1!G114</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4" s="221" t="str">
        <f>[1]Sheet1!H114</f>
        <v>UPN</v>
      </c>
      <c r="I114" s="221" t="str">
        <f>[1]Sheet1!I114</f>
        <v>Ivan Olivares - VP Marketing y Comercial</v>
      </c>
      <c r="J114" s="221" t="str">
        <f>[1]Sheet1!J114</f>
        <v>Roberto Yepez</v>
      </c>
      <c r="K114" s="221" t="str">
        <f>[1]Sheet1!K114</f>
        <v>https://educorpperu-my.sharepoint.com/personal/diana_zapata_laureate_pe1/Documents/Aplicaciones/Microsoft%20Forms/REGISTRO%20DE%20INICIATIVAS%20-%20GESTI%C3%93N%20DE%20LA%20DEMANDA%20(2%201/Pregunta/olk_GiZq5TaWKA_Jos%C3%A9%20Paredes%20Herbozo.png</v>
      </c>
      <c r="L114" s="221" t="str">
        <f>[1]Sheet1!L114</f>
        <v>Jose Paredes</v>
      </c>
      <c r="M114" s="151">
        <f>[1]Sheet1!M114</f>
        <v>46234</v>
      </c>
      <c r="N114" s="151" t="str">
        <f>[1]Sheet1!N114</f>
        <v>Si</v>
      </c>
      <c r="O114" s="221" t="str">
        <f>[1]Sheet1!O114</f>
        <v>Digital &amp; IA</v>
      </c>
      <c r="P114" s="221">
        <f>[1]Sheet1!P114</f>
        <v>75722</v>
      </c>
      <c r="Q114" s="221" t="str">
        <f>[1]Sheet1!Q114</f>
        <v>Otro</v>
      </c>
      <c r="R114" s="221" t="str">
        <f>[1]Sheet1!R114</f>
        <v>Actualmente la operación manual dilata la venta.</v>
      </c>
      <c r="S114" s="221">
        <f>[1]Sheet1!S114</f>
        <v>0</v>
      </c>
      <c r="T114" s="221" t="str">
        <f>[1]Sheet1!T114</f>
        <v>Admisión, Marketing</v>
      </c>
      <c r="U114" s="221" t="str">
        <f>[1]Sheet1!U114</f>
        <v>Administrativos</v>
      </c>
      <c r="V114" s="221" t="str">
        <f>[1]Sheet1!V114</f>
        <v>Crecimiento escalable</v>
      </c>
      <c r="W114" s="221" t="str">
        <f>[1]Sheet1!W114</f>
        <v>No</v>
      </c>
      <c r="X114" s="221" t="str">
        <f>[1]Sheet1!X114</f>
        <v>Mayor a S/500,000.00</v>
      </c>
      <c r="Y114" s="221" t="str">
        <f>[1]Sheet1!Y114</f>
        <v xml:space="preserve">Desarrollar e implementar una plataforma digital que permita realizar el proceso de admisión de manera completamente online, integrando IA para mejorar la experiencia del prospecto y automatizar procesos operativos.
</v>
      </c>
      <c r="Z114" s="59" t="str">
        <f>[1]Sheet1!Z114</f>
        <v>https://educorpperu-my.sharepoint.com/personal/diana_zapata_laureate_pe1/_layouts/15/Doc.aspx?sourcedoc=%7B5D291B10-5066-4D8A-AD65-AE4310DF4BE6%7D&amp;file=Solicitud%20de%20requerimientos%20Idea%20nueva%20y%20mejo_Jos%C3%A9%20Paredes%20Herbozo.pptx&amp;action=edit&amp;mobileredirect=true</v>
      </c>
      <c r="AA114" s="59">
        <f>[1]Sheet1!AA114</f>
        <v>2.9</v>
      </c>
    </row>
    <row r="115" spans="1:27" ht="18.600000000000001" customHeight="1">
      <c r="A115" s="59">
        <f>[1]Sheet1!A115</f>
        <v>137</v>
      </c>
      <c r="B115" s="220">
        <f>[1]Sheet1!B115</f>
        <v>46148.786018518498</v>
      </c>
      <c r="C115" s="220">
        <f>[1]Sheet1!C115</f>
        <v>46148.8413657407</v>
      </c>
      <c r="D115" s="221" t="str">
        <f>[1]Sheet1!D115</f>
        <v>jhoy.vargas@laureate.pe</v>
      </c>
      <c r="E115" s="221" t="str">
        <f>[1]Sheet1!E115</f>
        <v>Jhoy Vargas Fatama</v>
      </c>
      <c r="F115" s="221" t="str">
        <f>[1]Sheet1!F115</f>
        <v>Actualizacion de Árbol de tipificaciones CRM Cibertec</v>
      </c>
      <c r="G115" s="221" t="str">
        <f>[1]Sheet1!G115</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5" s="221" t="str">
        <f>[1]Sheet1!H115</f>
        <v>CIB</v>
      </c>
      <c r="I115" s="221" t="str">
        <f>[1]Sheet1!I115</f>
        <v>Álvaro Valdez - VP Operaciones</v>
      </c>
      <c r="J115" s="221" t="str">
        <f>[1]Sheet1!J115</f>
        <v xml:space="preserve">Jhoy Vargas </v>
      </c>
      <c r="K115" s="221" t="str">
        <f>[1]Sheet1!K115</f>
        <v>https://educorpperu-my.sharepoint.com/personal/diana_zapata_laureate_pe1/Documents/Aplicaciones/Microsoft%20Forms/REGISTRO%20DE%20INICIATIVAS%20-%20GESTI%C3%93N%20DE%20LA%20DEMANDA%20(2%201/Pregunta/PROYECTO_%20%C3%81rbol%20de%20tipificaciones%20CRM%20Ciberte_Jhoy%20Vargas%20Fatama.pdf</v>
      </c>
      <c r="L115" s="221" t="str">
        <f>[1]Sheet1!L115</f>
        <v>Gerson Vereau</v>
      </c>
      <c r="M115" s="151">
        <f>[1]Sheet1!M115</f>
        <v>46174</v>
      </c>
      <c r="N115" s="151" t="str">
        <f>[1]Sheet1!N115</f>
        <v>No</v>
      </c>
      <c r="O115" s="221">
        <f>[1]Sheet1!O115</f>
        <v>0</v>
      </c>
      <c r="P115" s="221">
        <f>[1]Sheet1!P115</f>
        <v>0</v>
      </c>
      <c r="Q115" s="221" t="str">
        <f>[1]Sheet1!Q115</f>
        <v>Otro</v>
      </c>
      <c r="R115" s="221" t="str">
        <f>[1]Sheet1!R115</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5" s="221">
        <f>[1]Sheet1!S115</f>
        <v>0</v>
      </c>
      <c r="T115" s="221" t="str">
        <f>[1]Sheet1!T115</f>
        <v xml:space="preserve">Gestión de seguimiento Intracycle, tipificación y registro de interacciones con estudiantes, control de calidad de datos, campañas de matrícula y recaudación, atención y soporte estudiantil.
</v>
      </c>
      <c r="U115" s="221" t="str">
        <f>[1]Sheet1!U115</f>
        <v>Administrativos</v>
      </c>
      <c r="V115" s="221" t="str">
        <f>[1]Sheet1!V115</f>
        <v>Excelencia operativa</v>
      </c>
      <c r="W115" s="221" t="str">
        <f>[1]Sheet1!W115</f>
        <v>No</v>
      </c>
      <c r="X115" s="221" t="str">
        <f>[1]Sheet1!X115</f>
        <v>No cuantificado o S/0</v>
      </c>
      <c r="Y115" s="221" t="str">
        <f>[1]Sheet1!Y115</f>
        <v xml:space="preserve">Impacta en los controles de cumplimiento normativo (protección de datos personales), control de calidad de datos, control de acceso y seguridad de la información, y control operativo de campañas de seguimiento Intracycle.
</v>
      </c>
      <c r="Z115" s="59" t="str">
        <f>[1]Sheet1!Z115</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5" s="59">
        <f>[1]Sheet1!AA115</f>
        <v>0.45000000000000007</v>
      </c>
    </row>
    <row r="116" spans="1:27" ht="18.600000000000001" customHeight="1">
      <c r="A116" s="59">
        <f>[1]Sheet1!A116</f>
        <v>138</v>
      </c>
      <c r="B116" s="220">
        <f>[1]Sheet1!B116</f>
        <v>46149.350358796299</v>
      </c>
      <c r="C116" s="220">
        <f>[1]Sheet1!C116</f>
        <v>46149.484409722201</v>
      </c>
      <c r="D116" s="221" t="str">
        <f>[1]Sheet1!D116</f>
        <v>javier.santiago@laureate.pe</v>
      </c>
      <c r="E116" s="221" t="str">
        <f>[1]Sheet1!E116</f>
        <v>Javier Santiago Modesto</v>
      </c>
      <c r="F116" s="221" t="str">
        <f>[1]Sheet1!F116</f>
        <v>Implementación de nueva API Banner de validación de solicitud de Constancia de Matricula simple y con cursos incluidos</v>
      </c>
      <c r="G116" s="221" t="str">
        <f>[1]Sheet1!G116</f>
        <v>Necesitamos validar el proceso de solicitud de constancia de matricula, para garantizar la integridad de la información de los estudiantes solicitantes, logrando que el 100% de solicitudes se apliquen correctamente.</v>
      </c>
      <c r="H116" s="221" t="str">
        <f>[1]Sheet1!H116</f>
        <v>UPC</v>
      </c>
      <c r="I116" s="221" t="str">
        <f>[1]Sheet1!I116</f>
        <v>Mónica García - VP Operaciones Digitales y Online</v>
      </c>
      <c r="J116" s="221" t="str">
        <f>[1]Sheet1!J116</f>
        <v xml:space="preserve">Janny Nicasio </v>
      </c>
      <c r="K116" s="221" t="str">
        <f>[1]Sheet1!K116</f>
        <v>https://educorpperu-my.sharepoint.com/personal/diana_zapata_laureate_pe1/_layouts/15/Doc.aspx?sourcedoc=%7B291EB381-3170-4446-8D73-91136D380F38%7D&amp;file=Aprobacion-VP-11-05-2026_Javier%20Santiago%20Mode.docx&amp;action=default&amp;mobileredirect=true</v>
      </c>
      <c r="L116" s="221" t="str">
        <f>[1]Sheet1!L116</f>
        <v>Ninguno</v>
      </c>
      <c r="M116" s="151">
        <f>[1]Sheet1!M116</f>
        <v>46172</v>
      </c>
      <c r="N116" s="151" t="str">
        <f>[1]Sheet1!N116</f>
        <v>No</v>
      </c>
      <c r="O116" s="221">
        <f>[1]Sheet1!O116</f>
        <v>0</v>
      </c>
      <c r="P116" s="221">
        <f>[1]Sheet1!P116</f>
        <v>0</v>
      </c>
      <c r="Q116" s="221" t="str">
        <f>[1]Sheet1!Q116</f>
        <v>Otro</v>
      </c>
      <c r="R116" s="221" t="str">
        <f>[1]Sheet1!R116</f>
        <v>El proceso de solicitud de constancia de matricula se consultan cuatro distintas APIs para validar la información del estudiante solicitante, afectando la performance de la respuesta y generando errores de consistencia de datos.</v>
      </c>
      <c r="S116" s="221" t="str">
        <f>[1]Sheet1!S116</f>
        <v>Tener una unica API que valide la elegibilidad de constancia de matrícula.</v>
      </c>
      <c r="T116" s="221" t="str">
        <f>[1]Sheet1!T116</f>
        <v>Proceso de solicitud de constancia de matricula simple y con cursos incluidos</v>
      </c>
      <c r="U116" s="221" t="str">
        <f>[1]Sheet1!U116</f>
        <v>Alumnos</v>
      </c>
      <c r="V116" s="221" t="str">
        <f>[1]Sheet1!V116</f>
        <v>Experiencia</v>
      </c>
      <c r="W116" s="221" t="str">
        <f>[1]Sheet1!W116</f>
        <v>No</v>
      </c>
      <c r="X116" s="221" t="str">
        <f>[1]Sheet1!X116</f>
        <v>No cuantificado o S/0</v>
      </c>
      <c r="Y116" s="221" t="str">
        <f>[1]Sheet1!Y116</f>
        <v>Mejora la experiencia del estudiante en la solicitud de la constancia de matricula.</v>
      </c>
      <c r="Z116" s="59" t="str">
        <f>[1]Sheet1!Z116</f>
        <v>https://educorpperu-my.sharepoint.com/personal/diana_zapata_laureate_pe1/_layouts/15/Doc.aspx?sourcedoc=%7BED719568-FBD6-4E30-B823-05F1A6731E92%7D&amp;file=Solicitud%20de%20requerimientos%20Idea%20nueva%20y%20mejo_Javier%20Santiago%20Mode.pptx&amp;action=edit&amp;mobileredirect=true</v>
      </c>
      <c r="AA116" s="59">
        <f>[1]Sheet1!AA116</f>
        <v>1.3</v>
      </c>
    </row>
    <row r="117" spans="1:27" ht="18.600000000000001" customHeight="1">
      <c r="A117" s="59">
        <f>[1]Sheet1!A117</f>
        <v>139</v>
      </c>
      <c r="B117" s="220">
        <f>[1]Sheet1!B117</f>
        <v>46149.750567129602</v>
      </c>
      <c r="C117" s="220">
        <f>[1]Sheet1!C117</f>
        <v>46149.757731481499</v>
      </c>
      <c r="D117" s="221" t="str">
        <f>[1]Sheet1!D117</f>
        <v>johnny.rodriguez@laureate.pe</v>
      </c>
      <c r="E117" s="221" t="str">
        <f>[1]Sheet1!E117</f>
        <v>Johnny Rodríguez Godos</v>
      </c>
      <c r="F117" s="221" t="str">
        <f>[1]Sheet1!F117</f>
        <v>Estimación de cambios para liberación de Backfill - Área de Experiencia</v>
      </c>
      <c r="G117" s="221" t="str">
        <f>[1]Sheet1!G117</f>
        <v xml:space="preserve">Realizar la estimación de los 18 puntos compartidos en el excel que se disponibiliza en esta solicitud. La estimación y ejecución de estos requerimientos permitirá la liberación de los backfills que tiene asignado el área de Experiencia. </v>
      </c>
      <c r="H117" s="221" t="str">
        <f>[1]Sheet1!H117</f>
        <v>UPC</v>
      </c>
      <c r="I117" s="221" t="str">
        <f>[1]Sheet1!I117</f>
        <v>Mónica García - VP Operaciones Digitales y Online</v>
      </c>
      <c r="J117" s="221" t="str">
        <f>[1]Sheet1!J117</f>
        <v>Luis Roncal</v>
      </c>
      <c r="K117" s="221" t="str">
        <f>[1]Sheet1!K117</f>
        <v>https://educorpperu-my.sharepoint.com/personal/diana_zapata_laureate_pe1/Documents/Aplicaciones/Microsoft%20Forms/REGISTRO%20DE%20INICIATIVAS%20-%20GESTI%C3%93N%20DE%20LA%20DEMANDA%20(2%201/Pregunta/Captura%20de%20pantalla%202026-05-07%20180534_Johnny%20Rodr%C3%ADguez%20God.jpg</v>
      </c>
      <c r="L117" s="221" t="str">
        <f>[1]Sheet1!L117</f>
        <v>Carla Arias-Schreiber</v>
      </c>
      <c r="M117" s="151">
        <f>[1]Sheet1!M117</f>
        <v>46265</v>
      </c>
      <c r="N117" s="151" t="str">
        <f>[1]Sheet1!N117</f>
        <v>No</v>
      </c>
      <c r="O117" s="221">
        <f>[1]Sheet1!O117</f>
        <v>0</v>
      </c>
      <c r="P117" s="221">
        <f>[1]Sheet1!P117</f>
        <v>0</v>
      </c>
      <c r="Q117" s="221" t="str">
        <f>[1]Sheet1!Q117</f>
        <v>Otro</v>
      </c>
      <c r="R117" s="221" t="str">
        <f>[1]Sheet1!R117</f>
        <v>Estimación para liberar backfills</v>
      </c>
      <c r="S117" s="221">
        <f>[1]Sheet1!S117</f>
        <v>0</v>
      </c>
      <c r="T117" s="221" t="str">
        <f>[1]Sheet1!T117</f>
        <v>Trámites, Balckboard, MiUPC</v>
      </c>
      <c r="U117" s="221" t="str">
        <f>[1]Sheet1!U117</f>
        <v>Ninguno</v>
      </c>
      <c r="V117" s="221" t="str">
        <f>[1]Sheet1!V117</f>
        <v>Excelencia operativa</v>
      </c>
      <c r="W117" s="221" t="str">
        <f>[1]Sheet1!W117</f>
        <v>No</v>
      </c>
      <c r="X117" s="221" t="str">
        <f>[1]Sheet1!X117</f>
        <v>Mayor a S/500,000.00</v>
      </c>
      <c r="Y117" s="221" t="str">
        <f>[1]Sheet1!Y117</f>
        <v>Mejor servicio a los alumnos</v>
      </c>
      <c r="Z117" s="59" t="str">
        <f>[1]Sheet1!Z117</f>
        <v>https://educorpperu-my.sharepoint.com/personal/diana_zapata_laureate_pe1/_layouts/15/Doc.aspx?sourcedoc=%7BD22D2A6B-4EE3-4CE0-B5F4-5B298832110E%7D&amp;file=Listado%20de%20necesidades%20TI%20-%20Direcci%C3%B3n%20de%20Expe_Johnny%20Rodr%C3%ADguez%20God.xlsx&amp;action=default&amp;mobileredirect=true</v>
      </c>
      <c r="AA117" s="59">
        <f>[1]Sheet1!AA117</f>
        <v>1.05</v>
      </c>
    </row>
    <row r="118" spans="1:27" ht="18.600000000000001" customHeight="1">
      <c r="A118" s="59">
        <f>[1]Sheet1!A118</f>
        <v>140</v>
      </c>
      <c r="B118" s="220">
        <f>[1]Sheet1!B118</f>
        <v>46150.379953703698</v>
      </c>
      <c r="C118" s="220">
        <f>[1]Sheet1!C118</f>
        <v>46150.452800925901</v>
      </c>
      <c r="D118" s="221" t="str">
        <f>[1]Sheet1!D118</f>
        <v>franco.vera@laureate.pe</v>
      </c>
      <c r="E118" s="221" t="str">
        <f>[1]Sheet1!E118</f>
        <v>Franco Manuel Vera Sanchez</v>
      </c>
      <c r="F118" s="221" t="str">
        <f>[1]Sheet1!F118</f>
        <v>Requerimiento reporte CB008 en BI - Compra de carpetas de becas socioeconómicas</v>
      </c>
      <c r="G118" s="221" t="str">
        <f>[1]Sheet1!G118</f>
        <v>Este se requiere para identificar a estudiantes que han adquirido su carpeta para postular a esta beca e iniciar su postulación para el 2026-2.</v>
      </c>
      <c r="H118" s="221" t="str">
        <f>[1]Sheet1!H118</f>
        <v>UPN</v>
      </c>
      <c r="I118" s="221" t="str">
        <f>[1]Sheet1!I118</f>
        <v>Alex Pendavis - VP Finanzas</v>
      </c>
      <c r="J118" s="221" t="str">
        <f>[1]Sheet1!J118</f>
        <v>Loussiana Pacheco</v>
      </c>
      <c r="K118" s="221" t="str">
        <f>[1]Sheet1!K118</f>
        <v>https://educorpperu-my.sharepoint.com/personal/diana_zapata_laureate_pe1/Documents/Aplicaciones/Microsoft%20Forms/REGISTRO%20DE%20INICIATIVAS%20-%20GESTI%C3%93N%20DE%20LA%20DEMANDA%20(2%201/Pregunta/VB%20Miguel%20Bandach_CB008_Franco%20Manuel%20Vera%20S.pdf</v>
      </c>
      <c r="L118" s="221" t="str">
        <f>[1]Sheet1!L118</f>
        <v>Franco Vera</v>
      </c>
      <c r="M118" s="151">
        <f>[1]Sheet1!M118</f>
        <v>46153</v>
      </c>
      <c r="N118" s="151" t="str">
        <f>[1]Sheet1!N118</f>
        <v>No</v>
      </c>
      <c r="O118" s="221">
        <f>[1]Sheet1!O118</f>
        <v>0</v>
      </c>
      <c r="P118" s="221">
        <f>[1]Sheet1!P118</f>
        <v>0</v>
      </c>
      <c r="Q118" s="221" t="str">
        <f>[1]Sheet1!Q118</f>
        <v>Otro</v>
      </c>
      <c r="R118" s="221" t="str">
        <f>[1]Sheet1!R118</f>
        <v xml:space="preserve">No se cuenta con un reporte de compra de becas socioeconómicas, lo cual genera un trabajo manual y por lo tanto, demora en las comunicaciones hacia el estudiante.
</v>
      </c>
      <c r="S118" s="221">
        <f>[1]Sheet1!S118</f>
        <v>0</v>
      </c>
      <c r="T118" s="221" t="str">
        <f>[1]Sheet1!T118</f>
        <v>Compra de becas socioeconómicas.</v>
      </c>
      <c r="U118" s="221" t="str">
        <f>[1]Sheet1!U118</f>
        <v>Administrativos</v>
      </c>
      <c r="V118" s="221" t="str">
        <f>[1]Sheet1!V118</f>
        <v>Excelencia operativa</v>
      </c>
      <c r="W118" s="221" t="str">
        <f>[1]Sheet1!W118</f>
        <v>No</v>
      </c>
      <c r="X118" s="221" t="str">
        <f>[1]Sheet1!X118</f>
        <v>No cuantificado o S/0</v>
      </c>
      <c r="Y118" s="221" t="str">
        <f>[1]Sheet1!Y118</f>
        <v>Integración, automatización y mejora de la experiencia del estudiante.</v>
      </c>
      <c r="Z118" s="59" t="str">
        <f>[1]Sheet1!Z118</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8" s="59">
        <f>[1]Sheet1!AA118</f>
        <v>0.45000000000000007</v>
      </c>
    </row>
    <row r="119" spans="1:27" ht="18.600000000000001" customHeight="1">
      <c r="A119" s="59">
        <f>[1]Sheet1!A119</f>
        <v>141</v>
      </c>
      <c r="B119" s="220">
        <f>[1]Sheet1!B119</f>
        <v>46153.3528703704</v>
      </c>
      <c r="C119" s="220">
        <f>[1]Sheet1!C119</f>
        <v>46153.391863425903</v>
      </c>
      <c r="D119" s="221" t="str">
        <f>[1]Sheet1!D119</f>
        <v>angela.lucano@laureate.pe</v>
      </c>
      <c r="E119" s="221" t="str">
        <f>[1]Sheet1!E119</f>
        <v>Angela Lucano Carranza</v>
      </c>
      <c r="F119" s="221" t="str">
        <f>[1]Sheet1!F119</f>
        <v>Implementación del Portal Web de Course Catalog UPC</v>
      </c>
      <c r="G119" s="221" t="str">
        <f>[1]Sheet1!G119</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9" s="221" t="str">
        <f>[1]Sheet1!H119</f>
        <v>UPC</v>
      </c>
      <c r="I119" s="221" t="str">
        <f>[1]Sheet1!I119</f>
        <v>Milagros Morgan - Rectorado UPC</v>
      </c>
      <c r="J119" s="221" t="str">
        <f>[1]Sheet1!J119</f>
        <v xml:space="preserve">Daniel Ticona </v>
      </c>
      <c r="K119" s="221" t="str">
        <f>[1]Sheet1!K119</f>
        <v>https://educorpperu-my.sharepoint.com/personal/diana_zapata_laureate_pe1/Documents/Aplicaciones/Microsoft%20Forms/REGISTRO%20DE%20INICIATIVAS%20-%20GESTI%C3%93N%20DE%20LA%20DEMANDA%20(2%201/Pregunta/RE_%20Requerimiento%20-%20Soporte%20para%20despliegue%20d_Angela%20Lucano%20Carran.pdf</v>
      </c>
      <c r="L119" s="221" t="str">
        <f>[1]Sheet1!L119</f>
        <v>Gerson Vereau</v>
      </c>
      <c r="M119" s="151">
        <f>[1]Sheet1!M119</f>
        <v>46234</v>
      </c>
      <c r="N119" s="151" t="str">
        <f>[1]Sheet1!N119</f>
        <v>No</v>
      </c>
      <c r="O119" s="221">
        <f>[1]Sheet1!O119</f>
        <v>0</v>
      </c>
      <c r="P119" s="221">
        <f>[1]Sheet1!P119</f>
        <v>0</v>
      </c>
      <c r="Q119" s="221" t="str">
        <f>[1]Sheet1!Q119</f>
        <v>Otro</v>
      </c>
      <c r="R119" s="221" t="str">
        <f>[1]Sheet1!R119</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9" s="221">
        <f>[1]Sheet1!S119</f>
        <v>0</v>
      </c>
      <c r="T119" s="221" t="str">
        <f>[1]Sheet1!T119</f>
        <v>Atender las necesidades de información y consultas académicas, sobre la información de las asignaturas que se ofrecen en UPC, requeridas por estudiantes, docentes y staff.</v>
      </c>
      <c r="U119" s="221" t="str">
        <f>[1]Sheet1!U119</f>
        <v>Ninguno</v>
      </c>
      <c r="V119" s="221" t="str">
        <f>[1]Sheet1!V119</f>
        <v>Excelencia operativa</v>
      </c>
      <c r="W119" s="221" t="str">
        <f>[1]Sheet1!W119</f>
        <v>No</v>
      </c>
      <c r="X119" s="221" t="str">
        <f>[1]Sheet1!X119</f>
        <v>No cuantificado o S/0</v>
      </c>
      <c r="Y119" s="221" t="str">
        <f>[1]Sheet1!Y119</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9" s="59" t="str">
        <f>[1]Sheet1!Z119</f>
        <v>https://educorpperu-my.sharepoint.com/personal/diana_zapata_laureate_pe1/_layouts/15/Doc.aspx?sourcedoc=%7BA0EE780B-D66F-42EC-83A6-4E699CDA9EE9%7D&amp;file=Solicitud%20de%20requerimientos%20Idea%20nueva%20y%20mejo_Angela%20Lucano%20Carran%203.pptx&amp;action=edit&amp;mobileredirect=true</v>
      </c>
      <c r="AA119" s="59">
        <f>[1]Sheet1!AA119</f>
        <v>0.30000000000000004</v>
      </c>
    </row>
    <row r="120" spans="1:27" ht="18.600000000000001" customHeight="1">
      <c r="A120" s="80">
        <f>[1]Sheet1!A120</f>
        <v>142</v>
      </c>
      <c r="B120" s="220">
        <f>[1]Sheet1!B120</f>
        <v>46153.365740740701</v>
      </c>
      <c r="C120" s="220">
        <f>[1]Sheet1!C120</f>
        <v>46153.404918981498</v>
      </c>
      <c r="D120" s="221" t="str">
        <f>[1]Sheet1!D120</f>
        <v>angela.lucano@laureate.pe</v>
      </c>
      <c r="E120" s="221" t="str">
        <f>[1]Sheet1!E120</f>
        <v>Angela Lucano Carranza</v>
      </c>
      <c r="F120" s="221" t="str">
        <f>[1]Sheet1!F120</f>
        <v>Implementación de WEB SICA 2.0: Plataforma Centralizada de Gestión y Consulta de Documentación Oficial UPC</v>
      </c>
      <c r="G120" s="221" t="str">
        <f>[1]Sheet1!G120</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20" s="221" t="str">
        <f>[1]Sheet1!H120</f>
        <v>UPC</v>
      </c>
      <c r="I120" s="221" t="str">
        <f>[1]Sheet1!I120</f>
        <v>Milagros Morgan - Rectorado UPC</v>
      </c>
      <c r="J120" s="221" t="str">
        <f>[1]Sheet1!J120</f>
        <v xml:space="preserve">Daniel Ticona </v>
      </c>
      <c r="K120" s="221" t="str">
        <f>[1]Sheet1!K120</f>
        <v>https://educorpperu-my.sharepoint.com/personal/diana_zapata_laureate_pe1/Documents/Aplicaciones/Microsoft%20Forms/REGISTRO%20DE%20INICIATIVAS%20-%20GESTI%C3%93N%20DE%20LA%20DEMANDA%20(2%201/Pregunta/RE_%20Requerimiento%20-%20Web%20SICA%202.0_Angela%20Lucano%20Carran.pdf</v>
      </c>
      <c r="L120" s="221" t="str">
        <f>[1]Sheet1!L120</f>
        <v>Gerson Vereau</v>
      </c>
      <c r="M120" s="151">
        <f>[1]Sheet1!M120</f>
        <v>46249</v>
      </c>
      <c r="N120" s="151" t="str">
        <f>[1]Sheet1!N120</f>
        <v>No</v>
      </c>
      <c r="O120" s="221">
        <f>[1]Sheet1!O120</f>
        <v>0</v>
      </c>
      <c r="P120" s="221">
        <f>[1]Sheet1!P120</f>
        <v>0</v>
      </c>
      <c r="Q120" s="221" t="str">
        <f>[1]Sheet1!Q120</f>
        <v>Otro</v>
      </c>
      <c r="R120" s="221" t="str">
        <f>[1]Sheet1!R120</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20" s="221">
        <f>[1]Sheet1!S120</f>
        <v>0</v>
      </c>
      <c r="T120" s="221" t="str">
        <f>[1]Sheet1!T120</f>
        <v>Mapa de procesos de la UPC (SICA)</v>
      </c>
      <c r="U120" s="221" t="str">
        <f>[1]Sheet1!U120</f>
        <v>Administrativos</v>
      </c>
      <c r="V120" s="221" t="str">
        <f>[1]Sheet1!V120</f>
        <v>Excelencia operativa</v>
      </c>
      <c r="W120" s="221" t="str">
        <f>[1]Sheet1!W120</f>
        <v>No</v>
      </c>
      <c r="X120" s="221" t="str">
        <f>[1]Sheet1!X120</f>
        <v>No cuantificado o S/0</v>
      </c>
      <c r="Y120" s="221" t="str">
        <f>[1]Sheet1!Y120</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20" s="59" t="str">
        <f>[1]Sheet1!Z120</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20" s="59">
        <f>[1]Sheet1!AA120</f>
        <v>0.45000000000000007</v>
      </c>
    </row>
    <row r="121" spans="1:27" ht="18.600000000000001" customHeight="1">
      <c r="A121" s="59">
        <f>[1]Sheet1!A121</f>
        <v>143</v>
      </c>
      <c r="B121" s="220">
        <f>[1]Sheet1!B121</f>
        <v>46147.622638888897</v>
      </c>
      <c r="C121" s="220">
        <f>[1]Sheet1!C121</f>
        <v>46153.561354166697</v>
      </c>
      <c r="D121" s="221" t="str">
        <f>[1]Sheet1!D121</f>
        <v>angela.lucano@laureate.pe</v>
      </c>
      <c r="E121" s="221" t="str">
        <f>[1]Sheet1!E121</f>
        <v>Angela Lucano Carranza</v>
      </c>
      <c r="F121" s="221" t="str">
        <f>[1]Sheet1!F121</f>
        <v>Implementación de nueva plataforma de empleabilidad para alumnos y egresados</v>
      </c>
      <c r="G121" s="221"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221" t="str">
        <f>[1]Sheet1!H121</f>
        <v>UPC</v>
      </c>
      <c r="I121" s="221" t="str">
        <f>[1]Sheet1!I121</f>
        <v>Milagros Morgan - Rectorado UPC</v>
      </c>
      <c r="J121" s="221" t="str">
        <f>[1]Sheet1!J121</f>
        <v xml:space="preserve">Mónica Villegas </v>
      </c>
      <c r="K121" s="221"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221" t="str">
        <f>[1]Sheet1!L121</f>
        <v>Ángela Lucano</v>
      </c>
      <c r="M121" s="151">
        <f>[1]Sheet1!M121</f>
        <v>46356</v>
      </c>
      <c r="N121" s="151" t="str">
        <f>[1]Sheet1!N121</f>
        <v>No</v>
      </c>
      <c r="O121" s="221">
        <f>[1]Sheet1!O121</f>
        <v>0</v>
      </c>
      <c r="P121" s="221">
        <f>[1]Sheet1!P121</f>
        <v>0</v>
      </c>
      <c r="Q121" s="221" t="str">
        <f>[1]Sheet1!Q121</f>
        <v>Otro</v>
      </c>
      <c r="R121" s="221"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221">
        <f>[1]Sheet1!S121</f>
        <v>0</v>
      </c>
      <c r="T121" s="221"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221" t="str">
        <f>[1]Sheet1!U121</f>
        <v>Alumnos</v>
      </c>
      <c r="V121" s="221" t="str">
        <f>[1]Sheet1!V121</f>
        <v>Student Success y Empleabilidad</v>
      </c>
      <c r="W121" s="221" t="str">
        <f>[1]Sheet1!W121</f>
        <v>No</v>
      </c>
      <c r="X121" s="221" t="str">
        <f>[1]Sheet1!X121</f>
        <v>Menor a S/100,000.00</v>
      </c>
      <c r="Y121" s="221" t="str">
        <f>[1]Sheet1!Y121</f>
        <v>Mejor experiencia digital para usuarios
Mayor autonomía y autoservicio
Plataforma más moderna y escalable
Mejor reputación institucional en empleabilidad
Mayor engagement universidad–empresa–egresado</v>
      </c>
      <c r="Z121" s="59"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59">
        <f>[1]Sheet1!AA121</f>
        <v>1.45</v>
      </c>
    </row>
    <row r="122" spans="1:27" ht="18.600000000000001" customHeight="1">
      <c r="A122" s="59">
        <f>[1]Sheet1!A122</f>
        <v>144</v>
      </c>
      <c r="B122" s="220">
        <f>[1]Sheet1!B122</f>
        <v>46153.673692129603</v>
      </c>
      <c r="C122" s="220">
        <f>[1]Sheet1!C122</f>
        <v>46153.701365740701</v>
      </c>
      <c r="D122" s="221" t="str">
        <f>[1]Sheet1!D122</f>
        <v>carla.arias@laureate.pe</v>
      </c>
      <c r="E122" s="221" t="str">
        <f>[1]Sheet1!E122</f>
        <v>Carla Arias Schreiber Ulloa</v>
      </c>
      <c r="F122" s="221" t="str">
        <f>[1]Sheet1!F122</f>
        <v>Matrícula de new convalidantes</v>
      </c>
      <c r="G122" s="221"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221" t="str">
        <f>[1]Sheet1!H122</f>
        <v>UPN</v>
      </c>
      <c r="I122" s="221" t="str">
        <f>[1]Sheet1!I122</f>
        <v>Martín Santana - Rectorado UPN</v>
      </c>
      <c r="J122" s="221" t="str">
        <f>[1]Sheet1!J122</f>
        <v xml:space="preserve">Luz Marina Flores </v>
      </c>
      <c r="K122" s="221" t="str">
        <f>[1]Sheet1!K122</f>
        <v>https://educorpperu-my.sharepoint.com/personal/diana_zapata_laureate_pe1/Documents/Aplicaciones/Microsoft%20Forms/REGISTRO%20DE%20INICIATIVAS%20-%20GESTI%C3%93N%20DE%20LA%20DEMANDA%20(2%201/Pregunta/Director%20S.A._Carla%20Arias%20Schreibe.png</v>
      </c>
      <c r="L122" s="221" t="str">
        <f>[1]Sheet1!L122</f>
        <v>Carla Arias-Schreiber</v>
      </c>
      <c r="M122" s="151">
        <f>[1]Sheet1!M122</f>
        <v>46185</v>
      </c>
      <c r="N122" s="151" t="str">
        <f>[1]Sheet1!N122</f>
        <v>No</v>
      </c>
      <c r="O122" s="221">
        <f>[1]Sheet1!O122</f>
        <v>0</v>
      </c>
      <c r="P122" s="221">
        <f>[1]Sheet1!P122</f>
        <v>0</v>
      </c>
      <c r="Q122" s="221" t="str">
        <f>[1]Sheet1!Q122</f>
        <v>Otro</v>
      </c>
      <c r="R122" s="221"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221">
        <f>[1]Sheet1!S122</f>
        <v>0</v>
      </c>
      <c r="T122" s="221" t="str">
        <f>[1]Sheet1!T122</f>
        <v>Admisión y matrícula de nuevos estudiantes, con convalidación</v>
      </c>
      <c r="U122" s="221" t="str">
        <f>[1]Sheet1!U122</f>
        <v>Alumnos</v>
      </c>
      <c r="V122" s="221" t="str">
        <f>[1]Sheet1!V122</f>
        <v>Excelencia operativa</v>
      </c>
      <c r="W122" s="221" t="str">
        <f>[1]Sheet1!W122</f>
        <v>No</v>
      </c>
      <c r="X122" s="221" t="str">
        <f>[1]Sheet1!X122</f>
        <v>No cuantificado o S/0</v>
      </c>
      <c r="Y122" s="221" t="str">
        <f>[1]Sheet1!Y122</f>
        <v>Entrega oportuna de horarios. Durante matrícula extempóranea se espera que a más tardar al día siguiente ya tengan cursos matriculados. Por los problemas, el SLA ha sido de hasta 1 semana, impactando el inicio de clases de manera significativa.</v>
      </c>
      <c r="Z122" s="59"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59">
        <f>[1]Sheet1!AA122</f>
        <v>1.05</v>
      </c>
    </row>
    <row r="123" spans="1:27" ht="18.600000000000001" customHeight="1">
      <c r="A123" s="59">
        <f>[1]Sheet1!A123</f>
        <v>145</v>
      </c>
      <c r="B123" s="220">
        <f>[1]Sheet1!B123</f>
        <v>46153.734432870398</v>
      </c>
      <c r="C123" s="220">
        <f>[1]Sheet1!C123</f>
        <v>46153.7355902778</v>
      </c>
      <c r="D123" s="221" t="str">
        <f>[1]Sheet1!D123</f>
        <v>diana.zapata@laureate.pe</v>
      </c>
      <c r="E123" s="221" t="str">
        <f>[1]Sheet1!E123</f>
        <v>Diana Zapata Del Mar</v>
      </c>
      <c r="F123" s="221" t="str">
        <f>[1]Sheet1!F123</f>
        <v>#Digital&amp;AI – AI Assessment &amp; feedback CIB</v>
      </c>
      <c r="G123" s="221" t="str">
        <f>[1]Sheet1!G123</f>
        <v>.</v>
      </c>
      <c r="H123" s="221" t="str">
        <f>[1]Sheet1!H123</f>
        <v>CIBERTEC</v>
      </c>
      <c r="I123" s="221">
        <f>[1]Sheet1!I123</f>
        <v>0</v>
      </c>
      <c r="J123" s="221" t="str">
        <f>[1]Sheet1!J123</f>
        <v> </v>
      </c>
      <c r="K123" s="221">
        <f>[1]Sheet1!K123</f>
        <v>0</v>
      </c>
      <c r="L123" s="221" t="str">
        <f>[1]Sheet1!L123</f>
        <v>Carla Arias-Schreiber</v>
      </c>
      <c r="M123" s="151">
        <f>[1]Sheet1!M123</f>
        <v>46154</v>
      </c>
      <c r="N123" s="151" t="str">
        <f>[1]Sheet1!N123</f>
        <v>Si</v>
      </c>
      <c r="O123" s="221">
        <f>[1]Sheet1!O123</f>
        <v>0</v>
      </c>
      <c r="P123" s="221">
        <f>[1]Sheet1!P123</f>
        <v>76828</v>
      </c>
      <c r="Q123" s="221" t="str">
        <f>[1]Sheet1!Q123</f>
        <v>Otro</v>
      </c>
      <c r="R123" s="221" t="str">
        <f>[1]Sheet1!R123</f>
        <v>.</v>
      </c>
      <c r="S123" s="221">
        <f>[1]Sheet1!S123</f>
        <v>0</v>
      </c>
      <c r="T123" s="221" t="str">
        <f>[1]Sheet1!T123</f>
        <v>.</v>
      </c>
      <c r="U123" s="221">
        <f>[1]Sheet1!U123</f>
        <v>0</v>
      </c>
      <c r="V123" s="221" t="str">
        <f>[1]Sheet1!V123</f>
        <v>.</v>
      </c>
      <c r="W123" s="221" t="str">
        <f>[1]Sheet1!W123</f>
        <v>No</v>
      </c>
      <c r="X123" s="221">
        <f>[1]Sheet1!X123</f>
        <v>0</v>
      </c>
      <c r="Y123" s="221" t="str">
        <f>[1]Sheet1!Y123</f>
        <v>.</v>
      </c>
      <c r="Z123" s="59" t="str">
        <f>[1]Sheet1!Z123</f>
        <v>https://educorpperu-my.sharepoint.com/personal/diana_zapata_laureate_pe1/_layouts/15/Doc.aspx?sourcedoc=%7BD0123EBB-E1DD-4B8D-B020-03C7996582CF%7D&amp;file=Pruebas%20SPO_Diana%20Zapata%20Del%20Mar.docx&amp;action=default&amp;mobileredirect=true</v>
      </c>
      <c r="AA123" s="59">
        <f>[1]Sheet1!AA123</f>
        <v>1.5</v>
      </c>
    </row>
    <row r="124" spans="1:27" ht="18.600000000000001" customHeight="1">
      <c r="A124" s="59">
        <f>[1]Sheet1!A124</f>
        <v>146</v>
      </c>
      <c r="B124" s="220">
        <f>[1]Sheet1!B124</f>
        <v>46153.7356828704</v>
      </c>
      <c r="C124" s="220">
        <f>[1]Sheet1!C124</f>
        <v>46153.736296296302</v>
      </c>
      <c r="D124" s="221" t="str">
        <f>[1]Sheet1!D124</f>
        <v>diana.zapata@laureate.pe</v>
      </c>
      <c r="E124" s="221" t="str">
        <f>[1]Sheet1!E124</f>
        <v>Diana Zapata Del Mar</v>
      </c>
      <c r="F124" s="221" t="str">
        <f>[1]Sheet1!F124</f>
        <v>#Digital&amp;AI - Speech Analytics Laureate</v>
      </c>
      <c r="G124" s="221" t="str">
        <f>[1]Sheet1!G124</f>
        <v>.</v>
      </c>
      <c r="H124" s="221" t="str">
        <f>[1]Sheet1!H124</f>
        <v>LAUREATE</v>
      </c>
      <c r="I124" s="221">
        <f>[1]Sheet1!I124</f>
        <v>0</v>
      </c>
      <c r="J124" s="221" t="str">
        <f>[1]Sheet1!J124</f>
        <v>.</v>
      </c>
      <c r="K124" s="221">
        <f>[1]Sheet1!K124</f>
        <v>0</v>
      </c>
      <c r="L124" s="221" t="str">
        <f>[1]Sheet1!L124</f>
        <v>Bruno Chiappe </v>
      </c>
      <c r="M124" s="151">
        <f>[1]Sheet1!M124</f>
        <v>46153</v>
      </c>
      <c r="N124" s="151" t="str">
        <f>[1]Sheet1!N124</f>
        <v>Si</v>
      </c>
      <c r="O124" s="221">
        <f>[1]Sheet1!O124</f>
        <v>0</v>
      </c>
      <c r="P124" s="221">
        <f>[1]Sheet1!P124</f>
        <v>76827</v>
      </c>
      <c r="Q124" s="221" t="str">
        <f>[1]Sheet1!Q124</f>
        <v>Otro</v>
      </c>
      <c r="R124" s="221" t="str">
        <f>[1]Sheet1!R124</f>
        <v>.</v>
      </c>
      <c r="S124" s="221">
        <f>[1]Sheet1!S124</f>
        <v>0</v>
      </c>
      <c r="T124" s="221" t="str">
        <f>[1]Sheet1!T124</f>
        <v>.</v>
      </c>
      <c r="U124" s="221">
        <f>[1]Sheet1!U124</f>
        <v>0</v>
      </c>
      <c r="V124" s="221" t="str">
        <f>[1]Sheet1!V124</f>
        <v>.</v>
      </c>
      <c r="W124" s="221" t="str">
        <f>[1]Sheet1!W124</f>
        <v>No</v>
      </c>
      <c r="X124" s="221">
        <f>[1]Sheet1!X124</f>
        <v>0</v>
      </c>
      <c r="Y124" s="221" t="str">
        <f>[1]Sheet1!Y124</f>
        <v>.</v>
      </c>
      <c r="Z124" s="59" t="str">
        <f>[1]Sheet1!Z124</f>
        <v>https://educorpperu-my.sharepoint.com/personal/diana_zapata_laureate_pe1/_layouts/15/Doc.aspx?sourcedoc=%7B8DF3E0DC-4488-448D-9AF2-2C72459F9332%7D&amp;file=Pruebas%20SPO_Diana%20Zapata%20Del%20Mar%201.docx&amp;action=default&amp;mobileredirect=true</v>
      </c>
      <c r="AA124" s="59">
        <f>[1]Sheet1!AA124</f>
        <v>1.5</v>
      </c>
    </row>
    <row r="125" spans="1:27" ht="18.600000000000001" customHeight="1">
      <c r="A125" s="59">
        <f>[1]Sheet1!A125</f>
        <v>147</v>
      </c>
      <c r="B125" s="220">
        <f>[1]Sheet1!B125</f>
        <v>46153.736388888901</v>
      </c>
      <c r="C125" s="220">
        <f>[1]Sheet1!C125</f>
        <v>46153.737002314803</v>
      </c>
      <c r="D125" s="221" t="str">
        <f>[1]Sheet1!D125</f>
        <v>diana.zapata@laureate.pe</v>
      </c>
      <c r="E125" s="221" t="str">
        <f>[1]Sheet1!E125</f>
        <v>Diana Zapata Del Mar</v>
      </c>
      <c r="F125" s="221" t="str">
        <f>[1]Sheet1!F125</f>
        <v>#Digital&amp;AI – AI Assessment &amp; feedback UPC</v>
      </c>
      <c r="G125" s="221" t="str">
        <f>[1]Sheet1!G125</f>
        <v>.</v>
      </c>
      <c r="H125" s="221" t="str">
        <f>[1]Sheet1!H125</f>
        <v>UPC</v>
      </c>
      <c r="I125" s="221">
        <f>[1]Sheet1!I125</f>
        <v>0</v>
      </c>
      <c r="J125" s="221" t="str">
        <f>[1]Sheet1!J125</f>
        <v>.</v>
      </c>
      <c r="K125" s="221">
        <f>[1]Sheet1!K125</f>
        <v>0</v>
      </c>
      <c r="L125" s="221" t="str">
        <f>[1]Sheet1!L125</f>
        <v>Carla Arias-Schreiber</v>
      </c>
      <c r="M125" s="151">
        <f>[1]Sheet1!M125</f>
        <v>46153</v>
      </c>
      <c r="N125" s="151" t="str">
        <f>[1]Sheet1!N125</f>
        <v>Si</v>
      </c>
      <c r="O125" s="221">
        <f>[1]Sheet1!O125</f>
        <v>0</v>
      </c>
      <c r="P125" s="221">
        <f>[1]Sheet1!P125</f>
        <v>75723</v>
      </c>
      <c r="Q125" s="221" t="str">
        <f>[1]Sheet1!Q125</f>
        <v>Otro</v>
      </c>
      <c r="R125" s="221" t="str">
        <f>[1]Sheet1!R125</f>
        <v>.</v>
      </c>
      <c r="S125" s="221">
        <f>[1]Sheet1!S125</f>
        <v>0</v>
      </c>
      <c r="T125" s="221" t="str">
        <f>[1]Sheet1!T125</f>
        <v>.</v>
      </c>
      <c r="U125" s="221">
        <f>[1]Sheet1!U125</f>
        <v>0</v>
      </c>
      <c r="V125" s="221" t="str">
        <f>[1]Sheet1!V125</f>
        <v>.</v>
      </c>
      <c r="W125" s="221" t="str">
        <f>[1]Sheet1!W125</f>
        <v>No</v>
      </c>
      <c r="X125" s="221">
        <f>[1]Sheet1!X125</f>
        <v>0</v>
      </c>
      <c r="Y125" s="221" t="str">
        <f>[1]Sheet1!Y125</f>
        <v>.</v>
      </c>
      <c r="Z125" s="59" t="str">
        <f>[1]Sheet1!Z125</f>
        <v>https://educorpperu-my.sharepoint.com/personal/diana_zapata_laureate_pe1/_layouts/15/Doc.aspx?sourcedoc=%7BAE1173EA-11DA-494E-8A45-481F44ED1DEA%7D&amp;file=Pruebas%20SPO_Diana%20Zapata%20Del%20Mar%202.docx&amp;action=default&amp;mobileredirect=true</v>
      </c>
      <c r="AA125" s="59">
        <f>[1]Sheet1!AA125</f>
        <v>1.5</v>
      </c>
    </row>
    <row r="126" spans="1:27" ht="18.600000000000001" customHeight="1">
      <c r="A126" s="59">
        <f>[1]Sheet1!A126</f>
        <v>148</v>
      </c>
      <c r="B126" s="220">
        <f>[1]Sheet1!B126</f>
        <v>46153.737060185202</v>
      </c>
      <c r="C126" s="220">
        <f>[1]Sheet1!C126</f>
        <v>46153.737557870401</v>
      </c>
      <c r="D126" s="221" t="str">
        <f>[1]Sheet1!D126</f>
        <v>diana.zapata@laureate.pe</v>
      </c>
      <c r="E126" s="221" t="str">
        <f>[1]Sheet1!E126</f>
        <v>Diana Zapata Del Mar</v>
      </c>
      <c r="F126" s="221" t="str">
        <f>[1]Sheet1!F126</f>
        <v>#Digital&amp;AI - AI Tutors CIB</v>
      </c>
      <c r="G126" s="221" t="str">
        <f>[1]Sheet1!G126</f>
        <v>.</v>
      </c>
      <c r="H126" s="221" t="str">
        <f>[1]Sheet1!H126</f>
        <v>CIBERTEC</v>
      </c>
      <c r="I126" s="221">
        <f>[1]Sheet1!I126</f>
        <v>0</v>
      </c>
      <c r="J126" s="221" t="str">
        <f>[1]Sheet1!J126</f>
        <v>.</v>
      </c>
      <c r="K126" s="221">
        <f>[1]Sheet1!K126</f>
        <v>0</v>
      </c>
      <c r="L126" s="221" t="str">
        <f>[1]Sheet1!L126</f>
        <v>Carla Arias-Schreiber</v>
      </c>
      <c r="M126" s="151">
        <f>[1]Sheet1!M126</f>
        <v>46153</v>
      </c>
      <c r="N126" s="151" t="str">
        <f>[1]Sheet1!N126</f>
        <v>Si</v>
      </c>
      <c r="O126" s="221">
        <f>[1]Sheet1!O126</f>
        <v>0</v>
      </c>
      <c r="P126" s="221">
        <f>[1]Sheet1!P126</f>
        <v>75633</v>
      </c>
      <c r="Q126" s="221" t="str">
        <f>[1]Sheet1!Q126</f>
        <v>Otro</v>
      </c>
      <c r="R126" s="221" t="str">
        <f>[1]Sheet1!R126</f>
        <v>.</v>
      </c>
      <c r="S126" s="221">
        <f>[1]Sheet1!S126</f>
        <v>0</v>
      </c>
      <c r="T126" s="221" t="str">
        <f>[1]Sheet1!T126</f>
        <v>.</v>
      </c>
      <c r="U126" s="221">
        <f>[1]Sheet1!U126</f>
        <v>0</v>
      </c>
      <c r="V126" s="221" t="str">
        <f>[1]Sheet1!V126</f>
        <v>.</v>
      </c>
      <c r="W126" s="221" t="str">
        <f>[1]Sheet1!W126</f>
        <v>No</v>
      </c>
      <c r="X126" s="221">
        <f>[1]Sheet1!X126</f>
        <v>0</v>
      </c>
      <c r="Y126" s="221" t="str">
        <f>[1]Sheet1!Y126</f>
        <v>.</v>
      </c>
      <c r="Z126" s="59">
        <f>[1]Sheet1!Z126</f>
        <v>0</v>
      </c>
      <c r="AA126" s="59">
        <f>[1]Sheet1!AA126</f>
        <v>1.5</v>
      </c>
    </row>
    <row r="127" spans="1:27" ht="18.600000000000001" customHeight="1">
      <c r="A127" s="59">
        <f>[1]Sheet1!A127</f>
        <v>149</v>
      </c>
      <c r="B127" s="220">
        <f>[1]Sheet1!B127</f>
        <v>46153.737592592603</v>
      </c>
      <c r="C127" s="220">
        <f>[1]Sheet1!C127</f>
        <v>46153.738148148099</v>
      </c>
      <c r="D127" s="221" t="str">
        <f>[1]Sheet1!D127</f>
        <v>diana.zapata@laureate.pe</v>
      </c>
      <c r="E127" s="221" t="str">
        <f>[1]Sheet1!E127</f>
        <v>Diana Zapata Del Mar</v>
      </c>
      <c r="F127" s="221" t="str">
        <f>[1]Sheet1!F127</f>
        <v>#Digital&amp;AI - AI Advisor</v>
      </c>
      <c r="G127" s="221" t="str">
        <f>[1]Sheet1!G127</f>
        <v>.</v>
      </c>
      <c r="H127" s="221" t="str">
        <f>[1]Sheet1!H127</f>
        <v>LAUREATE</v>
      </c>
      <c r="I127" s="221">
        <f>[1]Sheet1!I127</f>
        <v>0</v>
      </c>
      <c r="J127" s="221" t="str">
        <f>[1]Sheet1!J127</f>
        <v>.</v>
      </c>
      <c r="K127" s="221">
        <f>[1]Sheet1!K127</f>
        <v>0</v>
      </c>
      <c r="L127" s="221" t="str">
        <f>[1]Sheet1!L127</f>
        <v>Bruno Chiappe </v>
      </c>
      <c r="M127" s="151">
        <f>[1]Sheet1!M127</f>
        <v>46153</v>
      </c>
      <c r="N127" s="151" t="str">
        <f>[1]Sheet1!N127</f>
        <v>Si</v>
      </c>
      <c r="O127" s="221">
        <f>[1]Sheet1!O127</f>
        <v>0</v>
      </c>
      <c r="P127" s="221">
        <f>[1]Sheet1!P127</f>
        <v>75361</v>
      </c>
      <c r="Q127" s="221" t="str">
        <f>[1]Sheet1!Q127</f>
        <v>Otro</v>
      </c>
      <c r="R127" s="221" t="str">
        <f>[1]Sheet1!R127</f>
        <v>.</v>
      </c>
      <c r="S127" s="221">
        <f>[1]Sheet1!S127</f>
        <v>0</v>
      </c>
      <c r="T127" s="221" t="str">
        <f>[1]Sheet1!T127</f>
        <v>.</v>
      </c>
      <c r="U127" s="221">
        <f>[1]Sheet1!U127</f>
        <v>0</v>
      </c>
      <c r="V127" s="221" t="str">
        <f>[1]Sheet1!V127</f>
        <v>.</v>
      </c>
      <c r="W127" s="221" t="str">
        <f>[1]Sheet1!W127</f>
        <v>No</v>
      </c>
      <c r="X127" s="221">
        <f>[1]Sheet1!X127</f>
        <v>0</v>
      </c>
      <c r="Y127" s="221" t="str">
        <f>[1]Sheet1!Y127</f>
        <v>.</v>
      </c>
      <c r="Z127" s="59">
        <f>[1]Sheet1!Z127</f>
        <v>0</v>
      </c>
      <c r="AA127" s="59">
        <f>[1]Sheet1!AA127</f>
        <v>1.5</v>
      </c>
    </row>
    <row r="128" spans="1:27" ht="18.600000000000001" customHeight="1">
      <c r="A128" s="59">
        <f>[1]Sheet1!A128</f>
        <v>150</v>
      </c>
      <c r="B128" s="220">
        <f>[1]Sheet1!B128</f>
        <v>46153.738171296303</v>
      </c>
      <c r="C128" s="220">
        <f>[1]Sheet1!C128</f>
        <v>46153.738668981503</v>
      </c>
      <c r="D128" s="221" t="str">
        <f>[1]Sheet1!D128</f>
        <v>diana.zapata@laureate.pe</v>
      </c>
      <c r="E128" s="221" t="str">
        <f>[1]Sheet1!E128</f>
        <v>Diana Zapata Del Mar</v>
      </c>
      <c r="F128" s="221" t="str">
        <f>[1]Sheet1!F128</f>
        <v>#Digital&amp;AI  UPC Alma 2.0</v>
      </c>
      <c r="G128" s="221" t="str">
        <f>[1]Sheet1!G128</f>
        <v>.</v>
      </c>
      <c r="H128" s="221" t="str">
        <f>[1]Sheet1!H128</f>
        <v>UPC</v>
      </c>
      <c r="I128" s="221">
        <f>[1]Sheet1!I128</f>
        <v>0</v>
      </c>
      <c r="J128" s="221" t="str">
        <f>[1]Sheet1!J128</f>
        <v>.</v>
      </c>
      <c r="K128" s="221">
        <f>[1]Sheet1!K128</f>
        <v>0</v>
      </c>
      <c r="L128" s="221" t="str">
        <f>[1]Sheet1!L128</f>
        <v>Carla Arias-Schreiber</v>
      </c>
      <c r="M128" s="151">
        <f>[1]Sheet1!M128</f>
        <v>46153</v>
      </c>
      <c r="N128" s="151" t="str">
        <f>[1]Sheet1!N128</f>
        <v>Si</v>
      </c>
      <c r="O128" s="221">
        <f>[1]Sheet1!O128</f>
        <v>0</v>
      </c>
      <c r="P128" s="221">
        <f>[1]Sheet1!P128</f>
        <v>75150</v>
      </c>
      <c r="Q128" s="221" t="str">
        <f>[1]Sheet1!Q128</f>
        <v>Otro</v>
      </c>
      <c r="R128" s="221" t="str">
        <f>[1]Sheet1!R128</f>
        <v>.</v>
      </c>
      <c r="S128" s="221">
        <f>[1]Sheet1!S128</f>
        <v>0</v>
      </c>
      <c r="T128" s="221" t="str">
        <f>[1]Sheet1!T128</f>
        <v>.</v>
      </c>
      <c r="U128" s="221">
        <f>[1]Sheet1!U128</f>
        <v>0</v>
      </c>
      <c r="V128" s="221" t="str">
        <f>[1]Sheet1!V128</f>
        <v>.</v>
      </c>
      <c r="W128" s="221" t="str">
        <f>[1]Sheet1!W128</f>
        <v>No</v>
      </c>
      <c r="X128" s="221">
        <f>[1]Sheet1!X128</f>
        <v>0</v>
      </c>
      <c r="Y128" s="221" t="str">
        <f>[1]Sheet1!Y128</f>
        <v>.</v>
      </c>
      <c r="Z128" s="59">
        <f>[1]Sheet1!Z128</f>
        <v>0</v>
      </c>
      <c r="AA128" s="59">
        <f>[1]Sheet1!AA128</f>
        <v>1.5</v>
      </c>
    </row>
    <row r="129" spans="1:27" ht="18.600000000000001" customHeight="1">
      <c r="A129" s="59">
        <f>[1]Sheet1!A129</f>
        <v>151</v>
      </c>
      <c r="B129" s="220">
        <f>[1]Sheet1!B129</f>
        <v>46153.738692129598</v>
      </c>
      <c r="C129" s="220">
        <f>[1]Sheet1!C129</f>
        <v>46153.739189814798</v>
      </c>
      <c r="D129" s="221" t="str">
        <f>[1]Sheet1!D129</f>
        <v>diana.zapata@laureate.pe</v>
      </c>
      <c r="E129" s="221" t="str">
        <f>[1]Sheet1!E129</f>
        <v>Diana Zapata Del Mar</v>
      </c>
      <c r="F129" s="221" t="str">
        <f>[1]Sheet1!F129</f>
        <v>#Strategy Comunalidad de Mallas EPEC</v>
      </c>
      <c r="G129" s="221" t="str">
        <f>[1]Sheet1!G129</f>
        <v>.</v>
      </c>
      <c r="H129" s="221" t="str">
        <f>[1]Sheet1!H129</f>
        <v>UPN</v>
      </c>
      <c r="I129" s="221">
        <f>[1]Sheet1!I129</f>
        <v>0</v>
      </c>
      <c r="J129" s="221" t="str">
        <f>[1]Sheet1!J129</f>
        <v>.</v>
      </c>
      <c r="K129" s="221">
        <f>[1]Sheet1!K129</f>
        <v>0</v>
      </c>
      <c r="L129" s="221" t="str">
        <f>[1]Sheet1!L129</f>
        <v>Carla Arias-Schreiber</v>
      </c>
      <c r="M129" s="151">
        <f>[1]Sheet1!M129</f>
        <v>46153</v>
      </c>
      <c r="N129" s="151" t="str">
        <f>[1]Sheet1!N129</f>
        <v>Si</v>
      </c>
      <c r="O129" s="221">
        <f>[1]Sheet1!O129</f>
        <v>0</v>
      </c>
      <c r="P129" s="221">
        <f>[1]Sheet1!P129</f>
        <v>75642</v>
      </c>
      <c r="Q129" s="221" t="str">
        <f>[1]Sheet1!Q129</f>
        <v>Otro</v>
      </c>
      <c r="R129" s="221" t="str">
        <f>[1]Sheet1!R129</f>
        <v>.</v>
      </c>
      <c r="S129" s="221">
        <f>[1]Sheet1!S129</f>
        <v>0</v>
      </c>
      <c r="T129" s="221" t="str">
        <f>[1]Sheet1!T129</f>
        <v>.</v>
      </c>
      <c r="U129" s="221">
        <f>[1]Sheet1!U129</f>
        <v>0</v>
      </c>
      <c r="V129" s="221" t="str">
        <f>[1]Sheet1!V129</f>
        <v>.</v>
      </c>
      <c r="W129" s="221" t="str">
        <f>[1]Sheet1!W129</f>
        <v>No</v>
      </c>
      <c r="X129" s="221">
        <f>[1]Sheet1!X129</f>
        <v>0</v>
      </c>
      <c r="Y129" s="221" t="str">
        <f>[1]Sheet1!Y129</f>
        <v>.</v>
      </c>
      <c r="Z129" s="59">
        <f>[1]Sheet1!Z129</f>
        <v>0</v>
      </c>
      <c r="AA129" s="59">
        <f>[1]Sheet1!AA129</f>
        <v>1.5</v>
      </c>
    </row>
    <row r="130" spans="1:27" ht="18.600000000000001" customHeight="1">
      <c r="A130" s="59">
        <f>[1]Sheet1!A130</f>
        <v>152</v>
      </c>
      <c r="B130" s="220">
        <f>[1]Sheet1!B130</f>
        <v>46153.741875</v>
      </c>
      <c r="C130" s="220">
        <f>[1]Sheet1!C130</f>
        <v>46153.742581018501</v>
      </c>
      <c r="D130" s="221" t="str">
        <f>[1]Sheet1!D130</f>
        <v>diana.zapata@laureate.pe</v>
      </c>
      <c r="E130" s="221" t="str">
        <f>[1]Sheet1!E130</f>
        <v>Diana Zapata Del Mar</v>
      </c>
      <c r="F130" s="221" t="str">
        <f>[1]Sheet1!F130</f>
        <v>#Digital&amp;AI - Tutores por IA UPC</v>
      </c>
      <c r="G130" s="221" t="str">
        <f>[1]Sheet1!G130</f>
        <v>.</v>
      </c>
      <c r="H130" s="221" t="str">
        <f>[1]Sheet1!H130</f>
        <v>UPC</v>
      </c>
      <c r="I130" s="221">
        <f>[1]Sheet1!I130</f>
        <v>0</v>
      </c>
      <c r="J130" s="221" t="str">
        <f>[1]Sheet1!J130</f>
        <v>.</v>
      </c>
      <c r="K130" s="221">
        <f>[1]Sheet1!K130</f>
        <v>0</v>
      </c>
      <c r="L130" s="221" t="str">
        <f>[1]Sheet1!L130</f>
        <v>Carla Arias-Schreiber</v>
      </c>
      <c r="M130" s="151">
        <f>[1]Sheet1!M130</f>
        <v>46153</v>
      </c>
      <c r="N130" s="151" t="str">
        <f>[1]Sheet1!N130</f>
        <v>Si</v>
      </c>
      <c r="O130" s="221">
        <f>[1]Sheet1!O130</f>
        <v>0</v>
      </c>
      <c r="P130" s="221">
        <f>[1]Sheet1!P130</f>
        <v>73954</v>
      </c>
      <c r="Q130" s="221" t="str">
        <f>[1]Sheet1!Q130</f>
        <v>Otro</v>
      </c>
      <c r="R130" s="221" t="str">
        <f>[1]Sheet1!R130</f>
        <v>.</v>
      </c>
      <c r="S130" s="221">
        <f>[1]Sheet1!S130</f>
        <v>0</v>
      </c>
      <c r="T130" s="221" t="str">
        <f>[1]Sheet1!T130</f>
        <v>.</v>
      </c>
      <c r="U130" s="221">
        <f>[1]Sheet1!U130</f>
        <v>0</v>
      </c>
      <c r="V130" s="221" t="str">
        <f>[1]Sheet1!V130</f>
        <v>.</v>
      </c>
      <c r="W130" s="221" t="str">
        <f>[1]Sheet1!W130</f>
        <v>No</v>
      </c>
      <c r="X130" s="221">
        <f>[1]Sheet1!X130</f>
        <v>0</v>
      </c>
      <c r="Y130" s="221" t="str">
        <f>[1]Sheet1!Y130</f>
        <v>.</v>
      </c>
      <c r="Z130" s="59">
        <f>[1]Sheet1!Z130</f>
        <v>0</v>
      </c>
      <c r="AA130" s="59">
        <f>[1]Sheet1!AA130</f>
        <v>1.5</v>
      </c>
    </row>
    <row r="131" spans="1:27" ht="18.600000000000001" customHeight="1">
      <c r="A131" s="59">
        <f>[1]Sheet1!A131</f>
        <v>153</v>
      </c>
      <c r="B131" s="220">
        <f>[1]Sheet1!B131</f>
        <v>46153.723240740699</v>
      </c>
      <c r="C131" s="220">
        <f>[1]Sheet1!C131</f>
        <v>46153.7434027778</v>
      </c>
      <c r="D131" s="221" t="str">
        <f>[1]Sheet1!D131</f>
        <v>angela.lucano@laureate.pe</v>
      </c>
      <c r="E131" s="221" t="str">
        <f>[1]Sheet1!E131</f>
        <v>Angela Lucano Carranza</v>
      </c>
      <c r="F131" s="221" t="str">
        <f>[1]Sheet1!F131</f>
        <v>Eliminación de la validación obligatoria de asistencia en solicitudes de marcación para cursos virtuales</v>
      </c>
      <c r="G131" s="221"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221" t="str">
        <f>[1]Sheet1!H131</f>
        <v>UPN</v>
      </c>
      <c r="I131" s="221" t="str">
        <f>[1]Sheet1!I131</f>
        <v>Martín Santana - Rectorado UPN</v>
      </c>
      <c r="J131" s="221" t="str">
        <f>[1]Sheet1!J131</f>
        <v xml:space="preserve">Robinson Amaya </v>
      </c>
      <c r="K131" s="221" t="str">
        <f>[1]Sheet1!K131</f>
        <v>https://educorpperu-my.sharepoint.com/personal/diana_zapata_laureate_pe1/Documents/Aplicaciones/Microsoft%20Forms/REGISTRO%20DE%20INICIATIVAS%20-%20GESTI%C3%93N%20DE%20LA%20DEMANDA%20(2%201/Pregunta/RV_RITM0615294-Problemas%20en%20Portal_Angela%20Lucano%20Carran.pdf</v>
      </c>
      <c r="L131" s="221" t="str">
        <f>[1]Sheet1!L131</f>
        <v>Carla Arias-Schreiber</v>
      </c>
      <c r="M131" s="151">
        <f>[1]Sheet1!M131</f>
        <v>46162</v>
      </c>
      <c r="N131" s="151" t="str">
        <f>[1]Sheet1!N131</f>
        <v>No</v>
      </c>
      <c r="O131" s="221">
        <f>[1]Sheet1!O131</f>
        <v>0</v>
      </c>
      <c r="P131" s="221">
        <f>[1]Sheet1!P131</f>
        <v>0</v>
      </c>
      <c r="Q131" s="221" t="str">
        <f>[1]Sheet1!Q131</f>
        <v>Otro</v>
      </c>
      <c r="R131" s="221"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221">
        <f>[1]Sheet1!S131</f>
        <v>0</v>
      </c>
      <c r="T131" s="221" t="str">
        <f>[1]Sheet1!T131</f>
        <v>Solicitud de marcación del docente</v>
      </c>
      <c r="U131" s="221" t="str">
        <f>[1]Sheet1!U131</f>
        <v>Docentes</v>
      </c>
      <c r="V131" s="221" t="str">
        <f>[1]Sheet1!V131</f>
        <v>Excelencia operativa</v>
      </c>
      <c r="W131" s="221" t="str">
        <f>[1]Sheet1!W131</f>
        <v>No</v>
      </c>
      <c r="X131" s="221" t="str">
        <f>[1]Sheet1!X131</f>
        <v>No cuantificado o S/0</v>
      </c>
      <c r="Y131" s="221" t="str">
        <f>[1]Sheet1!Y131</f>
        <v>- Mayor confiabilidad de la información académica.
- Mejor experiencia para docentes.
- Alineamiento del sistema con la modalidad virtual.
- Disminución de riesgos reputacionales y administrativos.</v>
      </c>
      <c r="Z131" s="59" t="str">
        <f>[1]Sheet1!Z131</f>
        <v>https://educorpperu-my.sharepoint.com/personal/diana_zapata_laureate_pe1/_layouts/15/Doc.aspx?sourcedoc=%7B771B946B-D5F1-4228-917E-CC6649E177CA%7D&amp;file=Marzo%202026%20-%20Solicitud%20de%20requerimiento%20Porta_Angela%20Lucano%20Carran.pptx&amp;action=edit&amp;mobileredirect=true</v>
      </c>
      <c r="AA131" s="59">
        <f>[1]Sheet1!AA131</f>
        <v>0.9</v>
      </c>
    </row>
    <row r="132" spans="1:27" ht="18.600000000000001" customHeight="1">
      <c r="A132" s="59">
        <f>[1]Sheet1!A132</f>
        <v>154</v>
      </c>
      <c r="B132" s="220">
        <f>[1]Sheet1!B132</f>
        <v>46153.742604166699</v>
      </c>
      <c r="C132" s="220">
        <f>[1]Sheet1!C132</f>
        <v>46153.744953703703</v>
      </c>
      <c r="D132" s="221" t="str">
        <f>[1]Sheet1!D132</f>
        <v>diana.zapata@laureate.pe</v>
      </c>
      <c r="E132" s="221" t="str">
        <f>[1]Sheet1!E132</f>
        <v>Diana Zapata Del Mar</v>
      </c>
      <c r="F132" s="221" t="str">
        <f>[1]Sheet1!F132</f>
        <v>#Strategy Malla Gutenberg - UPN</v>
      </c>
      <c r="G132" s="221" t="str">
        <f>[1]Sheet1!G132</f>
        <v>.</v>
      </c>
      <c r="H132" s="221" t="str">
        <f>[1]Sheet1!H132</f>
        <v>UPN</v>
      </c>
      <c r="I132" s="221">
        <f>[1]Sheet1!I132</f>
        <v>0</v>
      </c>
      <c r="J132" s="221" t="str">
        <f>[1]Sheet1!J132</f>
        <v>.</v>
      </c>
      <c r="K132" s="221">
        <f>[1]Sheet1!K132</f>
        <v>0</v>
      </c>
      <c r="L132" s="221" t="str">
        <f>[1]Sheet1!L132</f>
        <v>Carla Arias-Schreiber</v>
      </c>
      <c r="M132" s="151">
        <f>[1]Sheet1!M132</f>
        <v>46153</v>
      </c>
      <c r="N132" s="151" t="str">
        <f>[1]Sheet1!N132</f>
        <v>Si</v>
      </c>
      <c r="O132" s="221">
        <f>[1]Sheet1!O132</f>
        <v>0</v>
      </c>
      <c r="P132" s="221">
        <f>[1]Sheet1!P132</f>
        <v>75711</v>
      </c>
      <c r="Q132" s="221" t="str">
        <f>[1]Sheet1!Q132</f>
        <v>Otro</v>
      </c>
      <c r="R132" s="221" t="str">
        <f>[1]Sheet1!R132</f>
        <v>.</v>
      </c>
      <c r="S132" s="221">
        <f>[1]Sheet1!S132</f>
        <v>0</v>
      </c>
      <c r="T132" s="221" t="str">
        <f>[1]Sheet1!T132</f>
        <v>.</v>
      </c>
      <c r="U132" s="221">
        <f>[1]Sheet1!U132</f>
        <v>0</v>
      </c>
      <c r="V132" s="221" t="str">
        <f>[1]Sheet1!V132</f>
        <v>.</v>
      </c>
      <c r="W132" s="221" t="str">
        <f>[1]Sheet1!W132</f>
        <v>Si</v>
      </c>
      <c r="X132" s="221">
        <f>[1]Sheet1!X132</f>
        <v>0</v>
      </c>
      <c r="Y132" s="221" t="str">
        <f>[1]Sheet1!Y132</f>
        <v>.</v>
      </c>
      <c r="Z132" s="59">
        <f>[1]Sheet1!Z132</f>
        <v>0</v>
      </c>
      <c r="AA132" s="59">
        <f>[1]Sheet1!AA132</f>
        <v>1.5</v>
      </c>
    </row>
    <row r="133" spans="1:27" ht="18.600000000000001" customHeight="1">
      <c r="A133" s="59">
        <f>[1]Sheet1!A133</f>
        <v>155</v>
      </c>
      <c r="B133" s="220">
        <f>[1]Sheet1!B133</f>
        <v>46153.745370370401</v>
      </c>
      <c r="C133" s="220">
        <f>[1]Sheet1!C133</f>
        <v>46153.746215277803</v>
      </c>
      <c r="D133" s="221" t="str">
        <f>[1]Sheet1!D133</f>
        <v>diana.zapata@laureate.pe</v>
      </c>
      <c r="E133" s="221" t="str">
        <f>[1]Sheet1!E133</f>
        <v>Diana Zapata Del Mar</v>
      </c>
      <c r="F133" s="221" t="str">
        <f>[1]Sheet1!F133</f>
        <v>#Digital&amp;AI - AI Tutors UPN</v>
      </c>
      <c r="G133" s="221" t="str">
        <f>[1]Sheet1!G133</f>
        <v>.</v>
      </c>
      <c r="H133" s="221" t="str">
        <f>[1]Sheet1!H133</f>
        <v>UPN</v>
      </c>
      <c r="I133" s="221">
        <f>[1]Sheet1!I133</f>
        <v>0</v>
      </c>
      <c r="J133" s="221" t="str">
        <f>[1]Sheet1!J133</f>
        <v>.</v>
      </c>
      <c r="K133" s="221">
        <f>[1]Sheet1!K133</f>
        <v>0</v>
      </c>
      <c r="L133" s="221" t="str">
        <f>[1]Sheet1!L133</f>
        <v>Carla Arias-Schreiber</v>
      </c>
      <c r="M133" s="151">
        <f>[1]Sheet1!M133</f>
        <v>46153</v>
      </c>
      <c r="N133" s="151" t="str">
        <f>[1]Sheet1!N133</f>
        <v>Si</v>
      </c>
      <c r="O133" s="221">
        <f>[1]Sheet1!O133</f>
        <v>0</v>
      </c>
      <c r="P133" s="221">
        <f>[1]Sheet1!P133</f>
        <v>75632</v>
      </c>
      <c r="Q133" s="221" t="str">
        <f>[1]Sheet1!Q133</f>
        <v>Otro</v>
      </c>
      <c r="R133" s="221" t="str">
        <f>[1]Sheet1!R133</f>
        <v>.</v>
      </c>
      <c r="S133" s="221">
        <f>[1]Sheet1!S133</f>
        <v>0</v>
      </c>
      <c r="T133" s="221" t="str">
        <f>[1]Sheet1!T133</f>
        <v>.</v>
      </c>
      <c r="U133" s="221">
        <f>[1]Sheet1!U133</f>
        <v>0</v>
      </c>
      <c r="V133" s="221" t="str">
        <f>[1]Sheet1!V133</f>
        <v>.</v>
      </c>
      <c r="W133" s="221" t="str">
        <f>[1]Sheet1!W133</f>
        <v>No</v>
      </c>
      <c r="X133" s="221">
        <f>[1]Sheet1!X133</f>
        <v>0</v>
      </c>
      <c r="Y133" s="221" t="str">
        <f>[1]Sheet1!Y133</f>
        <v>.</v>
      </c>
      <c r="Z133" s="59">
        <f>[1]Sheet1!Z133</f>
        <v>0</v>
      </c>
      <c r="AA133" s="59">
        <f>[1]Sheet1!AA133</f>
        <v>1.5</v>
      </c>
    </row>
    <row r="134" spans="1:27" ht="18.600000000000001" customHeight="1">
      <c r="A134" s="59">
        <f>[1]Sheet1!A134</f>
        <v>156</v>
      </c>
      <c r="B134" s="220">
        <f>[1]Sheet1!B134</f>
        <v>46153.7438078704</v>
      </c>
      <c r="C134" s="220">
        <f>[1]Sheet1!C134</f>
        <v>46153.746921296297</v>
      </c>
      <c r="D134" s="221" t="str">
        <f>[1]Sheet1!D134</f>
        <v>angela.lucano@laureate.pe</v>
      </c>
      <c r="E134" s="221" t="str">
        <f>[1]Sheet1!E134</f>
        <v>Angela Lucano Carranza</v>
      </c>
      <c r="F134" s="221" t="str">
        <f>[1]Sheet1!F134</f>
        <v>Incorporación de ambientes virtuales en el módulo de reprogramación de clases (Asociado al REQ: Eliminación de la validación obligatoria de asistencia en solicitudes de marcación para cursos virtuales)</v>
      </c>
      <c r="G134" s="221"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221" t="str">
        <f>[1]Sheet1!H134</f>
        <v>UPN</v>
      </c>
      <c r="I134" s="221" t="str">
        <f>[1]Sheet1!I134</f>
        <v>Martín Santana - Rectorado UPN</v>
      </c>
      <c r="J134" s="221" t="str">
        <f>[1]Sheet1!J134</f>
        <v xml:space="preserve">Robinson Amaya </v>
      </c>
      <c r="K134" s="221" t="str">
        <f>[1]Sheet1!K134</f>
        <v>https://educorpperu-my.sharepoint.com/personal/diana_zapata_laureate_pe1/Documents/Aplicaciones/Microsoft%20Forms/REGISTRO%20DE%20INICIATIVAS%20-%20GESTI%C3%93N%20DE%20LA%20DEMANDA%20(2%201/Pregunta/RV_RITM0615294-Problemas%20en%20Portal_Angela%20Lucano%20Carran%201.pdf</v>
      </c>
      <c r="L134" s="221" t="str">
        <f>[1]Sheet1!L134</f>
        <v>Ángela Lucano</v>
      </c>
      <c r="M134" s="151">
        <f>[1]Sheet1!M134</f>
        <v>46162</v>
      </c>
      <c r="N134" s="151" t="str">
        <f>[1]Sheet1!N134</f>
        <v>No</v>
      </c>
      <c r="O134" s="221">
        <f>[1]Sheet1!O134</f>
        <v>0</v>
      </c>
      <c r="P134" s="221">
        <f>[1]Sheet1!P134</f>
        <v>0</v>
      </c>
      <c r="Q134" s="221" t="str">
        <f>[1]Sheet1!Q134</f>
        <v>Otro</v>
      </c>
      <c r="R134" s="221"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221">
        <f>[1]Sheet1!S134</f>
        <v>0</v>
      </c>
      <c r="T134" s="221" t="str">
        <f>[1]Sheet1!T134</f>
        <v>Reprogramación de clases</v>
      </c>
      <c r="U134" s="221" t="str">
        <f>[1]Sheet1!U134</f>
        <v>Docentes</v>
      </c>
      <c r="V134" s="221" t="str">
        <f>[1]Sheet1!V134</f>
        <v>Excelencia operativa</v>
      </c>
      <c r="W134" s="221" t="str">
        <f>[1]Sheet1!W134</f>
        <v>No</v>
      </c>
      <c r="X134" s="221" t="str">
        <f>[1]Sheet1!X134</f>
        <v>No cuantificado o S/0</v>
      </c>
      <c r="Y134" s="221" t="str">
        <f>[1]Sheet1!Y134</f>
        <v>- Mejora de la experiencia de uso del sistema para docentes.
- Adecuación del sistema a escenarios virtuales.
- Mayor control y formalización de las reprogramaciones.
- Incremento de la eficiencia operativa académica y administrativa.</v>
      </c>
      <c r="Z134" s="59"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59">
        <f>[1]Sheet1!AA134</f>
        <v>0.9</v>
      </c>
    </row>
    <row r="135" spans="1:27" ht="18.600000000000001" customHeight="1">
      <c r="A135" s="59">
        <f>[1]Sheet1!A135</f>
        <v>157</v>
      </c>
      <c r="B135" s="220">
        <f>[1]Sheet1!B135</f>
        <v>46153.746585648099</v>
      </c>
      <c r="C135" s="220">
        <f>[1]Sheet1!C135</f>
        <v>46153.747326388897</v>
      </c>
      <c r="D135" s="221" t="str">
        <f>[1]Sheet1!D135</f>
        <v>diana.zapata@laureate.pe</v>
      </c>
      <c r="E135" s="221" t="str">
        <f>[1]Sheet1!E135</f>
        <v>Diana Zapata Del Mar</v>
      </c>
      <c r="F135" s="221" t="str">
        <f>[1]Sheet1!F135</f>
        <v>#Digital&amp;AI - School Platform UPC</v>
      </c>
      <c r="G135" s="221" t="str">
        <f>[1]Sheet1!G135</f>
        <v>.</v>
      </c>
      <c r="H135" s="221" t="str">
        <f>[1]Sheet1!H135</f>
        <v>UPC</v>
      </c>
      <c r="I135" s="221">
        <f>[1]Sheet1!I135</f>
        <v>0</v>
      </c>
      <c r="J135" s="221" t="str">
        <f>[1]Sheet1!J135</f>
        <v>.</v>
      </c>
      <c r="K135" s="221">
        <f>[1]Sheet1!K135</f>
        <v>0</v>
      </c>
      <c r="L135" s="221" t="str">
        <f>[1]Sheet1!L135</f>
        <v>Bruno Chiappe </v>
      </c>
      <c r="M135" s="151">
        <f>[1]Sheet1!M135</f>
        <v>46153</v>
      </c>
      <c r="N135" s="151" t="str">
        <f>[1]Sheet1!N135</f>
        <v>Si</v>
      </c>
      <c r="O135" s="221">
        <f>[1]Sheet1!O135</f>
        <v>0</v>
      </c>
      <c r="P135" s="221">
        <f>[1]Sheet1!P135</f>
        <v>74996</v>
      </c>
      <c r="Q135" s="221" t="str">
        <f>[1]Sheet1!Q135</f>
        <v>Otro</v>
      </c>
      <c r="R135" s="221" t="str">
        <f>[1]Sheet1!R135</f>
        <v>.</v>
      </c>
      <c r="S135" s="221">
        <f>[1]Sheet1!S135</f>
        <v>0</v>
      </c>
      <c r="T135" s="221" t="str">
        <f>[1]Sheet1!T135</f>
        <v>.</v>
      </c>
      <c r="U135" s="221">
        <f>[1]Sheet1!U135</f>
        <v>0</v>
      </c>
      <c r="V135" s="221" t="str">
        <f>[1]Sheet1!V135</f>
        <v>.</v>
      </c>
      <c r="W135" s="221" t="str">
        <f>[1]Sheet1!W135</f>
        <v>No</v>
      </c>
      <c r="X135" s="221">
        <f>[1]Sheet1!X135</f>
        <v>0</v>
      </c>
      <c r="Y135" s="221" t="str">
        <f>[1]Sheet1!Y135</f>
        <v>.</v>
      </c>
      <c r="Z135" s="59">
        <f>[1]Sheet1!Z135</f>
        <v>0</v>
      </c>
      <c r="AA135" s="59">
        <f>[1]Sheet1!AA135</f>
        <v>1.5</v>
      </c>
    </row>
    <row r="136" spans="1:27" ht="18.600000000000001" customHeight="1">
      <c r="A136" s="59">
        <f>[1]Sheet1!A136</f>
        <v>158</v>
      </c>
      <c r="B136" s="220">
        <f>[1]Sheet1!B136</f>
        <v>46153.983356481498</v>
      </c>
      <c r="C136" s="220">
        <f>[1]Sheet1!C136</f>
        <v>46153.993564814802</v>
      </c>
      <c r="D136" s="221" t="str">
        <f>[1]Sheet1!D136</f>
        <v>carla.arias@laureate.pe</v>
      </c>
      <c r="E136" s="221" t="str">
        <f>[1]Sheet1!E136</f>
        <v>Carla Arias Schreiber Ulloa</v>
      </c>
      <c r="F136" s="221" t="str">
        <f>[1]Sheet1!F136</f>
        <v>Mejoras para asignación de carreras, sedes y programas - Equipo Centralizado de Convalidaciones</v>
      </c>
      <c r="G136" s="221"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221" t="str">
        <f>[1]Sheet1!H136</f>
        <v>UPN</v>
      </c>
      <c r="I136" s="221" t="str">
        <f>[1]Sheet1!I136</f>
        <v>Martín Santana - Rectorado UPN</v>
      </c>
      <c r="J136" s="221" t="str">
        <f>[1]Sheet1!J136</f>
        <v xml:space="preserve">Carlos Saavedra </v>
      </c>
      <c r="K136" s="221" t="str">
        <f>[1]Sheet1!K136</f>
        <v>https://educorpperu-my.sharepoint.com/personal/diana_zapata_laureate_pe1/Documents/Aplicaciones/Microsoft%20Forms/REGISTRO%20DE%20INICIATIVAS%20-%20GESTI%C3%93N%20DE%20LA%20DEMANDA%20(2%201/Pregunta/Ronald%20Lazarte%20DOA_Carla%20Arias%20Schreibe.png</v>
      </c>
      <c r="L136" s="221" t="str">
        <f>[1]Sheet1!L136</f>
        <v>Carla Arias-Schreiber</v>
      </c>
      <c r="M136" s="151">
        <f>[1]Sheet1!M136</f>
        <v>46171</v>
      </c>
      <c r="N136" s="151" t="str">
        <f>[1]Sheet1!N136</f>
        <v>No</v>
      </c>
      <c r="O136" s="221">
        <f>[1]Sheet1!O136</f>
        <v>0</v>
      </c>
      <c r="P136" s="221">
        <f>[1]Sheet1!P136</f>
        <v>0</v>
      </c>
      <c r="Q136" s="221" t="str">
        <f>[1]Sheet1!Q136</f>
        <v>Otro</v>
      </c>
      <c r="R136" s="221"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221">
        <f>[1]Sheet1!S136</f>
        <v>0</v>
      </c>
      <c r="T136" s="221" t="str">
        <f>[1]Sheet1!T136</f>
        <v>Admisión de estudiantes nuevos
Convalidación</v>
      </c>
      <c r="U136" s="221" t="str">
        <f>[1]Sheet1!U136</f>
        <v>Administrativos</v>
      </c>
      <c r="V136" s="221" t="str">
        <f>[1]Sheet1!V136</f>
        <v>Excelencia operativa</v>
      </c>
      <c r="W136" s="221" t="str">
        <f>[1]Sheet1!W136</f>
        <v>No</v>
      </c>
      <c r="X136" s="221" t="str">
        <f>[1]Sheet1!X136</f>
        <v>No cuantificado o S/0</v>
      </c>
      <c r="Y136" s="221" t="str">
        <f>[1]Sheet1!Y136</f>
        <v>Facilitar el control y asignación docente para trabajos de convalidación</v>
      </c>
      <c r="Z136" s="59"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59">
        <f>[1]Sheet1!AA136</f>
        <v>0.45000000000000007</v>
      </c>
    </row>
    <row r="137" spans="1:27" ht="18.600000000000001" customHeight="1">
      <c r="A137" s="59">
        <f>[1]Sheet1!A137</f>
        <v>159</v>
      </c>
      <c r="B137" s="220">
        <f>[1]Sheet1!B137</f>
        <v>46154.5793402778</v>
      </c>
      <c r="C137" s="220">
        <f>[1]Sheet1!C137</f>
        <v>46154.656724537002</v>
      </c>
      <c r="D137" s="221" t="str">
        <f>[1]Sheet1!D137</f>
        <v>bruno.chiappe@laureate.pe</v>
      </c>
      <c r="E137" s="221" t="str">
        <f>[1]Sheet1!E137</f>
        <v>Bruno Chiappe Vegas</v>
      </c>
      <c r="F137" s="221" t="str">
        <f>[1]Sheet1!F137</f>
        <v>Generar la integración de las entidades de CRM en el script de Genesys Cloud</v>
      </c>
      <c r="G137" s="221"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221" t="str">
        <f>[1]Sheet1!H137</f>
        <v>CIB</v>
      </c>
      <c r="I137" s="221" t="str">
        <f>[1]Sheet1!I137</f>
        <v>Ivan Olivares - VP Marketing y Comercial</v>
      </c>
      <c r="J137" s="221" t="str">
        <f>[1]Sheet1!J137</f>
        <v xml:space="preserve">Pedro Guibar </v>
      </c>
      <c r="K137" s="221" t="str">
        <f>[1]Sheet1!K137</f>
        <v>https://educorpperu-my.sharepoint.com/personal/diana_zapata_laureate_pe1/Documents/Aplicaciones/Microsoft%20Forms/REGISTRO%20DE%20INICIATIVAS%20-%20GESTI%C3%93N%20DE%20LA%20DEMANDA%20(2%201/Pregunta/RITM0623967_Bruno%20Chiappe%20Vegas.pdf</v>
      </c>
      <c r="L137" s="221" t="str">
        <f>[1]Sheet1!L137</f>
        <v>Bruno Chiappe </v>
      </c>
      <c r="M137" s="151">
        <f>[1]Sheet1!M137</f>
        <v>46173</v>
      </c>
      <c r="N137" s="151" t="str">
        <f>[1]Sheet1!N137</f>
        <v>No</v>
      </c>
      <c r="O137" s="221">
        <f>[1]Sheet1!O137</f>
        <v>0</v>
      </c>
      <c r="P137" s="221">
        <f>[1]Sheet1!P137</f>
        <v>0</v>
      </c>
      <c r="Q137" s="221" t="str">
        <f>[1]Sheet1!Q137</f>
        <v>Otro</v>
      </c>
      <c r="R137" s="221"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221">
        <f>[1]Sheet1!S137</f>
        <v>0</v>
      </c>
      <c r="T137" s="221" t="str">
        <f>[1]Sheet1!T137</f>
        <v>CIBERTEC (UG+WA)</v>
      </c>
      <c r="U137" s="221" t="str">
        <f>[1]Sheet1!U137</f>
        <v>Administrativos</v>
      </c>
      <c r="V137" s="221" t="str">
        <f>[1]Sheet1!V137</f>
        <v>Excelencia operativa</v>
      </c>
      <c r="W137" s="221" t="str">
        <f>[1]Sheet1!W137</f>
        <v>No</v>
      </c>
      <c r="X137" s="221" t="str">
        <f>[1]Sheet1!X137</f>
        <v>No cuantificado o S/0</v>
      </c>
      <c r="Y137" s="221" t="str">
        <f>[1]Sheet1!Y137</f>
        <v>Mejora en la trazabilidad de las atenciones comerciales, reducción de reprocesos manuales y mayor consistencia de la información entre Genesys Cloud y CRM, fortaleciendo la experiencia del prospecto o estudiante.</v>
      </c>
      <c r="Z137" s="59" t="str">
        <f>[1]Sheet1!Z137</f>
        <v>https://educorpperu-my.sharepoint.com/personal/diana_zapata_laureate_pe1/_layouts/15/Doc.aspx?sourcedoc=%7B42F1CD88-C182-4F72-B3A6-1468C0F110B3%7D&amp;file=Solicitud%20de%20requerimientos_Integrar%20entidade_Bruno%20Chiappe%20Vegas.pptx&amp;action=edit&amp;mobileredirect=true</v>
      </c>
      <c r="AA137" s="59">
        <f>[1]Sheet1!AA137</f>
        <v>0.45000000000000007</v>
      </c>
    </row>
    <row r="138" spans="1:27" ht="18.600000000000001" customHeight="1">
      <c r="A138" s="59">
        <f>[1]Sheet1!A138</f>
        <v>160</v>
      </c>
      <c r="B138" s="220">
        <f>[1]Sheet1!B138</f>
        <v>46154.805555555598</v>
      </c>
      <c r="C138" s="220">
        <f>[1]Sheet1!C138</f>
        <v>46154.807372685202</v>
      </c>
      <c r="D138" s="221" t="str">
        <f>[1]Sheet1!D138</f>
        <v>gerson.vereau@laureate.pe</v>
      </c>
      <c r="E138" s="221" t="str">
        <f>[1]Sheet1!E138</f>
        <v>Gerson Vereau Rosas</v>
      </c>
      <c r="F138" s="221" t="str">
        <f>[1]Sheet1!F138</f>
        <v>UPN – Onboarding | Modificación Campaña Bienvenida en CRM</v>
      </c>
      <c r="G138" s="221"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221" t="str">
        <f>[1]Sheet1!H138</f>
        <v>UPN</v>
      </c>
      <c r="I138" s="221" t="str">
        <f>[1]Sheet1!I138</f>
        <v>Álvaro Valdez - VP Operaciones</v>
      </c>
      <c r="J138" s="221" t="str">
        <f>[1]Sheet1!J138</f>
        <v>Adriana Strobbe</v>
      </c>
      <c r="K138" s="221" t="str">
        <f>[1]Sheet1!K138</f>
        <v>https://educorpperu-my.sharepoint.com/personal/diana_zapata_laureate_pe1/Documents/Aplicaciones/Microsoft%20Forms/REGISTRO%20DE%20INICIATIVAS%20-%20GESTI%C3%93N%20DE%20LA%20DEMANDA%20(2%201/Pregunta/VB%20pendiente_Gerson%20Vereau%20Rosas.PNG</v>
      </c>
      <c r="L138" s="221" t="str">
        <f>[1]Sheet1!L138</f>
        <v>Gerson Vereau</v>
      </c>
      <c r="M138" s="151">
        <f>[1]Sheet1!M138</f>
        <v>46178</v>
      </c>
      <c r="N138" s="151" t="str">
        <f>[1]Sheet1!N138</f>
        <v>No</v>
      </c>
      <c r="O138" s="221">
        <f>[1]Sheet1!O138</f>
        <v>0</v>
      </c>
      <c r="P138" s="221">
        <f>[1]Sheet1!P138</f>
        <v>0</v>
      </c>
      <c r="Q138" s="221" t="str">
        <f>[1]Sheet1!Q138</f>
        <v>Otro</v>
      </c>
      <c r="R138" s="221" t="str">
        <f>[1]Sheet1!R138</f>
        <v>No tenemos la trazabilidad total de la campaña de onboarding de alumnos nuevos.</v>
      </c>
      <c r="S138" s="221" t="str">
        <f>[1]Sheet1!S138</f>
        <v>No tener un correcto seguimiento ni poder realizar un diagnostico temprano de la problemática de los estudiantes cachimbos</v>
      </c>
      <c r="T138" s="221" t="str">
        <f>[1]Sheet1!T138</f>
        <v xml:space="preserve">Procesos de onboarding alumnos nuevos | bienvenida al estudiante
</v>
      </c>
      <c r="U138" s="221" t="str">
        <f>[1]Sheet1!U138</f>
        <v>Administrativos</v>
      </c>
      <c r="V138" s="221" t="str">
        <f>[1]Sheet1!V138</f>
        <v>Excelencia operativa</v>
      </c>
      <c r="W138" s="221" t="str">
        <f>[1]Sheet1!W138</f>
        <v>No</v>
      </c>
      <c r="X138" s="221" t="str">
        <f>[1]Sheet1!X138</f>
        <v>No cuantificado o S/0</v>
      </c>
      <c r="Y138" s="221" t="str">
        <f>[1]Sheet1!Y138</f>
        <v>Reportería que nos va a permitir realizar un diagnóstico temprano de los problemas que pueden tener los estudiantes.</v>
      </c>
      <c r="Z138" s="59" t="str">
        <f>[1]Sheet1!Z138</f>
        <v>https://educorpperu-my.sharepoint.com/personal/diana_zapata_laureate_pe1/_layouts/15/Doc.aspx?sourcedoc=%7B26ABE4A0-890D-4B4B-AE24-806629AA747D%7D&amp;file=2.%20Plantilla%20Solicitud%20de%20Requerimientos%20-%20Aj_Gerson%20Vereau%20Rosas.pptx&amp;action=edit&amp;mobileredirect=true</v>
      </c>
      <c r="AA138" s="59">
        <f>[1]Sheet1!AA138</f>
        <v>0.45000000000000007</v>
      </c>
    </row>
    <row r="139" spans="1:27" ht="76.5" customHeight="1">
      <c r="A139" s="59">
        <f>[1]Sheet1!A139</f>
        <v>161</v>
      </c>
      <c r="B139" s="220">
        <f>[1]Sheet1!B139</f>
        <v>46155.444895833301</v>
      </c>
      <c r="C139" s="220">
        <f>[1]Sheet1!C139</f>
        <v>46155.537881944401</v>
      </c>
      <c r="D139" s="221" t="str">
        <f>[1]Sheet1!D139</f>
        <v>bruno.chiappe@laureate.pe</v>
      </c>
      <c r="E139" s="221" t="str">
        <f>[1]Sheet1!E139</f>
        <v>Bruno Chiappe Vegas</v>
      </c>
      <c r="F139" s="221" t="str">
        <f>[1]Sheet1!F139</f>
        <v>Retirar la selección de CRM 2011 del proyecto WebGestionDocumental</v>
      </c>
      <c r="G139" s="221"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221" t="str">
        <f>[1]Sheet1!H139</f>
        <v>UPN</v>
      </c>
      <c r="I139" s="221" t="str">
        <f>[1]Sheet1!I139</f>
        <v>Ivan Olivares - VP Marketing y Comercial</v>
      </c>
      <c r="J139" s="221" t="str">
        <f>[1]Sheet1!J139</f>
        <v xml:space="preserve">Ada Cadillo </v>
      </c>
      <c r="K139" s="221" t="str">
        <f>[1]Sheet1!K139</f>
        <v>https://educorpperu-my.sharepoint.com/personal/diana_zapata_laureate_pe1/Documents/Aplicaciones/Microsoft%20Forms/REGISTRO%20DE%20INICIATIVAS%20-%20GESTI%C3%93N%20DE%20LA%20DEMANDA%20(2%201/Pregunta/RITM0625292_Bruno%20Chiappe%20Vegas.pdf</v>
      </c>
      <c r="L139" s="221" t="str">
        <f>[1]Sheet1!L139</f>
        <v>Bruno Chiappe </v>
      </c>
      <c r="M139" s="151">
        <f>[1]Sheet1!M139</f>
        <v>46156</v>
      </c>
      <c r="N139" s="151" t="str">
        <f>[1]Sheet1!N139</f>
        <v>No</v>
      </c>
      <c r="O139" s="221">
        <f>[1]Sheet1!O139</f>
        <v>0</v>
      </c>
      <c r="P139" s="221">
        <f>[1]Sheet1!P139</f>
        <v>0</v>
      </c>
      <c r="Q139" s="221" t="str">
        <f>[1]Sheet1!Q139</f>
        <v>Otro</v>
      </c>
      <c r="R139" s="221" t="str">
        <f>[1]Sheet1!R139</f>
        <v xml:space="preserve">Se solicita retirar la selección de CRM 2011 del proyecto WebGestionDocumental, debido a que el servidor del 2011 se encuentra apagado.
</v>
      </c>
      <c r="S139" s="221"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221" t="str">
        <f>[1]Sheet1!T139</f>
        <v>Matrícula</v>
      </c>
      <c r="U139" s="221" t="str">
        <f>[1]Sheet1!U139</f>
        <v>Administrativos</v>
      </c>
      <c r="V139" s="221" t="str">
        <f>[1]Sheet1!V139</f>
        <v>Excelencia operativa</v>
      </c>
      <c r="W139" s="221" t="str">
        <f>[1]Sheet1!W139</f>
        <v>No</v>
      </c>
      <c r="X139" s="221" t="str">
        <f>[1]Sheet1!X139</f>
        <v>No cuantificado o S/0</v>
      </c>
      <c r="Y139" s="221" t="str">
        <f>[1]Sheet1!Y139</f>
        <v>Mejora la claridad del sistema para los usuarios, evita confusiones operativas y asegura que WebGestiónDocumental solo muestre opciones vigentes y alineadas a la arquitectura actual de CRM.</v>
      </c>
      <c r="Z139" s="59" t="str">
        <f>[1]Sheet1!Z139</f>
        <v>https://educorpperu-my.sharepoint.com/personal/diana_zapata_laureate_pe1/_layouts/15/Doc.aspx?sourcedoc=%7B2D34FADD-81E3-494E-AF2B-29F58BC6AFD3%7D&amp;file=RETIRAR%20CRM2011%20DE%20LA%20MATRIZ%20DOCUMENTAL_Bruno%20Chiappe%20Vegas.pptx&amp;action=edit&amp;mobileredirect=true</v>
      </c>
      <c r="AA139" s="59">
        <f>[1]Sheet1!AA139</f>
        <v>0.45000000000000007</v>
      </c>
    </row>
    <row r="140" spans="1:27" ht="92.25" customHeight="1">
      <c r="A140" s="59">
        <f>[1]Sheet1!A140</f>
        <v>162</v>
      </c>
      <c r="B140" s="220">
        <f>[1]Sheet1!B140</f>
        <v>46160.441956018498</v>
      </c>
      <c r="C140" s="220">
        <f>[1]Sheet1!C140</f>
        <v>46160.457743055602</v>
      </c>
      <c r="D140" s="221" t="str">
        <f>[1]Sheet1!D140</f>
        <v>franco.vera@laureate.pe</v>
      </c>
      <c r="E140" s="221" t="str">
        <f>[1]Sheet1!E140</f>
        <v>Franco Manuel Vera Sanchez</v>
      </c>
      <c r="F140" s="221" t="str">
        <f>[1]Sheet1!F140</f>
        <v>Modelo de Ocupabilidad</v>
      </c>
      <c r="G140" s="221"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221" t="str">
        <f>[1]Sheet1!H140</f>
        <v>LAUREATE</v>
      </c>
      <c r="I140" s="221" t="str">
        <f>[1]Sheet1!I140</f>
        <v>Álvaro Valdez - VP Operaciones</v>
      </c>
      <c r="J140" s="221" t="str">
        <f>[1]Sheet1!J140</f>
        <v xml:space="preserve">Sharon Chou </v>
      </c>
      <c r="K140" s="221" t="str">
        <f>[1]Sheet1!K140</f>
        <v>https://educorpperu-my.sharepoint.com/personal/diana_zapata_laureate_pe1/Documents/Aplicaciones/Microsoft%20Forms/REGISTRO%20DE%20INICIATIVAS%20-%20GESTI%C3%93N%20DE%20LA%20DEMANDA%20(2%201/Pregunta/VB%20Ocupabilidad_Franco%20Manuel%20Vera%20S.pdf</v>
      </c>
      <c r="L140" s="221" t="str">
        <f>[1]Sheet1!L140</f>
        <v>Franco Vera</v>
      </c>
      <c r="M140" s="151">
        <f>[1]Sheet1!M140</f>
        <v>46310</v>
      </c>
      <c r="N140" s="151" t="str">
        <f>[1]Sheet1!N140</f>
        <v>No</v>
      </c>
      <c r="O140" s="221">
        <f>[1]Sheet1!O140</f>
        <v>0</v>
      </c>
      <c r="P140" s="221">
        <f>[1]Sheet1!P140</f>
        <v>0</v>
      </c>
      <c r="Q140" s="221" t="str">
        <f>[1]Sheet1!Q140</f>
        <v>Otro</v>
      </c>
      <c r="R140" s="221"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221" t="str">
        <f>[1]Sheet1!S140</f>
        <v>Académicos, financieros y operativos.</v>
      </c>
      <c r="T140" s="221" t="str">
        <f>[1]Sheet1!T140</f>
        <v>Todos los procesos que estén "amarrados" en el ERP. Es un habilitador de un proyecto estratégico.</v>
      </c>
      <c r="U140" s="221" t="str">
        <f>[1]Sheet1!U140</f>
        <v>Ninguno</v>
      </c>
      <c r="V140" s="221" t="str">
        <f>[1]Sheet1!V140</f>
        <v>Crecimiento escalable</v>
      </c>
      <c r="W140" s="221" t="str">
        <f>[1]Sheet1!W140</f>
        <v>No</v>
      </c>
      <c r="X140" s="221" t="str">
        <f>[1]Sheet1!X140</f>
        <v>No cuantificado o S/0</v>
      </c>
      <c r="Y140" s="221"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59" t="str">
        <f>[1]Sheet1!Z140</f>
        <v>https://educorpperu-my.sharepoint.com/personal/diana_zapata_laureate_pe1/_layouts/15/Doc.aspx?sourcedoc=%7B88AA7D6B-CED7-4AB3-9CAA-D428994C0F14%7D&amp;file=CEA%20-%20Herramienta%20de%20ocupabilidad%20May%202026_Franco%20Manuel%20Vera%20S.pptx&amp;action=edit&amp;mobileredirect=true</v>
      </c>
      <c r="AA140" s="59">
        <f>[1]Sheet1!AA140</f>
        <v>0.5</v>
      </c>
    </row>
    <row r="141" spans="1:27" ht="91.5" customHeight="1">
      <c r="A141" s="59">
        <f>[1]Sheet1!A141</f>
        <v>167</v>
      </c>
      <c r="B141" s="220">
        <f>[1]Sheet1!B141</f>
        <v>46161.420833333301</v>
      </c>
      <c r="C141" s="220">
        <f>[1]Sheet1!C141</f>
        <v>46161.441134259301</v>
      </c>
      <c r="D141" s="221" t="str">
        <f>[1]Sheet1!D141</f>
        <v>bruno.chiappe@laureate.pe</v>
      </c>
      <c r="E141" s="221" t="str">
        <f>[1]Sheet1!E141</f>
        <v>Bruno Chiappe Vegas</v>
      </c>
      <c r="F141" s="221" t="str">
        <f>[1]Sheet1!F141</f>
        <v>MDUU: modificar termino de retención (Banner)​</v>
      </c>
      <c r="G141" s="221"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221" t="str">
        <f>[1]Sheet1!H141</f>
        <v>UPN</v>
      </c>
      <c r="I141" s="221" t="str">
        <f>[1]Sheet1!I141</f>
        <v>Ivan Olivares - VP Marketing y Comercial</v>
      </c>
      <c r="J141" s="221" t="str">
        <f>[1]Sheet1!J141</f>
        <v>Roberto Yepez</v>
      </c>
      <c r="K141" s="221" t="str">
        <f>[1]Sheet1!K141</f>
        <v>https://educorpperu-my.sharepoint.com/personal/diana_zapata_laureate_pe1/Documents/Aplicaciones/Microsoft%20Forms/REGISTRO%20DE%20INICIATIVAS%20-%20GESTI%C3%93N%20DE%20LA%20DEMANDA%20(2%201/Pregunta/RITM0627164_Bruno%20Chiappe%20Vegas.pdf</v>
      </c>
      <c r="L141" s="221" t="str">
        <f>[1]Sheet1!L141</f>
        <v>Bruno Chiappe </v>
      </c>
      <c r="M141" s="151">
        <f>[1]Sheet1!M141</f>
        <v>46164</v>
      </c>
      <c r="N141" s="151" t="str">
        <f>[1]Sheet1!N141</f>
        <v>No</v>
      </c>
      <c r="O141" s="221">
        <f>[1]Sheet1!O141</f>
        <v>0</v>
      </c>
      <c r="P141" s="221">
        <f>[1]Sheet1!P141</f>
        <v>0</v>
      </c>
      <c r="Q141" s="221" t="str">
        <f>[1]Sheet1!Q141</f>
        <v>Otro</v>
      </c>
      <c r="R141" s="221"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221">
        <f>[1]Sheet1!S141</f>
        <v>0</v>
      </c>
      <c r="T141" s="221" t="str">
        <f>[1]Sheet1!T141</f>
        <v>Admisión, Matrícula y Cobranzas.</v>
      </c>
      <c r="U141" s="221" t="str">
        <f>[1]Sheet1!U141</f>
        <v>Administrativos</v>
      </c>
      <c r="V141" s="221" t="str">
        <f>[1]Sheet1!V141</f>
        <v>Excelencia operativa</v>
      </c>
      <c r="W141" s="221" t="str">
        <f>[1]Sheet1!W141</f>
        <v>No</v>
      </c>
      <c r="X141" s="221" t="str">
        <f>[1]Sheet1!X141</f>
        <v>No cuantificado o S/0</v>
      </c>
      <c r="Y141" s="221" t="str">
        <f>[1]Sheet1!Y141</f>
        <v>Mejora en la trazabilidad y control del proceso de actualización de retenciones, reducción de errores manuales y mayor oportunidad en la atención de casos de condonación gestionados por Cobranzas y Admisión.</v>
      </c>
      <c r="Z141" s="59"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59">
        <f>[1]Sheet1!AA141</f>
        <v>0.60000000000000009</v>
      </c>
    </row>
    <row r="142" spans="1:27" ht="97.5" customHeight="1">
      <c r="A142" s="59">
        <f>[1]Sheet1!A142</f>
        <v>168</v>
      </c>
      <c r="B142" s="220">
        <f>[1]Sheet1!B142</f>
        <v>46161.517534722203</v>
      </c>
      <c r="C142" s="220">
        <f>[1]Sheet1!C142</f>
        <v>46161.533912036997</v>
      </c>
      <c r="D142" s="221" t="str">
        <f>[1]Sheet1!D142</f>
        <v>bruno.chiappe@laureate.pe</v>
      </c>
      <c r="E142" s="221" t="str">
        <f>[1]Sheet1!E142</f>
        <v>Bruno Chiappe Vegas</v>
      </c>
      <c r="F142" s="221" t="str">
        <f>[1]Sheet1!F142</f>
        <v>Inconsistencia en el envío de códigos de exención de la tabla intermedia a Banner</v>
      </c>
      <c r="G142" s="221"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221" t="str">
        <f>[1]Sheet1!H142</f>
        <v>UPN</v>
      </c>
      <c r="I142" s="221" t="str">
        <f>[1]Sheet1!I142</f>
        <v>Ivan Olivares - VP Marketing y Comercial</v>
      </c>
      <c r="J142" s="221" t="str">
        <f>[1]Sheet1!J142</f>
        <v>Ada Cadillo</v>
      </c>
      <c r="K142" s="221" t="str">
        <f>[1]Sheet1!K142</f>
        <v>https://educorpperu-my.sharepoint.com/personal/diana_zapata_laureate_pe1/Documents/Aplicaciones/Microsoft%20Forms/REGISTRO%20DE%20INICIATIVAS%20-%20GESTI%C3%93N%20DE%20LA%20DEMANDA%20(2%201/Pregunta/RITM0627055_Bruno%20Chiappe%20Vegas.pdf</v>
      </c>
      <c r="L142" s="221" t="str">
        <f>[1]Sheet1!L142</f>
        <v>Bruno Chiappe </v>
      </c>
      <c r="M142" s="151">
        <f>[1]Sheet1!M142</f>
        <v>46164</v>
      </c>
      <c r="N142" s="151" t="str">
        <f>[1]Sheet1!N142</f>
        <v>No</v>
      </c>
      <c r="O142" s="221">
        <f>[1]Sheet1!O142</f>
        <v>0</v>
      </c>
      <c r="P142" s="221">
        <f>[1]Sheet1!P142</f>
        <v>0</v>
      </c>
      <c r="Q142" s="221" t="str">
        <f>[1]Sheet1!Q142</f>
        <v>Otro</v>
      </c>
      <c r="R142" s="221" t="str">
        <f>[1]Sheet1!R142</f>
        <v>Existen casos en los que códigos de exención/descuento generados que se quedan en la tabla intermedia y no son registrados correctamente en Banner, quedando fuera del flujo esperado de procesamiento y auditoría.</v>
      </c>
      <c r="S142" s="221" t="str">
        <f>[1]Sheet1!S142</f>
        <v>Los códigos de exención que no cargaron en Banner se muestren correctamente en los casos señalados y superen el flujo de la tabla intermedia.</v>
      </c>
      <c r="T142" s="221" t="str">
        <f>[1]Sheet1!T142</f>
        <v>Admisión, Control Interno</v>
      </c>
      <c r="U142" s="221" t="str">
        <f>[1]Sheet1!U142</f>
        <v>Alumnos</v>
      </c>
      <c r="V142" s="221" t="str">
        <f>[1]Sheet1!V142</f>
        <v>Excelencia operativa</v>
      </c>
      <c r="W142" s="221" t="str">
        <f>[1]Sheet1!W142</f>
        <v>No</v>
      </c>
      <c r="X142" s="221" t="str">
        <f>[1]Sheet1!X142</f>
        <v>No cuantificado o S/0</v>
      </c>
      <c r="Y142" s="221"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59"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59">
        <f>[1]Sheet1!AA142</f>
        <v>1.2000000000000002</v>
      </c>
    </row>
    <row r="143" spans="1:27" ht="112.5" customHeight="1">
      <c r="A143" s="59">
        <f>[1]Sheet1!A143</f>
        <v>169</v>
      </c>
      <c r="B143" s="220">
        <f>[1]Sheet1!B143</f>
        <v>46161.670162037</v>
      </c>
      <c r="C143" s="220">
        <f>[1]Sheet1!C143</f>
        <v>46162.429259259297</v>
      </c>
      <c r="D143" s="221" t="str">
        <f>[1]Sheet1!D143</f>
        <v>alejandro.tello@laureate.pe</v>
      </c>
      <c r="E143" s="221" t="str">
        <f>[1]Sheet1!E143</f>
        <v>Alejandro Tello Llosa</v>
      </c>
      <c r="F143" s="221" t="str">
        <f>[1]Sheet1!F143</f>
        <v>Plataforma de Convalidación Online​ (Parte del proyecto de admisión Online)</v>
      </c>
      <c r="G143" s="221"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221" t="str">
        <f>[1]Sheet1!H143</f>
        <v>UPN</v>
      </c>
      <c r="I143" s="221" t="str">
        <f>[1]Sheet1!I143</f>
        <v>Ivan Olivares - VP Marketing y Comercial</v>
      </c>
      <c r="J143" s="221" t="str">
        <f>[1]Sheet1!J143</f>
        <v>Roberto Yepez</v>
      </c>
      <c r="K143" s="221"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221" t="str">
        <f>[1]Sheet1!L143</f>
        <v>Carla Arias-Schreiber</v>
      </c>
      <c r="M143" s="151">
        <f>[1]Sheet1!M143</f>
        <v>46199</v>
      </c>
      <c r="N143" s="151" t="str">
        <f>[1]Sheet1!N143</f>
        <v>Si</v>
      </c>
      <c r="O143" s="221" t="str">
        <f>[1]Sheet1!O143</f>
        <v>Revenue Growth</v>
      </c>
      <c r="P143" s="221">
        <f>[1]Sheet1!P143</f>
        <v>7541</v>
      </c>
      <c r="Q143" s="221" t="str">
        <f>[1]Sheet1!Q143</f>
        <v>Otro</v>
      </c>
      <c r="R143" s="221"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221" t="str">
        <f>[1]Sheet1!S143</f>
        <v xml:space="preserve">Se espera contar con una plataforma digital que permita realizar una convalidación automática desde generar el resultado de convalidación hasta llevar su registro a Banner, sin que pase por atención de asesores </v>
      </c>
      <c r="T143" s="221"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221" t="str">
        <f>[1]Sheet1!U143</f>
        <v>Administrativos</v>
      </c>
      <c r="V143" s="221" t="str">
        <f>[1]Sheet1!V143</f>
        <v>Crecimiento escalable</v>
      </c>
      <c r="W143" s="221" t="str">
        <f>[1]Sheet1!W143</f>
        <v>No</v>
      </c>
      <c r="X143" s="221" t="str">
        <f>[1]Sheet1!X143</f>
        <v>Mayor a S/500,000.00</v>
      </c>
      <c r="Y143" s="221"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59"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59">
        <f>[1]Sheet1!AA143</f>
        <v>2.9</v>
      </c>
    </row>
    <row r="144" spans="1:27" ht="44.25" customHeight="1">
      <c r="A144" s="59">
        <f>[1]Sheet1!A144</f>
        <v>170</v>
      </c>
      <c r="B144" s="220">
        <f>[1]Sheet1!B144</f>
        <v>46162.470543981501</v>
      </c>
      <c r="C144" s="220">
        <f>[1]Sheet1!C144</f>
        <v>46162.486342592601</v>
      </c>
      <c r="D144" s="221" t="str">
        <f>[1]Sheet1!D144</f>
        <v>franco.vera@laureate.pe</v>
      </c>
      <c r="E144" s="221" t="str">
        <f>[1]Sheet1!E144</f>
        <v>Franco Manuel Vera Sanchez</v>
      </c>
      <c r="F144" s="221" t="str">
        <f>[1]Sheet1!F144</f>
        <v>Corrección de diferencias entre Peoplesoft y Datalake (UPN)</v>
      </c>
      <c r="G144" s="221"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221" t="str">
        <f>[1]Sheet1!H144</f>
        <v>UPN</v>
      </c>
      <c r="I144" s="221" t="str">
        <f>[1]Sheet1!I144</f>
        <v>Humberto Marota - Tecnologías y transformación digital</v>
      </c>
      <c r="J144" s="221" t="str">
        <f>[1]Sheet1!J144</f>
        <v>Iván Rengifo</v>
      </c>
      <c r="K144" s="221" t="str">
        <f>[1]Sheet1!K144</f>
        <v>https://educorpperu-my.sharepoint.com/personal/diana_zapata_laureate_pe1/Documents/Aplicaciones/Microsoft%20Forms/REGISTRO%20DE%20INICIATIVAS%20-%20GESTI%C3%93N%20DE%20LA%20DEMANDA%20(2%201/Pregunta/VB%20Humberto%20Data%20Lake_Franco%20Manuel%20Vera%20S.pdf</v>
      </c>
      <c r="L144" s="221" t="str">
        <f>[1]Sheet1!L144</f>
        <v>Franco Vera</v>
      </c>
      <c r="M144" s="151">
        <f>[1]Sheet1!M144</f>
        <v>46192</v>
      </c>
      <c r="N144" s="151" t="str">
        <f>[1]Sheet1!N144</f>
        <v>No</v>
      </c>
      <c r="O144" s="221">
        <f>[1]Sheet1!O144</f>
        <v>0</v>
      </c>
      <c r="P144" s="221">
        <f>[1]Sheet1!P144</f>
        <v>0</v>
      </c>
      <c r="Q144" s="221" t="str">
        <f>[1]Sheet1!Q144</f>
        <v>Otro</v>
      </c>
      <c r="R144" s="221"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221" t="str">
        <f>[1]Sheet1!S144</f>
        <v>Lograr que la data de Peoplesoft que se modifique (actualizaciones, inserciones, eliminaciones), pueda ser detectadas por los procesos de ingesta del Data Lake.</v>
      </c>
      <c r="T144" s="221" t="str">
        <f>[1]Sheet1!T144</f>
        <v>Data &amp; BI y todas las áreas usuarias que consumen información de Datalake. Finanzas y Comercial.</v>
      </c>
      <c r="U144" s="221" t="str">
        <f>[1]Sheet1!U144</f>
        <v>Administrativos</v>
      </c>
      <c r="V144" s="221" t="str">
        <f>[1]Sheet1!V144</f>
        <v>Excelencia operativa</v>
      </c>
      <c r="W144" s="221" t="str">
        <f>[1]Sheet1!W144</f>
        <v>No</v>
      </c>
      <c r="X144" s="221" t="str">
        <f>[1]Sheet1!X144</f>
        <v>No cuantificado o S/0</v>
      </c>
      <c r="Y144" s="221" t="str">
        <f>[1]Sheet1!Y144</f>
        <v>Contar con la integridad en la información expuesta al negocio (usuario final), dede el Data Lake</v>
      </c>
      <c r="Z144" s="59" t="str">
        <f>[1]Sheet1!Z144</f>
        <v>https://educorpperu-my.sharepoint.com/personal/diana_zapata_laureate_pe1/_layouts/15/Doc.aspx?sourcedoc=%7B9B60D2EC-56A9-4322-A2C8-2929855D0082%7D&amp;file=Incidente%20PS_Franco%20Manuel%20Vera%20S.pptx&amp;action=edit&amp;mobileredirect=true</v>
      </c>
      <c r="AA144" s="59">
        <f>[1]Sheet1!AA144</f>
        <v>0.60000000000000009</v>
      </c>
    </row>
    <row r="145" spans="1:27" ht="18.600000000000001" customHeight="1">
      <c r="A145" s="59">
        <f>[1]Sheet1!A145</f>
        <v>171</v>
      </c>
      <c r="B145" s="220">
        <f>[1]Sheet1!B145</f>
        <v>46167.515682870398</v>
      </c>
      <c r="C145" s="220">
        <f>[1]Sheet1!C145</f>
        <v>46167.642662036997</v>
      </c>
      <c r="D145" s="221" t="str">
        <f>[1]Sheet1!D145</f>
        <v>angela.lucano@laureate.pe</v>
      </c>
      <c r="E145" s="221" t="str">
        <f>[1]Sheet1!E145</f>
        <v>Angela Lucano Carranza</v>
      </c>
      <c r="F145" s="221" t="str">
        <f>[1]Sheet1!F145</f>
        <v>Activación Copilot en CRM</v>
      </c>
      <c r="G145" s="221"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221" t="str">
        <f>[1]Sheet1!H145</f>
        <v>LAUREATE</v>
      </c>
      <c r="I145" s="221" t="str">
        <f>[1]Sheet1!I145</f>
        <v>Mónica García - VP Operaciones Digitales y Online</v>
      </c>
      <c r="J145" s="221" t="str">
        <f>[1]Sheet1!J145</f>
        <v>Lizbeth Bautista</v>
      </c>
      <c r="K145" s="221"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221" t="str">
        <f>[1]Sheet1!L145</f>
        <v>Ángela Lucano</v>
      </c>
      <c r="M145" s="151">
        <f>[1]Sheet1!M145</f>
        <v>46203</v>
      </c>
      <c r="N145" s="151" t="str">
        <f>[1]Sheet1!N145</f>
        <v>No</v>
      </c>
      <c r="O145" s="221">
        <f>[1]Sheet1!O145</f>
        <v>0</v>
      </c>
      <c r="P145" s="221">
        <f>[1]Sheet1!P145</f>
        <v>0</v>
      </c>
      <c r="Q145" s="221" t="str">
        <f>[1]Sheet1!Q145</f>
        <v>Otro</v>
      </c>
      <c r="R145" s="221"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221"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221" t="str">
        <f>[1]Sheet1!T145</f>
        <v>Todas las áreas que interactúan en Contacto UPN (13 áreas) y alumnos.</v>
      </c>
      <c r="U145" s="221" t="str">
        <f>[1]Sheet1!U145</f>
        <v>Alumnos</v>
      </c>
      <c r="V145" s="221" t="str">
        <f>[1]Sheet1!V145</f>
        <v>Experiencia</v>
      </c>
      <c r="W145" s="221" t="str">
        <f>[1]Sheet1!W145</f>
        <v>No</v>
      </c>
      <c r="X145" s="221" t="str">
        <f>[1]Sheet1!X145</f>
        <v>No cuantificado o S/0</v>
      </c>
      <c r="Y145" s="221"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59"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59">
        <f>[1]Sheet1!AA145</f>
        <v>1.3</v>
      </c>
    </row>
    <row r="146" spans="1:27" ht="18.600000000000001" customHeight="1">
      <c r="A146" s="59">
        <f>[1]Sheet1!A146</f>
        <v>172</v>
      </c>
      <c r="B146" s="220">
        <f>[1]Sheet1!B146</f>
        <v>46167.646388888897</v>
      </c>
      <c r="C146" s="220">
        <f>[1]Sheet1!C146</f>
        <v>46167.6551273148</v>
      </c>
      <c r="D146" s="221" t="str">
        <f>[1]Sheet1!D146</f>
        <v>angela.lucano@laureate.pe</v>
      </c>
      <c r="E146" s="221" t="str">
        <f>[1]Sheet1!E146</f>
        <v>Angela Lucano Carranza</v>
      </c>
      <c r="F146" s="221" t="str">
        <f>[1]Sheet1!F146</f>
        <v>Integración de Microsoft Teams con el CRM Institucional</v>
      </c>
      <c r="G146" s="221"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221" t="str">
        <f>[1]Sheet1!H146</f>
        <v>CORPORATIVO</v>
      </c>
      <c r="I146" s="221" t="str">
        <f>[1]Sheet1!I146</f>
        <v>Mónica García - VP Operaciones Digitales y Online</v>
      </c>
      <c r="J146" s="221" t="str">
        <f>[1]Sheet1!J146</f>
        <v>Lizbeth Bautista</v>
      </c>
      <c r="K146" s="221"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221" t="str">
        <f>[1]Sheet1!L146</f>
        <v>Ángela Lucano</v>
      </c>
      <c r="M146" s="151">
        <f>[1]Sheet1!M146</f>
        <v>46203</v>
      </c>
      <c r="N146" s="151" t="str">
        <f>[1]Sheet1!N146</f>
        <v>No</v>
      </c>
      <c r="O146" s="221">
        <f>[1]Sheet1!O146</f>
        <v>0</v>
      </c>
      <c r="P146" s="221">
        <f>[1]Sheet1!P146</f>
        <v>0</v>
      </c>
      <c r="Q146" s="221" t="str">
        <f>[1]Sheet1!Q146</f>
        <v>Otro</v>
      </c>
      <c r="R146" s="221"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221"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221" t="str">
        <f>[1]Sheet1!T146</f>
        <v>Todas las áreas que interactúan en Contacto UPN (13 áreas) y alumnos.</v>
      </c>
      <c r="U146" s="221" t="str">
        <f>[1]Sheet1!U146</f>
        <v>Alumnos</v>
      </c>
      <c r="V146" s="221" t="str">
        <f>[1]Sheet1!V146</f>
        <v>Excelencia operativa</v>
      </c>
      <c r="W146" s="221" t="str">
        <f>[1]Sheet1!W146</f>
        <v>No</v>
      </c>
      <c r="X146" s="221" t="str">
        <f>[1]Sheet1!X146</f>
        <v>No cuantificado o S/0</v>
      </c>
      <c r="Y146" s="221"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59" t="str">
        <f>[1]Sheet1!Z146</f>
        <v>https://educorpperu-my.sharepoint.com/personal/diana_zapata_laureate_pe1/_layouts/15/Doc.aspx?sourcedoc=%7BD89DCF38-9B8C-468D-88D9-0CA782BE04B7%7D&amp;file=Solicitud%20de%20Requerimiento%20-%20Teams%20en%20CRM_Angela%20Lucano%20Carran.pptx&amp;action=edit&amp;mobileredirect=true</v>
      </c>
      <c r="AA146" s="59">
        <f>[1]Sheet1!AA146</f>
        <v>1.2000000000000002</v>
      </c>
    </row>
    <row r="147" spans="1:27" ht="18.600000000000001" customHeight="1">
      <c r="A147" s="59">
        <f>[1]Sheet1!A147</f>
        <v>173</v>
      </c>
      <c r="B147" s="220">
        <f>[1]Sheet1!B147</f>
        <v>46167.6551736111</v>
      </c>
      <c r="C147" s="220">
        <f>[1]Sheet1!C147</f>
        <v>46167.703831018502</v>
      </c>
      <c r="D147" s="221" t="str">
        <f>[1]Sheet1!D147</f>
        <v>angela.lucano@laureate.pe</v>
      </c>
      <c r="E147" s="221" t="str">
        <f>[1]Sheet1!E147</f>
        <v>Angela Lucano Carranza</v>
      </c>
      <c r="F147" s="221" t="str">
        <f>[1]Sheet1!F147</f>
        <v>UPN - Revisión de la data de EPEC en CRM</v>
      </c>
      <c r="G147" s="221"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221" t="str">
        <f>[1]Sheet1!H147</f>
        <v>UPN</v>
      </c>
      <c r="I147" s="221" t="str">
        <f>[1]Sheet1!I147</f>
        <v>Mónica García - VP Operaciones Digitales y Online</v>
      </c>
      <c r="J147" s="221" t="str">
        <f>[1]Sheet1!J147</f>
        <v>Lizbeth Bautista</v>
      </c>
      <c r="K147" s="221"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221" t="str">
        <f>[1]Sheet1!L147</f>
        <v>Ángela Lucano</v>
      </c>
      <c r="M147" s="151">
        <f>[1]Sheet1!M147</f>
        <v>46188</v>
      </c>
      <c r="N147" s="151" t="str">
        <f>[1]Sheet1!N147</f>
        <v>No</v>
      </c>
      <c r="O147" s="221">
        <f>[1]Sheet1!O147</f>
        <v>0</v>
      </c>
      <c r="P147" s="221">
        <f>[1]Sheet1!P147</f>
        <v>0</v>
      </c>
      <c r="Q147" s="221" t="str">
        <f>[1]Sheet1!Q147</f>
        <v>Otro</v>
      </c>
      <c r="R147" s="221"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221"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221" t="str">
        <f>[1]Sheet1!T147</f>
        <v>Proceso de atención y respuesta de consultas en CRM (cierre de tickets y medición de satisfacción)
Estudiantes de Posgrado (EPEC), asesores de atención, equipo de Experiencia del Estudiante y áreas de Calidad</v>
      </c>
      <c r="U147" s="221" t="str">
        <f>[1]Sheet1!U147</f>
        <v>Alumnos</v>
      </c>
      <c r="V147" s="221" t="str">
        <f>[1]Sheet1!V147</f>
        <v>Experiencia</v>
      </c>
      <c r="W147" s="221" t="str">
        <f>[1]Sheet1!W147</f>
        <v>No</v>
      </c>
      <c r="X147" s="221" t="str">
        <f>[1]Sheet1!X147</f>
        <v>No cuantificado o S/0</v>
      </c>
      <c r="Y147" s="221"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59" t="str">
        <f>[1]Sheet1!Z147</f>
        <v>https://educorpperu-my.sharepoint.com/personal/diana_zapata_laureate_pe1/_layouts/15/Doc.aspx?sourcedoc=%7B67F35B33-82A6-4B61-B1DB-6F15D08C5F8D%7D&amp;file=REVISI%C3%93N%20DATA%20DE%20EPEC_Angela%20Lucano%20Carran.pptx&amp;action=edit&amp;mobileredirect=true</v>
      </c>
      <c r="AA147" s="59">
        <f>[1]Sheet1!AA147</f>
        <v>1.3</v>
      </c>
    </row>
    <row r="148" spans="1:27" ht="18.600000000000001" customHeight="1">
      <c r="A148" s="59">
        <f>[1]Sheet1!A148</f>
        <v>174</v>
      </c>
      <c r="B148" s="220">
        <f>[1]Sheet1!B148</f>
        <v>46167.833217592597</v>
      </c>
      <c r="C148" s="220">
        <f>[1]Sheet1!C148</f>
        <v>46167.866180555597</v>
      </c>
      <c r="D148" s="221" t="str">
        <f>[1]Sheet1!D148</f>
        <v>angela.lucano@laureate.pe</v>
      </c>
      <c r="E148" s="221" t="str">
        <f>[1]Sheet1!E148</f>
        <v>Angela Lucano Carranza</v>
      </c>
      <c r="F148" s="221" t="str">
        <f>[1]Sheet1!F148</f>
        <v>UPN - Unificar la respuesta del caso y la encuesta de satisfacción por la atención</v>
      </c>
      <c r="G148" s="221"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221" t="str">
        <f>[1]Sheet1!H148</f>
        <v>UPN</v>
      </c>
      <c r="I148" s="221" t="str">
        <f>[1]Sheet1!I148</f>
        <v>Mónica García - VP Operaciones Digitales y Online</v>
      </c>
      <c r="J148" s="221" t="str">
        <f>[1]Sheet1!J148</f>
        <v>Lizbeth Bautista</v>
      </c>
      <c r="K148" s="221"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221" t="str">
        <f>[1]Sheet1!L148</f>
        <v>Ángela Lucano</v>
      </c>
      <c r="M148" s="151">
        <f>[1]Sheet1!M148</f>
        <v>46203</v>
      </c>
      <c r="N148" s="151" t="str">
        <f>[1]Sheet1!N148</f>
        <v>No</v>
      </c>
      <c r="O148" s="221">
        <f>[1]Sheet1!O148</f>
        <v>0</v>
      </c>
      <c r="P148" s="221">
        <f>[1]Sheet1!P148</f>
        <v>0</v>
      </c>
      <c r="Q148" s="221" t="str">
        <f>[1]Sheet1!Q148</f>
        <v>Otro</v>
      </c>
      <c r="R148" s="221"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221"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221"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221" t="str">
        <f>[1]Sheet1!U148</f>
        <v>Alumnos</v>
      </c>
      <c r="V148" s="221" t="str">
        <f>[1]Sheet1!V148</f>
        <v>Experiencia</v>
      </c>
      <c r="W148" s="221" t="str">
        <f>[1]Sheet1!W148</f>
        <v>No</v>
      </c>
      <c r="X148" s="221" t="str">
        <f>[1]Sheet1!X148</f>
        <v>No cuantificado o S/0</v>
      </c>
      <c r="Y148" s="221"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59"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59">
        <f>[1]Sheet1!AA148</f>
        <v>1.3</v>
      </c>
    </row>
    <row r="149" spans="1:27" ht="18.600000000000001" customHeight="1">
      <c r="A149" s="59">
        <f>[1]Sheet1!A149</f>
        <v>175</v>
      </c>
      <c r="B149" s="220">
        <f>[1]Sheet1!B149</f>
        <v>46168.366296296299</v>
      </c>
      <c r="C149" s="220">
        <f>[1]Sheet1!C149</f>
        <v>46168.4558217593</v>
      </c>
      <c r="D149" s="221" t="str">
        <f>[1]Sheet1!D149</f>
        <v>angela.lucano@laureate.pe</v>
      </c>
      <c r="E149" s="221" t="str">
        <f>[1]Sheet1!E149</f>
        <v>Angela Lucano Carranza</v>
      </c>
      <c r="F149" s="221" t="str">
        <f>[1]Sheet1!F149</f>
        <v>UPC - Ajuste en Formulario Virtual del Libro de Reclamaciones - Obs INDECOPI</v>
      </c>
      <c r="G149" s="221"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221" t="str">
        <f>[1]Sheet1!H149</f>
        <v>UPC</v>
      </c>
      <c r="I149" s="221" t="str">
        <f>[1]Sheet1!I149</f>
        <v>Mónica García - VP Operaciones Digitales y Online</v>
      </c>
      <c r="J149" s="221" t="str">
        <f>[1]Sheet1!J149</f>
        <v>Jose Horna</v>
      </c>
      <c r="K149" s="221"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221" t="str">
        <f>[1]Sheet1!L149</f>
        <v>Ángela Lucano</v>
      </c>
      <c r="M149" s="151">
        <f>[1]Sheet1!M149</f>
        <v>46178</v>
      </c>
      <c r="N149" s="151" t="str">
        <f>[1]Sheet1!N149</f>
        <v>No</v>
      </c>
      <c r="O149" s="221">
        <f>[1]Sheet1!O149</f>
        <v>0</v>
      </c>
      <c r="P149" s="221">
        <f>[1]Sheet1!P149</f>
        <v>0</v>
      </c>
      <c r="Q149" s="221" t="str">
        <f>[1]Sheet1!Q149</f>
        <v>Normativa</v>
      </c>
      <c r="R149" s="221"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221"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221" t="str">
        <f>[1]Sheet1!T149</f>
        <v>UPC, Legal y Experiencia al Estudiante, Trámites Quejas y Reclamos
Procedimiento Gestion Quejas y Reclamos</v>
      </c>
      <c r="U149" s="221" t="str">
        <f>[1]Sheet1!U149</f>
        <v>Administrativos</v>
      </c>
      <c r="V149" s="221" t="str">
        <f>[1]Sheet1!V149</f>
        <v>Experiencia</v>
      </c>
      <c r="W149" s="221" t="str">
        <f>[1]Sheet1!W149</f>
        <v>No</v>
      </c>
      <c r="X149" s="221" t="str">
        <f>[1]Sheet1!X149</f>
        <v>Menor a S/100,000.00</v>
      </c>
      <c r="Y149" s="221"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59"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59">
        <f>[1]Sheet1!AA149</f>
        <v>2.35</v>
      </c>
    </row>
    <row r="150" spans="1:27" ht="54" customHeight="1">
      <c r="A150" s="59">
        <f>[1]Sheet1!A150</f>
        <v>176</v>
      </c>
      <c r="B150" s="220">
        <f>[1]Sheet1!B150</f>
        <v>46168.397800925901</v>
      </c>
      <c r="C150" s="220">
        <f>[1]Sheet1!C150</f>
        <v>46168.905185185198</v>
      </c>
      <c r="D150" s="221" t="str">
        <f>[1]Sheet1!D150</f>
        <v>nicolas.morales@laureate.pe</v>
      </c>
      <c r="E150" s="221" t="str">
        <f>[1]Sheet1!E150</f>
        <v>Nicolas Morales Chumpitaz</v>
      </c>
      <c r="F150" s="221" t="str">
        <f>[1]Sheet1!F150</f>
        <v xml:space="preserve">Optimización del proceso del relevamiento de la necesidad del cliente interno con protocolos de comunicación; y Producción y difusión de piezas de contenido para comunicación </v>
      </c>
      <c r="G150" s="221"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221" t="str">
        <f>[1]Sheet1!H150</f>
        <v>LAUREATE</v>
      </c>
      <c r="I150" s="221" t="str">
        <f>[1]Sheet1!I150</f>
        <v>Tairi Ruillier- VP Personas y Cultura</v>
      </c>
      <c r="J150" s="221" t="str">
        <f>[1]Sheet1!J150</f>
        <v>Alfredo Ávalos</v>
      </c>
      <c r="K150" s="221"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221" t="str">
        <f>[1]Sheet1!L150</f>
        <v>Carla Arias-Schreiber</v>
      </c>
      <c r="M150" s="151">
        <f>[1]Sheet1!M150</f>
        <v>46387</v>
      </c>
      <c r="N150" s="151" t="str">
        <f>[1]Sheet1!N150</f>
        <v>Si</v>
      </c>
      <c r="O150" s="221" t="str">
        <f>[1]Sheet1!O150</f>
        <v>G&amp;A</v>
      </c>
      <c r="P150" s="221" t="str">
        <f>[1]Sheet1!P150</f>
        <v>77432</v>
      </c>
      <c r="Q150" s="221" t="str">
        <f>[1]Sheet1!Q150</f>
        <v>Otro</v>
      </c>
      <c r="R150" s="221"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221"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221" t="str">
        <f>[1]Sheet1!T150</f>
        <v>GTH - Comunicación Interna</v>
      </c>
      <c r="U150" s="221" t="str">
        <f>[1]Sheet1!U150</f>
        <v>Administrativos</v>
      </c>
      <c r="V150" s="221" t="str">
        <f>[1]Sheet1!V150</f>
        <v>Excelencia operativa</v>
      </c>
      <c r="W150" s="221" t="str">
        <f>[1]Sheet1!W150</f>
        <v>No</v>
      </c>
      <c r="X150" s="221" t="str">
        <f>[1]Sheet1!X150</f>
        <v>Mayor a S/500,000.00</v>
      </c>
      <c r="Y150" s="221" t="str">
        <f>[1]Sheet1!Y150</f>
        <v>Productividad en horas liberadas (4,190)
Mayor foco en análisis creativo y menos en tiempos de operación.
Mejora del tiempo de atención y experiencia del usuario (al evitar reprocesos con un flujo más ágil)</v>
      </c>
      <c r="Z150" s="59" t="str">
        <f>[1]Sheet1!Z150</f>
        <v>https://educorpperu-my.sharepoint.com/personal/diana_zapata_laureate_pe1/_layouts/15/Doc.aspx?sourcedoc=%7B0DB39AB2-E35E-4F2E-A876-2CA76C4F7608%7D&amp;file=LEAN%2BIA_Pitch%20TI_GTH_Nicolas%20Morales%20Chum.pptx&amp;action=edit&amp;mobileredirect=true</v>
      </c>
      <c r="AA150" s="59">
        <f>[1]Sheet1!AA150</f>
        <v>2.6999999999999997</v>
      </c>
    </row>
    <row r="151" spans="1:27" ht="66.75" customHeight="1">
      <c r="A151" s="59">
        <f>[1]Sheet1!A151</f>
        <v>177</v>
      </c>
      <c r="B151" s="220">
        <f>[1]Sheet1!B151</f>
        <v>46168.905266203699</v>
      </c>
      <c r="C151" s="220">
        <f>[1]Sheet1!C151</f>
        <v>46168.9083217593</v>
      </c>
      <c r="D151" s="221" t="str">
        <f>[1]Sheet1!D151</f>
        <v>nicolas.morales@laureate.pe</v>
      </c>
      <c r="E151" s="221" t="str">
        <f>[1]Sheet1!E151</f>
        <v>Nicolas Morales Chumpitaz</v>
      </c>
      <c r="F151" s="221" t="str">
        <f>[1]Sheet1!F151</f>
        <v xml:space="preserve">Solución para categorización y segmentación automática de Tickets. Potenciar chatbot en HCM y escalamiento automático al COE por nivel de consultas y consultas dirigidas a líderes. </v>
      </c>
      <c r="G151" s="221" t="str">
        <f>[1]Sheet1!G151</f>
        <v>Garantizar una atención inmediata, entregando información de precisa, accesible y resolutiva que permita resolver sus necesidades en el menor tiempo posible.</v>
      </c>
      <c r="H151" s="221" t="str">
        <f>[1]Sheet1!H151</f>
        <v>LAUREATE</v>
      </c>
      <c r="I151" s="221" t="str">
        <f>[1]Sheet1!I151</f>
        <v>Tairi Ruillier- VP Personas y Cultura</v>
      </c>
      <c r="J151" s="221" t="str">
        <f>[1]Sheet1!J151</f>
        <v>Alfredo Ávalos</v>
      </c>
      <c r="K151" s="221"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221" t="str">
        <f>[1]Sheet1!L151</f>
        <v>Carla Arias-Schreiber</v>
      </c>
      <c r="M151" s="151">
        <f>[1]Sheet1!M151</f>
        <v>46387</v>
      </c>
      <c r="N151" s="151" t="str">
        <f>[1]Sheet1!N151</f>
        <v>Si</v>
      </c>
      <c r="O151" s="221" t="str">
        <f>[1]Sheet1!O151</f>
        <v>G&amp;A</v>
      </c>
      <c r="P151" s="221" t="str">
        <f>[1]Sheet1!P151</f>
        <v>77432</v>
      </c>
      <c r="Q151" s="221" t="str">
        <f>[1]Sheet1!Q151</f>
        <v>Otro</v>
      </c>
      <c r="R151" s="221"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221"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221" t="str">
        <f>[1]Sheet1!T151</f>
        <v>Atención de consultas de colaboradores - GTH</v>
      </c>
      <c r="U151" s="221" t="str">
        <f>[1]Sheet1!U151</f>
        <v>Administrativos</v>
      </c>
      <c r="V151" s="221" t="str">
        <f>[1]Sheet1!V151</f>
        <v>Excelencia operativa</v>
      </c>
      <c r="W151" s="221" t="str">
        <f>[1]Sheet1!W151</f>
        <v>No</v>
      </c>
      <c r="X151" s="221" t="str">
        <f>[1]Sheet1!X151</f>
        <v>Mayor a S/500,000.00</v>
      </c>
      <c r="Y151" s="221" t="str">
        <f>[1]Sheet1!Y151</f>
        <v>7,298 Horas liberadas anual
Mejora en la experiencia del colaborador
Reducción de SLA.</v>
      </c>
      <c r="Z151" s="59" t="str">
        <f>[1]Sheet1!Z151</f>
        <v>https://educorpperu-my.sharepoint.com/personal/diana_zapata_laureate_pe1/_layouts/15/Doc.aspx?sourcedoc=%7B914F4D00-C724-43CE-B1C4-63B924EC796C%7D&amp;file=LEAN%2BIA_Pitch%20TI_GTH_Nicolas%20Morales%20Chum%201.pptx&amp;action=edit&amp;mobileredirect=true</v>
      </c>
      <c r="AA151" s="59">
        <f>[1]Sheet1!AA151</f>
        <v>2.6999999999999997</v>
      </c>
    </row>
    <row r="152" spans="1:27" ht="45" customHeight="1">
      <c r="A152" s="59">
        <f>[1]Sheet1!A152</f>
        <v>178</v>
      </c>
      <c r="B152" s="220">
        <f>[1]Sheet1!B152</f>
        <v>46168.908391203702</v>
      </c>
      <c r="C152" s="220">
        <f>[1]Sheet1!C152</f>
        <v>46168.918738425898</v>
      </c>
      <c r="D152" s="221" t="str">
        <f>[1]Sheet1!D152</f>
        <v>nicolas.morales@laureate.pe</v>
      </c>
      <c r="E152" s="221" t="str">
        <f>[1]Sheet1!E152</f>
        <v>Nicolas Morales Chumpitaz</v>
      </c>
      <c r="F152" s="221"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221"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221" t="str">
        <f>[1]Sheet1!H152</f>
        <v>UPC</v>
      </c>
      <c r="I152" s="221" t="str">
        <f>[1]Sheet1!I152</f>
        <v>Milagros Morgan - Rectorado UPC</v>
      </c>
      <c r="J152" s="221" t="str">
        <f>[1]Sheet1!J152</f>
        <v>Sara Miller</v>
      </c>
      <c r="K152" s="221"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221" t="str">
        <f>[1]Sheet1!L152</f>
        <v>Ángela Lucano</v>
      </c>
      <c r="M152" s="151">
        <f>[1]Sheet1!M152</f>
        <v>46387</v>
      </c>
      <c r="N152" s="151" t="str">
        <f>[1]Sheet1!N152</f>
        <v>Si</v>
      </c>
      <c r="O152" s="221" t="str">
        <f>[1]Sheet1!O152</f>
        <v>G&amp;A</v>
      </c>
      <c r="P152" s="221" t="str">
        <f>[1]Sheet1!P152</f>
        <v>77544</v>
      </c>
      <c r="Q152" s="221" t="str">
        <f>[1]Sheet1!Q152</f>
        <v>Otro</v>
      </c>
      <c r="R152" s="221"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221"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221" t="str">
        <f>[1]Sheet1!T152</f>
        <v>Programación Horaria WeTalk</v>
      </c>
      <c r="U152" s="221" t="str">
        <f>[1]Sheet1!U152</f>
        <v>Todos</v>
      </c>
      <c r="V152" s="221" t="str">
        <f>[1]Sheet1!V152</f>
        <v>Excelencia operativa</v>
      </c>
      <c r="W152" s="221" t="str">
        <f>[1]Sheet1!W152</f>
        <v>No</v>
      </c>
      <c r="X152" s="221" t="str">
        <f>[1]Sheet1!X152</f>
        <v>Mayor a S/500,000.00</v>
      </c>
      <c r="Y152" s="221" t="str">
        <f>[1]Sheet1!Y152</f>
        <v>Mejora en la experiencia del alumno.
Reducción de un tiempo operativo por demoras en tiempo de respuesta</v>
      </c>
      <c r="Z152" s="59" t="str">
        <f>[1]Sheet1!Z152</f>
        <v>https://educorpperu-my.sharepoint.com/personal/diana_zapata_laureate_pe1/_layouts/15/Doc.aspx?sourcedoc=%7BE24CA149-F959-4495-94B1-7DA6D2881E02%7D&amp;file=LEAN%2BIA_Pitch%20TI_WeTALK_Nicolas%20Morales%20Chum.pptx&amp;action=edit&amp;mobileredirect=true</v>
      </c>
      <c r="AA152" s="59">
        <f>[1]Sheet1!AA152</f>
        <v>3.3</v>
      </c>
    </row>
    <row r="153" spans="1:27" ht="58.5" customHeight="1">
      <c r="A153" s="59">
        <f>[1]Sheet1!A153</f>
        <v>179</v>
      </c>
      <c r="B153" s="220">
        <f>[1]Sheet1!B153</f>
        <v>46168.918796296297</v>
      </c>
      <c r="C153" s="220">
        <f>[1]Sheet1!C153</f>
        <v>46168.924004629604</v>
      </c>
      <c r="D153" s="221" t="str">
        <f>[1]Sheet1!D153</f>
        <v>nicolas.morales@laureate.pe</v>
      </c>
      <c r="E153" s="221" t="str">
        <f>[1]Sheet1!E153</f>
        <v>Nicolas Morales Chumpitaz</v>
      </c>
      <c r="F153" s="221" t="str">
        <f>[1]Sheet1!F153</f>
        <v>Rediseñar proceso PT en instituciones logrando la máxima estandarización, revisión de reglas de negocio, agilidad del proceso mediante la simplificación y soporte de solución tecnológica.</v>
      </c>
      <c r="G153" s="221" t="str">
        <f>[1]Sheet1!G153</f>
        <v>Inscripción y visualización de resultados del PT de forma rápida y sencilla. Tener visibilidad de la información necesaria a lo largo del proceso (estado de trámite)</v>
      </c>
      <c r="H153" s="221" t="str">
        <f>[1]Sheet1!H153</f>
        <v>UPC</v>
      </c>
      <c r="I153" s="221" t="str">
        <f>[1]Sheet1!I153</f>
        <v>Milagros Morgan - Rectorado UPC</v>
      </c>
      <c r="J153" s="221" t="str">
        <f>[1]Sheet1!J153</f>
        <v>Sara Miller</v>
      </c>
      <c r="K153" s="221"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221" t="str">
        <f>[1]Sheet1!L153</f>
        <v>Ángela Lucano</v>
      </c>
      <c r="M153" s="151">
        <f>[1]Sheet1!M153</f>
        <v>46387</v>
      </c>
      <c r="N153" s="151" t="str">
        <f>[1]Sheet1!N153</f>
        <v>Si</v>
      </c>
      <c r="O153" s="221" t="str">
        <f>[1]Sheet1!O153</f>
        <v>G&amp;A</v>
      </c>
      <c r="P153" s="221" t="str">
        <f>[1]Sheet1!P153</f>
        <v>77545</v>
      </c>
      <c r="Q153" s="221" t="str">
        <f>[1]Sheet1!Q153</f>
        <v>Otro</v>
      </c>
      <c r="R153" s="221"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221"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221" t="str">
        <f>[1]Sheet1!T153</f>
        <v>Gestión del Placement Test - WeTalk</v>
      </c>
      <c r="U153" s="221" t="str">
        <f>[1]Sheet1!U153</f>
        <v>Alumnos</v>
      </c>
      <c r="V153" s="221" t="str">
        <f>[1]Sheet1!V153</f>
        <v>Excelencia operativa</v>
      </c>
      <c r="W153" s="221" t="str">
        <f>[1]Sheet1!W153</f>
        <v>No</v>
      </c>
      <c r="X153" s="221" t="str">
        <f>[1]Sheet1!X153</f>
        <v>Mayor a S/500,000.00</v>
      </c>
      <c r="Y153" s="221" t="str">
        <f>[1]Sheet1!Y153</f>
        <v xml:space="preserve">Mejora en la experiencia del alumno
Reducción de un tiempo operativo por demoras en tiempo de respuesta </v>
      </c>
      <c r="Z153" s="59" t="str">
        <f>[1]Sheet1!Z153</f>
        <v>https://educorpperu-my.sharepoint.com/personal/diana_zapata_laureate_pe1/_layouts/15/Doc.aspx?sourcedoc=%7B55AD0853-CF6F-4905-9B9E-EB6839E1FEE6%7D&amp;file=LEAN%2BIA_Pitch%20TI_WeTALK_Nicolas%20Morales%20Chum%201.pptx&amp;action=edit&amp;mobileredirect=true</v>
      </c>
      <c r="AA153" s="59">
        <f>[1]Sheet1!AA153</f>
        <v>3.3</v>
      </c>
    </row>
    <row r="154" spans="1:27" ht="39" customHeight="1">
      <c r="A154" s="59">
        <f>[1]Sheet1!A154</f>
        <v>180</v>
      </c>
      <c r="B154" s="220">
        <f>[1]Sheet1!B154</f>
        <v>46168.924097222203</v>
      </c>
      <c r="C154" s="220">
        <f>[1]Sheet1!C154</f>
        <v>46168.930474537003</v>
      </c>
      <c r="D154" s="221" t="str">
        <f>[1]Sheet1!D154</f>
        <v>nicolas.morales@laureate.pe</v>
      </c>
      <c r="E154" s="221" t="str">
        <f>[1]Sheet1!E154</f>
        <v>Nicolas Morales Chumpitaz</v>
      </c>
      <c r="F154" s="221" t="str">
        <f>[1]Sheet1!F154</f>
        <v>Mejora del proceso de reclutamiento y selección logrando la máxima estandarización, con reglas de negocio claras a fin de tener agilidad del proceso mediante la simplificación y soporte de soluciones tecnológicas.</v>
      </c>
      <c r="G154" s="221" t="str">
        <f>[1]Sheet1!G154</f>
        <v>Obtener el mejor candidato, según el perfil indicado, en el menor tiempo posible y mantenerlo informado a lo largo del proceso.</v>
      </c>
      <c r="H154" s="221" t="str">
        <f>[1]Sheet1!H154</f>
        <v>UPC</v>
      </c>
      <c r="I154" s="221" t="str">
        <f>[1]Sheet1!I154</f>
        <v>Milagros Morgan - Rectorado UPC</v>
      </c>
      <c r="J154" s="221" t="str">
        <f>[1]Sheet1!J154</f>
        <v>Sara Miller</v>
      </c>
      <c r="K154" s="221"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221" t="str">
        <f>[1]Sheet1!L154</f>
        <v>Ángela Lucano</v>
      </c>
      <c r="M154" s="151">
        <f>[1]Sheet1!M154</f>
        <v>46387</v>
      </c>
      <c r="N154" s="151" t="str">
        <f>[1]Sheet1!N154</f>
        <v>Si</v>
      </c>
      <c r="O154" s="221" t="str">
        <f>[1]Sheet1!O154</f>
        <v>G&amp;A</v>
      </c>
      <c r="P154" s="221" t="str">
        <f>[1]Sheet1!P154</f>
        <v>77546</v>
      </c>
      <c r="Q154" s="221" t="str">
        <f>[1]Sheet1!Q154</f>
        <v>Otro</v>
      </c>
      <c r="R154" s="221"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221"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221" t="str">
        <f>[1]Sheet1!T154</f>
        <v>Reclutamiento y Selección Docente - WeTalk</v>
      </c>
      <c r="U154" s="221" t="str">
        <f>[1]Sheet1!U154</f>
        <v>Administrativos</v>
      </c>
      <c r="V154" s="221" t="str">
        <f>[1]Sheet1!V154</f>
        <v>Excelencia operativa</v>
      </c>
      <c r="W154" s="221" t="str">
        <f>[1]Sheet1!W154</f>
        <v>No</v>
      </c>
      <c r="X154" s="221" t="str">
        <f>[1]Sheet1!X154</f>
        <v>Mayor a S/500,000.00</v>
      </c>
      <c r="Y154" s="221" t="str">
        <f>[1]Sheet1!Y154</f>
        <v>Mejora en la experiencia del docente
Optimización de tiempos en actividades
Anulación de duplicidad de tareas
Reducción de tiempo de espera de resultados de otras áreas.​</v>
      </c>
      <c r="Z154" s="59" t="str">
        <f>[1]Sheet1!Z154</f>
        <v>https://educorpperu-my.sharepoint.com/personal/diana_zapata_laureate_pe1/_layouts/15/Doc.aspx?sourcedoc=%7BBE2800F0-66FF-45BC-9415-61A7A98BD4F1%7D&amp;file=LEAN%2BIA_Pitch%20TI_WeTALK_Nicolas%20Morales%20Chum%202.pptx&amp;action=edit&amp;mobileredirect=true</v>
      </c>
      <c r="AA154" s="59">
        <f>[1]Sheet1!AA154</f>
        <v>2.6999999999999997</v>
      </c>
    </row>
    <row r="155" spans="1:27" ht="45" customHeight="1">
      <c r="A155" s="59">
        <f>[1]Sheet1!A155</f>
        <v>181</v>
      </c>
      <c r="B155" s="220">
        <f>[1]Sheet1!B155</f>
        <v>46169.490057870396</v>
      </c>
      <c r="C155" s="220">
        <f>[1]Sheet1!C155</f>
        <v>46169.525347222203</v>
      </c>
      <c r="D155" s="221" t="str">
        <f>[1]Sheet1!D155</f>
        <v>carlos.sanchez@laureate.pe</v>
      </c>
      <c r="E155" s="221" t="str">
        <f>[1]Sheet1!E155</f>
        <v>Carlos Sanchez Rubio</v>
      </c>
      <c r="F155" s="221" t="str">
        <f>[1]Sheet1!F155</f>
        <v>Microsegmentación / Nanosegmentación de Aplicaciones Críticas</v>
      </c>
      <c r="G155" s="221"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221" t="str">
        <f>[1]Sheet1!H155</f>
        <v>CORPORATIVO</v>
      </c>
      <c r="I155" s="221" t="str">
        <f>[1]Sheet1!I155</f>
        <v>Martin Fienkeng - CISO/CIO Corp</v>
      </c>
      <c r="J155" s="221" t="str">
        <f>[1]Sheet1!J155</f>
        <v>Carlos Sánchez</v>
      </c>
      <c r="K155" s="221" t="str">
        <f>[1]Sheet1!K155</f>
        <v>https://educorpperu-my.sharepoint.com/personal/diana_zapata_laureate_pe1/Documents/Aplicaciones/Microsoft%20Forms/REGISTRO%20DE%20INICIATIVAS%20-%20GESTI%C3%93N%20DE%20LA%20DEMANDA%20(2%201/Pregunta/Implementaci%C3%B3n%20Microsegmentaci%C3%B3n%20Illumio_Carlos%20Sanchez%20Rubio.pdf</v>
      </c>
      <c r="L155" s="221" t="str">
        <f>[1]Sheet1!L155</f>
        <v>Ninguno</v>
      </c>
      <c r="M155" s="151">
        <f>[1]Sheet1!M155</f>
        <v>46356</v>
      </c>
      <c r="N155" s="151" t="str">
        <f>[1]Sheet1!N155</f>
        <v>No</v>
      </c>
      <c r="O155" s="221">
        <f>[1]Sheet1!O155</f>
        <v>0</v>
      </c>
      <c r="P155" s="221">
        <f>[1]Sheet1!P155</f>
        <v>0</v>
      </c>
      <c r="Q155" s="221" t="str">
        <f>[1]Sheet1!Q155</f>
        <v>Seguridad TI</v>
      </c>
      <c r="R155" s="221"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221" t="str">
        <f>[1]Sheet1!S155</f>
        <v>Las aplicaciones críticas deben operar con reglas de comunicación mínimas necesarias, controladas a nivel granular, permitiendo únicamente el tráfico explícitamente autorizado entre componentes.</v>
      </c>
      <c r="T155" s="221" t="str">
        <f>[1]Sheet1!T155</f>
        <v xml:space="preserve">Aplicaciones y Sistemas - Soluciones de Finanzas y BackOffice
Aplicaciones en alcance:
- ASBANC UPC
- ASBANC CIB
- ASBANC UPN
- Spring UPC
- Spring CIB
- Peoplesoft HCM
- Peoplesoft 9.2
- Facturación Electrónica
</v>
      </c>
      <c r="U155" s="221" t="str">
        <f>[1]Sheet1!U155</f>
        <v>Todos</v>
      </c>
      <c r="V155" s="221" t="str">
        <f>[1]Sheet1!V155</f>
        <v>Excelencia operativa</v>
      </c>
      <c r="W155" s="221" t="str">
        <f>[1]Sheet1!W155</f>
        <v>No</v>
      </c>
      <c r="X155" s="221" t="str">
        <f>[1]Sheet1!X155</f>
        <v>Mayor a S/500,000.00</v>
      </c>
      <c r="Y155" s="221"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59"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59">
        <f>[1]Sheet1!AA155</f>
        <v>2.7</v>
      </c>
    </row>
    <row r="156" spans="1:27" ht="44.25" customHeight="1">
      <c r="A156" s="59">
        <f>[1]Sheet1!A156</f>
        <v>182</v>
      </c>
      <c r="B156" s="220">
        <f>[1]Sheet1!B156</f>
        <v>46169.525393518503</v>
      </c>
      <c r="C156" s="220">
        <f>[1]Sheet1!C156</f>
        <v>46169.526678240698</v>
      </c>
      <c r="D156" s="221" t="str">
        <f>[1]Sheet1!D156</f>
        <v>carlos.sanchez@laureate.pe</v>
      </c>
      <c r="E156" s="221" t="str">
        <f>[1]Sheet1!E156</f>
        <v>Carlos Sanchez Rubio</v>
      </c>
      <c r="F156" s="221" t="str">
        <f>[1]Sheet1!F156</f>
        <v>Microsegmentación / Nanosegmentación de Aplicaciones Críticas</v>
      </c>
      <c r="G156" s="221"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221" t="str">
        <f>[1]Sheet1!H156</f>
        <v>CORPORATIVO</v>
      </c>
      <c r="I156" s="221" t="str">
        <f>[1]Sheet1!I156</f>
        <v>Martin Fienkeng - CISO/CIO Corp</v>
      </c>
      <c r="J156" s="221" t="str">
        <f>[1]Sheet1!J156</f>
        <v>Carlos Sánchez</v>
      </c>
      <c r="K156" s="221"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221" t="str">
        <f>[1]Sheet1!L156</f>
        <v>Ninguno</v>
      </c>
      <c r="M156" s="151">
        <f>[1]Sheet1!M156</f>
        <v>46356</v>
      </c>
      <c r="N156" s="151" t="str">
        <f>[1]Sheet1!N156</f>
        <v>No</v>
      </c>
      <c r="O156" s="221">
        <f>[1]Sheet1!O156</f>
        <v>0</v>
      </c>
      <c r="P156" s="221">
        <f>[1]Sheet1!P156</f>
        <v>0</v>
      </c>
      <c r="Q156" s="221" t="str">
        <f>[1]Sheet1!Q156</f>
        <v>Seguridad TI</v>
      </c>
      <c r="R156" s="221"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221" t="str">
        <f>[1]Sheet1!S156</f>
        <v>Las aplicaciones críticas deben operar con reglas de comunicación mínimas necesarias, controladas a nivel granular, permitiendo únicamente el tráfico explícitamente autorizado entre componentes.</v>
      </c>
      <c r="T156" s="221" t="str">
        <f>[1]Sheet1!T156</f>
        <v xml:space="preserve">Aplicaciones y Sistemas - Soluciones de Gestión Académica
Aplicaciones en alcance:
- Banner UPN
- Banner UPC
- Banner CIB
- Socrates UPC
- Socrates CIB
</v>
      </c>
      <c r="U156" s="221" t="str">
        <f>[1]Sheet1!U156</f>
        <v>Todos</v>
      </c>
      <c r="V156" s="221" t="str">
        <f>[1]Sheet1!V156</f>
        <v>Excelencia operativa</v>
      </c>
      <c r="W156" s="221" t="str">
        <f>[1]Sheet1!W156</f>
        <v>No</v>
      </c>
      <c r="X156" s="221" t="str">
        <f>[1]Sheet1!X156</f>
        <v>Mayor a S/500,000.00</v>
      </c>
      <c r="Y156" s="221"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59"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59">
        <f>[1]Sheet1!AA156</f>
        <v>2.7</v>
      </c>
    </row>
    <row r="157" spans="1:27" ht="57" customHeight="1">
      <c r="A157" s="59">
        <f>[1]Sheet1!A157</f>
        <v>183</v>
      </c>
      <c r="B157" s="220">
        <f>[1]Sheet1!B157</f>
        <v>46169.526724536998</v>
      </c>
      <c r="C157" s="220">
        <f>[1]Sheet1!C157</f>
        <v>46169.527997685203</v>
      </c>
      <c r="D157" s="221" t="str">
        <f>[1]Sheet1!D157</f>
        <v>carlos.sanchez@laureate.pe</v>
      </c>
      <c r="E157" s="221" t="str">
        <f>[1]Sheet1!E157</f>
        <v>Carlos Sanchez Rubio</v>
      </c>
      <c r="F157" s="221" t="str">
        <f>[1]Sheet1!F157</f>
        <v>Microsegmentación / Nanosegmentación de Aplicaciones Críticas</v>
      </c>
      <c r="G157" s="221"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221" t="str">
        <f>[1]Sheet1!H157</f>
        <v>CORPORATIVO</v>
      </c>
      <c r="I157" s="221" t="str">
        <f>[1]Sheet1!I157</f>
        <v>Martin Fienkeng - CISO/CIO Corp</v>
      </c>
      <c r="J157" s="221" t="str">
        <f>[1]Sheet1!J157</f>
        <v>Carlos Sánchez</v>
      </c>
      <c r="K157" s="221"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221" t="str">
        <f>[1]Sheet1!L157</f>
        <v>Ninguno</v>
      </c>
      <c r="M157" s="151">
        <f>[1]Sheet1!M157</f>
        <v>46356</v>
      </c>
      <c r="N157" s="151" t="str">
        <f>[1]Sheet1!N157</f>
        <v>No</v>
      </c>
      <c r="O157" s="221">
        <f>[1]Sheet1!O157</f>
        <v>0</v>
      </c>
      <c r="P157" s="221">
        <f>[1]Sheet1!P157</f>
        <v>0</v>
      </c>
      <c r="Q157" s="221" t="str">
        <f>[1]Sheet1!Q157</f>
        <v>Seguridad TI</v>
      </c>
      <c r="R157" s="221"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221" t="str">
        <f>[1]Sheet1!S157</f>
        <v>Las aplicaciones críticas deben operar con reglas de comunicación mínimas necesarias, controladas a nivel granular, permitiendo únicamente el tráfico explícitamente autorizado entre componentes.</v>
      </c>
      <c r="T157" s="221" t="str">
        <f>[1]Sheet1!T157</f>
        <v xml:space="preserve">Aplicaciones y Sistemas - Soluciones de Relacionamiento
Aplicaciones en alcance:
- CRM UPC
- CRM UPN
- CRM Cibertec
</v>
      </c>
      <c r="U157" s="221" t="str">
        <f>[1]Sheet1!U157</f>
        <v>Todos</v>
      </c>
      <c r="V157" s="221" t="str">
        <f>[1]Sheet1!V157</f>
        <v>Excelencia operativa</v>
      </c>
      <c r="W157" s="221" t="str">
        <f>[1]Sheet1!W157</f>
        <v>No</v>
      </c>
      <c r="X157" s="221" t="str">
        <f>[1]Sheet1!X157</f>
        <v>Mayor a S/500,000.00</v>
      </c>
      <c r="Y157" s="221"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59"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59">
        <f>[1]Sheet1!AA157</f>
        <v>2.7</v>
      </c>
    </row>
    <row r="158" spans="1:27" ht="67.5" customHeight="1">
      <c r="A158" s="59">
        <f>[1]Sheet1!A158</f>
        <v>184</v>
      </c>
      <c r="B158" s="220">
        <f>[1]Sheet1!B158</f>
        <v>46169.528136574103</v>
      </c>
      <c r="C158" s="220">
        <f>[1]Sheet1!C158</f>
        <v>46169.529490740701</v>
      </c>
      <c r="D158" s="221" t="str">
        <f>[1]Sheet1!D158</f>
        <v>carlos.sanchez@laureate.pe</v>
      </c>
      <c r="E158" s="221" t="str">
        <f>[1]Sheet1!E158</f>
        <v>Carlos Sanchez Rubio</v>
      </c>
      <c r="F158" s="221" t="str">
        <f>[1]Sheet1!F158</f>
        <v>Microsegmentación / Nanosegmentación de Aplicaciones Críticas</v>
      </c>
      <c r="G158" s="221"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221" t="str">
        <f>[1]Sheet1!H158</f>
        <v>CORPORATIVO</v>
      </c>
      <c r="I158" s="221" t="str">
        <f>[1]Sheet1!I158</f>
        <v>Martin Fienkeng - CISO/CIO Corp</v>
      </c>
      <c r="J158" s="221" t="str">
        <f>[1]Sheet1!J158</f>
        <v>Carlos Sánchez</v>
      </c>
      <c r="K158" s="221"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221" t="str">
        <f>[1]Sheet1!L158</f>
        <v>Ninguno</v>
      </c>
      <c r="M158" s="151">
        <f>[1]Sheet1!M158</f>
        <v>46356</v>
      </c>
      <c r="N158" s="151" t="str">
        <f>[1]Sheet1!N158</f>
        <v>No</v>
      </c>
      <c r="O158" s="221">
        <f>[1]Sheet1!O158</f>
        <v>0</v>
      </c>
      <c r="P158" s="221">
        <f>[1]Sheet1!P158</f>
        <v>0</v>
      </c>
      <c r="Q158" s="221" t="str">
        <f>[1]Sheet1!Q158</f>
        <v>Seguridad TI</v>
      </c>
      <c r="R158" s="221"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221" t="str">
        <f>[1]Sheet1!S158</f>
        <v>Las aplicaciones críticas deben operar con reglas de comunicación mínimas necesarias, controladas a nivel granular, permitiendo únicamente el tráfico explícitamente autorizado entre componentes.</v>
      </c>
      <c r="T158" s="221" t="str">
        <f>[1]Sheet1!T158</f>
        <v xml:space="preserve">Aplicaciones y Sistemas - Soluciones LMS y Otros Servicios Académicos
Aplicaciones en alcance:
- Smile UPN
- Smile UPC
</v>
      </c>
      <c r="U158" s="221" t="str">
        <f>[1]Sheet1!U158</f>
        <v>Todos</v>
      </c>
      <c r="V158" s="221" t="str">
        <f>[1]Sheet1!V158</f>
        <v>Excelencia operativa</v>
      </c>
      <c r="W158" s="221" t="str">
        <f>[1]Sheet1!W158</f>
        <v>No</v>
      </c>
      <c r="X158" s="221" t="str">
        <f>[1]Sheet1!X158</f>
        <v>Mayor a S/500,000.00</v>
      </c>
      <c r="Y158" s="221"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59"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59">
        <f>[1]Sheet1!AA158</f>
        <v>2.7</v>
      </c>
    </row>
    <row r="159" spans="1:27" ht="33" customHeight="1">
      <c r="A159" s="59">
        <f>[1]Sheet1!A159</f>
        <v>185</v>
      </c>
      <c r="B159" s="220">
        <f>[1]Sheet1!B159</f>
        <v>46169.529664351903</v>
      </c>
      <c r="C159" s="220">
        <f>[1]Sheet1!C159</f>
        <v>46169.532025462999</v>
      </c>
      <c r="D159" s="221" t="str">
        <f>[1]Sheet1!D159</f>
        <v>carlos.sanchez@laureate.pe</v>
      </c>
      <c r="E159" s="221" t="str">
        <f>[1]Sheet1!E159</f>
        <v>Carlos Sanchez Rubio</v>
      </c>
      <c r="F159" s="221" t="str">
        <f>[1]Sheet1!F159</f>
        <v>Microsegmentación / Nanosegmentación de Aplicaciones Críticas</v>
      </c>
      <c r="G159" s="221"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221" t="str">
        <f>[1]Sheet1!H159</f>
        <v>CORPORATIVO</v>
      </c>
      <c r="I159" s="221" t="str">
        <f>[1]Sheet1!I159</f>
        <v>Martin Fienkeng - CISO/CIO Corp</v>
      </c>
      <c r="J159" s="221" t="str">
        <f>[1]Sheet1!J159</f>
        <v>Carlos Sánchez</v>
      </c>
      <c r="K159" s="221"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221" t="str">
        <f>[1]Sheet1!L159</f>
        <v>Ninguno</v>
      </c>
      <c r="M159" s="151">
        <f>[1]Sheet1!M159</f>
        <v>46356</v>
      </c>
      <c r="N159" s="151" t="str">
        <f>[1]Sheet1!N159</f>
        <v>No</v>
      </c>
      <c r="O159" s="221">
        <f>[1]Sheet1!O159</f>
        <v>0</v>
      </c>
      <c r="P159" s="221">
        <f>[1]Sheet1!P159</f>
        <v>0</v>
      </c>
      <c r="Q159" s="221" t="str">
        <f>[1]Sheet1!Q159</f>
        <v>Seguridad TI</v>
      </c>
      <c r="R159" s="221"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221" t="str">
        <f>[1]Sheet1!S159</f>
        <v>Las aplicaciones críticas deben operar con reglas de comunicación mínimas necesarias, controladas a nivel granular, permitiendo únicamente el tráfico explícitamente autorizado entre componentes.</v>
      </c>
      <c r="T159" s="221" t="str">
        <f>[1]Sheet1!T159</f>
        <v>Infraestructura
Aplicaciones en alcance:
- Active Directories</v>
      </c>
      <c r="U159" s="221" t="str">
        <f>[1]Sheet1!U159</f>
        <v>Todos</v>
      </c>
      <c r="V159" s="221" t="str">
        <f>[1]Sheet1!V159</f>
        <v>Excelencia operativa</v>
      </c>
      <c r="W159" s="221" t="str">
        <f>[1]Sheet1!W159</f>
        <v>No</v>
      </c>
      <c r="X159" s="221" t="str">
        <f>[1]Sheet1!X159</f>
        <v>Mayor a S/500,000.00</v>
      </c>
      <c r="Y159" s="221"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59"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59">
        <f>[1]Sheet1!AA159</f>
        <v>2.7</v>
      </c>
    </row>
    <row r="160" spans="1:27" ht="48" customHeight="1">
      <c r="A160" s="59">
        <f>[1]Sheet1!A160</f>
        <v>186</v>
      </c>
      <c r="B160" s="220">
        <f>[1]Sheet1!B160</f>
        <v>46169.532071759299</v>
      </c>
      <c r="C160" s="220">
        <f>[1]Sheet1!C160</f>
        <v>46169.533449074101</v>
      </c>
      <c r="D160" s="221" t="str">
        <f>[1]Sheet1!D160</f>
        <v>carlos.sanchez@laureate.pe</v>
      </c>
      <c r="E160" s="221" t="str">
        <f>[1]Sheet1!E160</f>
        <v>Carlos Sanchez Rubio</v>
      </c>
      <c r="F160" s="221" t="str">
        <f>[1]Sheet1!F160</f>
        <v>Microsegmentación / Nanosegmentación de Aplicaciones Críticas</v>
      </c>
      <c r="G160" s="221"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221" t="str">
        <f>[1]Sheet1!H160</f>
        <v>CORPORATIVO</v>
      </c>
      <c r="I160" s="221" t="str">
        <f>[1]Sheet1!I160</f>
        <v>Martin Fienkeng - CISO/CIO Corp</v>
      </c>
      <c r="J160" s="221" t="str">
        <f>[1]Sheet1!J160</f>
        <v>Carlos Sánchez</v>
      </c>
      <c r="K160" s="221"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221" t="str">
        <f>[1]Sheet1!L160</f>
        <v>Ninguno</v>
      </c>
      <c r="M160" s="151">
        <f>[1]Sheet1!M160</f>
        <v>46356</v>
      </c>
      <c r="N160" s="151" t="str">
        <f>[1]Sheet1!N160</f>
        <v>No</v>
      </c>
      <c r="O160" s="221">
        <f>[1]Sheet1!O160</f>
        <v>0</v>
      </c>
      <c r="P160" s="221">
        <f>[1]Sheet1!P160</f>
        <v>0</v>
      </c>
      <c r="Q160" s="221" t="str">
        <f>[1]Sheet1!Q160</f>
        <v>Seguridad TI</v>
      </c>
      <c r="R160" s="221"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221" t="str">
        <f>[1]Sheet1!S160</f>
        <v>Las aplicaciones críticas deben operar con reglas de comunicación mínimas necesarias, controladas a nivel granular, permitiendo únicamente el tráfico explícitamente autorizado entre componentes.</v>
      </c>
      <c r="T160" s="221" t="str">
        <f>[1]Sheet1!T160</f>
        <v>Arquitectura Empresarial
Aplicaciones en alcance:
- Bus de Integración</v>
      </c>
      <c r="U160" s="221" t="str">
        <f>[1]Sheet1!U160</f>
        <v>Todos</v>
      </c>
      <c r="V160" s="221" t="str">
        <f>[1]Sheet1!V160</f>
        <v>Excelencia operativa</v>
      </c>
      <c r="W160" s="221" t="str">
        <f>[1]Sheet1!W160</f>
        <v>No</v>
      </c>
      <c r="X160" s="221" t="str">
        <f>[1]Sheet1!X160</f>
        <v>Mayor a S/500,000.00</v>
      </c>
      <c r="Y160" s="221"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59"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59">
        <f>[1]Sheet1!AA160</f>
        <v>2.7</v>
      </c>
    </row>
    <row r="161" spans="1:27" ht="41.25" customHeight="1">
      <c r="A161" s="59">
        <f>[1]Sheet1!A161</f>
        <v>187</v>
      </c>
      <c r="B161" s="220">
        <f>[1]Sheet1!B161</f>
        <v>46169.536921296298</v>
      </c>
      <c r="C161" s="220">
        <f>[1]Sheet1!C161</f>
        <v>46169.538877314801</v>
      </c>
      <c r="D161" s="221" t="str">
        <f>[1]Sheet1!D161</f>
        <v>davies.galdos@laureate.pe</v>
      </c>
      <c r="E161" s="221" t="str">
        <f>[1]Sheet1!E161</f>
        <v>Davies Galdos Yactayo</v>
      </c>
      <c r="F161" s="221" t="str">
        <f>[1]Sheet1!F161</f>
        <v>[23] Información para el seguimiento de ingreso de evaluaciones</v>
      </c>
      <c r="G161" s="221"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221" t="str">
        <f>[1]Sheet1!H161</f>
        <v>UPC</v>
      </c>
      <c r="I161" s="221" t="str">
        <f>[1]Sheet1!I161</f>
        <v>Milagros Morgan - Rectorado UPC</v>
      </c>
      <c r="J161" s="221" t="str">
        <f>[1]Sheet1!J161</f>
        <v>Miguel Chang</v>
      </c>
      <c r="K161" s="221" t="str">
        <f>[1]Sheet1!K161</f>
        <v>https://educorpperu-my.sharepoint.com/personal/diana_zapata_laureate_pe1/Documents/Aplicaciones/Microsoft%20Forms/REGISTRO%20DE%20INICIATIVAS%20-%20GESTI%C3%93N%20DE%20LA%20DEMANDA%20(2%201/Pregunta/Aprobaci%C3%B3n%20Miguel_Requerimientos%20SisAcaUPC_Davies%20Galdos%20Yactay.pdf</v>
      </c>
      <c r="L161" s="221" t="str">
        <f>[1]Sheet1!L161</f>
        <v>Ninguno</v>
      </c>
      <c r="M161" s="151">
        <f>[1]Sheet1!M161</f>
        <v>46239</v>
      </c>
      <c r="N161" s="151" t="str">
        <f>[1]Sheet1!N161</f>
        <v>No</v>
      </c>
      <c r="O161" s="221">
        <f>[1]Sheet1!O161</f>
        <v>0</v>
      </c>
      <c r="P161" s="221">
        <f>[1]Sheet1!P161</f>
        <v>0</v>
      </c>
      <c r="Q161" s="221" t="str">
        <f>[1]Sheet1!Q161</f>
        <v>Otro</v>
      </c>
      <c r="R161" s="221" t="str">
        <f>[1]Sheet1!R161</f>
        <v>Actualmente, los estudiantes y la institución enfrentan dificultades para gestionar cambios académicos, financieros y administrativos de manera eficiente, afectando la experiencia del estudiante y la gestión interna.</v>
      </c>
      <c r="S161" s="221" t="str">
        <f>[1]Sheet1!S161</f>
        <v>Ver archivo adjunto con información del requerimiento. Link: https://educorpperu.sharepoint.com/:x:/s/Repositorio_EquipoCentral/dit/portafoliosyp/IQBPjj-nPuoDQbtwySJjx2sbAR4Cx0FwHcOnpoZf6N5wGdw?e=Qxpak7</v>
      </c>
      <c r="T161" s="221" t="str">
        <f>[1]Sheet1!T161</f>
        <v>Ver archivo adjunto con información del requerimiento. Link: https://educorpperu.sharepoint.com/:x:/s/Repositorio_EquipoCentral/dit/portafoliosyp/IQBPjj-nPuoDQbtwySJjx2sbAR4Cx0FwHcOnpoZf6N5wGdw?e=Qxpak7</v>
      </c>
      <c r="U161" s="221" t="str">
        <f>[1]Sheet1!U161</f>
        <v>Alumnos</v>
      </c>
      <c r="V161" s="221" t="str">
        <f>[1]Sheet1!V161</f>
        <v>Excelencia operativa</v>
      </c>
      <c r="W161" s="221" t="str">
        <f>[1]Sheet1!W161</f>
        <v>Si</v>
      </c>
      <c r="X161" s="221" t="str">
        <f>[1]Sheet1!X161</f>
        <v>No cuantificado o S/0</v>
      </c>
      <c r="Y161" s="221"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59"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59">
        <f>[1]Sheet1!AA161</f>
        <v>1.2000000000000002</v>
      </c>
    </row>
    <row r="162" spans="1:27" ht="122.25" customHeight="1">
      <c r="A162" s="59">
        <f>[1]Sheet1!A162</f>
        <v>188</v>
      </c>
      <c r="B162" s="220">
        <f>[1]Sheet1!B162</f>
        <v>46169.524259259299</v>
      </c>
      <c r="C162" s="220">
        <f>[1]Sheet1!C162</f>
        <v>46169.550127314797</v>
      </c>
      <c r="D162" s="221" t="str">
        <f>[1]Sheet1!D162</f>
        <v>pamela.espinoza@laureate.pe</v>
      </c>
      <c r="E162" s="221" t="str">
        <f>[1]Sheet1!E162</f>
        <v>Pamela Carolina Espinoza Tavera</v>
      </c>
      <c r="F162" s="221" t="str">
        <f>[1]Sheet1!F162</f>
        <v xml:space="preserve">Automatización de Autorización de acceso a Banco de DP </v>
      </c>
      <c r="G162" s="221"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221" t="str">
        <f>[1]Sheet1!H162</f>
        <v>LAUREATE</v>
      </c>
      <c r="I162" s="221" t="str">
        <f>[1]Sheet1!I162</f>
        <v>Rossina Caballero - VP Legal</v>
      </c>
      <c r="J162" s="221" t="str">
        <f>[1]Sheet1!J162</f>
        <v>Pamela Espinoza Tavera</v>
      </c>
      <c r="K162" s="221"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221" t="str">
        <f>[1]Sheet1!L162</f>
        <v>Franco Vera</v>
      </c>
      <c r="M162" s="151">
        <f>[1]Sheet1!M162</f>
        <v>46203</v>
      </c>
      <c r="N162" s="151" t="str">
        <f>[1]Sheet1!N162</f>
        <v>No</v>
      </c>
      <c r="O162" s="221">
        <f>[1]Sheet1!O162</f>
        <v>0</v>
      </c>
      <c r="P162" s="221">
        <f>[1]Sheet1!P162</f>
        <v>0</v>
      </c>
      <c r="Q162" s="221" t="str">
        <f>[1]Sheet1!Q162</f>
        <v>Compliance</v>
      </c>
      <c r="R162" s="221"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221"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221" t="str">
        <f>[1]Sheet1!T162</f>
        <v>1. Ética y compliance (nosotros)
2. Data &amp; BI
3. Academia de las 3 instituciones
4. TI de las 3 instituciones</v>
      </c>
      <c r="U162" s="221" t="str">
        <f>[1]Sheet1!U162</f>
        <v>Todos</v>
      </c>
      <c r="V162" s="221" t="str">
        <f>[1]Sheet1!V162</f>
        <v>Excelencia operativa</v>
      </c>
      <c r="W162" s="221" t="str">
        <f>[1]Sheet1!W162</f>
        <v>No</v>
      </c>
      <c r="X162" s="221" t="str">
        <f>[1]Sheet1!X162</f>
        <v>No cuantificado o S/0</v>
      </c>
      <c r="Y162" s="221"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59"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59">
        <f>[1]Sheet1!AA162</f>
        <v>2.0999999999999996</v>
      </c>
    </row>
    <row r="163" spans="1:27" ht="27" customHeight="1">
      <c r="A163" s="59">
        <f>[1]Sheet1!A163</f>
        <v>189</v>
      </c>
      <c r="B163" s="220">
        <f>[1]Sheet1!B163</f>
        <v>46169.635381944398</v>
      </c>
      <c r="C163" s="220">
        <f>[1]Sheet1!C163</f>
        <v>46169.641215277799</v>
      </c>
      <c r="D163" s="221" t="str">
        <f>[1]Sheet1!D163</f>
        <v>davies.galdos@laureate.pe</v>
      </c>
      <c r="E163" s="221" t="str">
        <f>[1]Sheet1!E163</f>
        <v>Davies Galdos Yactayo</v>
      </c>
      <c r="F163" s="221" t="str">
        <f>[1]Sheet1!F163</f>
        <v xml:space="preserve">[202] Formulario online de reclamos y/o denuncias Defensoria Universitaria </v>
      </c>
      <c r="G163" s="221"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221" t="str">
        <f>[1]Sheet1!H163</f>
        <v>UPC</v>
      </c>
      <c r="I163" s="221" t="str">
        <f>[1]Sheet1!I163</f>
        <v>Milagros Morgan - Rectorado UPC</v>
      </c>
      <c r="J163" s="221" t="str">
        <f>[1]Sheet1!J163</f>
        <v xml:space="preserve">Diego Vega </v>
      </c>
      <c r="K163" s="221"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221" t="str">
        <f>[1]Sheet1!L163</f>
        <v>Ninguno</v>
      </c>
      <c r="M163" s="151">
        <f>[1]Sheet1!M163</f>
        <v>46235</v>
      </c>
      <c r="N163" s="151" t="str">
        <f>[1]Sheet1!N163</f>
        <v>No</v>
      </c>
      <c r="O163" s="221">
        <f>[1]Sheet1!O163</f>
        <v>0</v>
      </c>
      <c r="P163" s="221">
        <f>[1]Sheet1!P163</f>
        <v>0</v>
      </c>
      <c r="Q163" s="221" t="str">
        <f>[1]Sheet1!Q163</f>
        <v>Otro</v>
      </c>
      <c r="R163" s="221" t="str">
        <f>[1]Sheet1!R163</f>
        <v>Actualmente, los estudiantes y la institución enfrentan dificultades para gestionar cambios académicos, financieros y administrativos de manera eficiente, afectando la experiencia del estudiante y la gestión interna.</v>
      </c>
      <c r="S163" s="221" t="str">
        <f>[1]Sheet1!S163</f>
        <v>Ver archivo adjunto con información del requerimiento. Link: https://educorpperu.sharepoint.com/:x:/s/Repositorio_EquipoCentral/dit/portafoliosyp/IQBPjj-nPuoDQbtwySJjx2sbAR4Cx0FwHcOnpoZf6N5wGdw?e=Qxpak7</v>
      </c>
      <c r="T163" s="221" t="str">
        <f>[1]Sheet1!T163</f>
        <v>Ver archivo adjunto con información del requerimiento. Link: https://educorpperu.sharepoint.com/:x:/s/Repositorio_EquipoCentral/dit/portafoliosyp/IQBPjj-nPuoDQbtwySJjx2sbAR4Cx0FwHcOnpoZf6N5wGdw?e=Qxpak7</v>
      </c>
      <c r="U163" s="221" t="str">
        <f>[1]Sheet1!U163</f>
        <v>Alumnos</v>
      </c>
      <c r="V163" s="221" t="str">
        <f>[1]Sheet1!V163</f>
        <v>Excelencia operativa</v>
      </c>
      <c r="W163" s="221" t="str">
        <f>[1]Sheet1!W163</f>
        <v>Si</v>
      </c>
      <c r="X163" s="221" t="str">
        <f>[1]Sheet1!X163</f>
        <v>No cuantificado o S/0</v>
      </c>
      <c r="Y163" s="221"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59"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59">
        <f>[1]Sheet1!AA163</f>
        <v>1.2000000000000002</v>
      </c>
    </row>
    <row r="164" spans="1:27" ht="18.600000000000001" customHeight="1">
      <c r="A164" s="59">
        <f>[1]Sheet1!A164</f>
        <v>190</v>
      </c>
      <c r="B164" s="220">
        <f>[1]Sheet1!B164</f>
        <v>46169.652569444399</v>
      </c>
      <c r="C164" s="220">
        <f>[1]Sheet1!C164</f>
        <v>46169.658240740697</v>
      </c>
      <c r="D164" s="221" t="str">
        <f>[1]Sheet1!D164</f>
        <v>renzo.saenz@laureate.pe</v>
      </c>
      <c r="E164" s="221" t="str">
        <f>[1]Sheet1!E164</f>
        <v>Renzo Sáenz Dávila</v>
      </c>
      <c r="F164" s="221" t="str">
        <f>[1]Sheet1!F164</f>
        <v>[47] Finanzas: Proceso de reversas</v>
      </c>
      <c r="G164" s="221"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221" t="str">
        <f>[1]Sheet1!H164</f>
        <v>UPC</v>
      </c>
      <c r="I164" s="221" t="str">
        <f>[1]Sheet1!I164</f>
        <v>Alex Pendavis - VP Finanzas</v>
      </c>
      <c r="J164" s="221" t="str">
        <f>[1]Sheet1!J164</f>
        <v>Rafael Andrade</v>
      </c>
      <c r="K164" s="221"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221" t="str">
        <f>[1]Sheet1!L164</f>
        <v>Ninguno</v>
      </c>
      <c r="M164" s="151">
        <f>[1]Sheet1!M164</f>
        <v>46234</v>
      </c>
      <c r="N164" s="151" t="str">
        <f>[1]Sheet1!N164</f>
        <v>No</v>
      </c>
      <c r="O164" s="221">
        <f>[1]Sheet1!O164</f>
        <v>0</v>
      </c>
      <c r="P164" s="221">
        <f>[1]Sheet1!P164</f>
        <v>0</v>
      </c>
      <c r="Q164" s="221" t="str">
        <f>[1]Sheet1!Q164</f>
        <v>Otro</v>
      </c>
      <c r="R164" s="221" t="str">
        <f>[1]Sheet1!R164</f>
        <v xml:space="preserve">Actualmente, los estudiantes y la institución enfrentan dificultades para gestionar cambios académicos, financieros y administrativos de manera eficiente, afectando la experiencia del estudiante y la gestión interna.
</v>
      </c>
      <c r="S164" s="221" t="str">
        <f>[1]Sheet1!S164</f>
        <v>Ver archivo adjunto con información del requerimiento. Link: https://educorpperu.sharepoint.com/:x:/s/Repositorio_EquipoCentral/dit/portafoliosyp/IQBPjj-nPuoDQbtwySJjx2sbAR4Cx0FwHcOnpoZf6N5wGdw?e=Qxpak7</v>
      </c>
      <c r="T164" s="221" t="str">
        <f>[1]Sheet1!T164</f>
        <v xml:space="preserve">Ver archivo adjunto con información del requerimiento. Link: https://educorpperu.sharepoint.com/:x:/s/Repositorio_EquipoCentral/dit/portafoliosyp/IQBPjj-nPuoDQbtwySJjx2sbAR4Cx0FwHcOnpoZf6N5wGdw?e=Qxpak7
</v>
      </c>
      <c r="U164" s="221" t="str">
        <f>[1]Sheet1!U164</f>
        <v>Alumnos</v>
      </c>
      <c r="V164" s="221" t="str">
        <f>[1]Sheet1!V164</f>
        <v>Excelencia operativa</v>
      </c>
      <c r="W164" s="221" t="str">
        <f>[1]Sheet1!W164</f>
        <v>Si</v>
      </c>
      <c r="X164" s="221" t="str">
        <f>[1]Sheet1!X164</f>
        <v>No cuantificado o S/0</v>
      </c>
      <c r="Y164" s="221"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59"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59">
        <f>[1]Sheet1!AA164</f>
        <v>1.2000000000000002</v>
      </c>
    </row>
    <row r="165" spans="1:27" ht="18.600000000000001" customHeight="1">
      <c r="A165" s="59">
        <f>[1]Sheet1!A165</f>
        <v>191</v>
      </c>
      <c r="B165" s="220">
        <f>[1]Sheet1!B165</f>
        <v>46169.658587963</v>
      </c>
      <c r="C165" s="220">
        <f>[1]Sheet1!C165</f>
        <v>46169.661851851903</v>
      </c>
      <c r="D165" s="221" t="str">
        <f>[1]Sheet1!D165</f>
        <v>renzo.saenz@laureate.pe</v>
      </c>
      <c r="E165" s="221" t="str">
        <f>[1]Sheet1!E165</f>
        <v>Renzo Sáenz Dávila</v>
      </c>
      <c r="F165" s="221" t="str">
        <f>[1]Sheet1!F165</f>
        <v>[281] Pago por crédito / curso (PxC)</v>
      </c>
      <c r="G165" s="221"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221" t="str">
        <f>[1]Sheet1!H165</f>
        <v>UPC</v>
      </c>
      <c r="I165" s="221" t="str">
        <f>[1]Sheet1!I165</f>
        <v>Alex Pendavis - VP Finanzas</v>
      </c>
      <c r="J165" s="221" t="str">
        <f>[1]Sheet1!J165</f>
        <v>Rafael Andrade</v>
      </c>
      <c r="K165" s="221"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221" t="str">
        <f>[1]Sheet1!L165</f>
        <v>Ninguno</v>
      </c>
      <c r="M165" s="151">
        <f>[1]Sheet1!M165</f>
        <v>46234</v>
      </c>
      <c r="N165" s="151" t="str">
        <f>[1]Sheet1!N165</f>
        <v>No</v>
      </c>
      <c r="O165" s="221">
        <f>[1]Sheet1!O165</f>
        <v>0</v>
      </c>
      <c r="P165" s="221">
        <f>[1]Sheet1!P165</f>
        <v>0</v>
      </c>
      <c r="Q165" s="221" t="str">
        <f>[1]Sheet1!Q165</f>
        <v>Otro</v>
      </c>
      <c r="R165" s="221" t="str">
        <f>[1]Sheet1!R165</f>
        <v xml:space="preserve">Actualmente, los estudiantes y la institución enfrentan dificultades para gestionar cambios académicos, financieros y administrativos de manera eficiente, afectando la experiencia del estudiante y la gestión interna.
</v>
      </c>
      <c r="S165" s="221" t="str">
        <f>[1]Sheet1!S165</f>
        <v>Ver archivo adjunto con información del requerimiento. Link: https://educorpperu.sharepoint.com/:x:/s/Repositorio_EquipoCentral/dit/portafoliosyp/IQBPjj-nPuoDQbtwySJjx2sbAR4Cx0FwHcOnpoZf6N5wGdw?e=Qxpak7</v>
      </c>
      <c r="T165" s="221" t="str">
        <f>[1]Sheet1!T165</f>
        <v xml:space="preserve">Ver archivo adjunto con información del requerimiento. Link: https://educorpperu.sharepoint.com/:x:/s/Repositorio_EquipoCentral/dit/portafoliosyp/IQBPjj-nPuoDQbtwySJjx2sbAR4Cx0FwHcOnpoZf6N5wGdw?e=Qxpak8
</v>
      </c>
      <c r="U165" s="221" t="str">
        <f>[1]Sheet1!U165</f>
        <v>Alumnos</v>
      </c>
      <c r="V165" s="221" t="str">
        <f>[1]Sheet1!V165</f>
        <v>Excelencia operativa</v>
      </c>
      <c r="W165" s="221" t="str">
        <f>[1]Sheet1!W165</f>
        <v>Si</v>
      </c>
      <c r="X165" s="221" t="str">
        <f>[1]Sheet1!X165</f>
        <v>No cuantificado o S/0</v>
      </c>
      <c r="Y165" s="221"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59"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59">
        <f>[1]Sheet1!AA165</f>
        <v>1.2000000000000002</v>
      </c>
    </row>
    <row r="166" spans="1:27" ht="18.600000000000001" customHeight="1">
      <c r="A166" s="59">
        <f>[1]Sheet1!A166</f>
        <v>192</v>
      </c>
      <c r="B166" s="220">
        <f>[1]Sheet1!B166</f>
        <v>46169.662511574097</v>
      </c>
      <c r="C166" s="220">
        <f>[1]Sheet1!C166</f>
        <v>46169.665196759299</v>
      </c>
      <c r="D166" s="221" t="str">
        <f>[1]Sheet1!D166</f>
        <v>renzo.saenz@laureate.pe</v>
      </c>
      <c r="E166" s="221" t="str">
        <f>[1]Sheet1!E166</f>
        <v>Renzo Sáenz Dávila</v>
      </c>
      <c r="F166" s="221" t="str">
        <f>[1]Sheet1!F166</f>
        <v>[282] Recálculo de cuotas</v>
      </c>
      <c r="G166" s="221"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221" t="str">
        <f>[1]Sheet1!H166</f>
        <v>UPC</v>
      </c>
      <c r="I166" s="221" t="str">
        <f>[1]Sheet1!I166</f>
        <v>Alex Pendavis - VP Finanzas</v>
      </c>
      <c r="J166" s="221" t="str">
        <f>[1]Sheet1!J166</f>
        <v>Rafael Andrade</v>
      </c>
      <c r="K166" s="221"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221" t="str">
        <f>[1]Sheet1!L166</f>
        <v>Ninguno</v>
      </c>
      <c r="M166" s="151">
        <f>[1]Sheet1!M166</f>
        <v>46234</v>
      </c>
      <c r="N166" s="151" t="str">
        <f>[1]Sheet1!N166</f>
        <v>No</v>
      </c>
      <c r="O166" s="221">
        <f>[1]Sheet1!O166</f>
        <v>0</v>
      </c>
      <c r="P166" s="221">
        <f>[1]Sheet1!P166</f>
        <v>0</v>
      </c>
      <c r="Q166" s="221" t="str">
        <f>[1]Sheet1!Q166</f>
        <v>Otro</v>
      </c>
      <c r="R166" s="221" t="str">
        <f>[1]Sheet1!R166</f>
        <v xml:space="preserve">Actualmente, los estudiantes y la institución enfrentan dificultades para gestionar cambios académicos, financieros y administrativos de manera eficiente, afectando la experiencia del estudiante y la gestión interna.
</v>
      </c>
      <c r="S166" s="221" t="str">
        <f>[1]Sheet1!S166</f>
        <v>Ver archivo adjunto con información del requerimiento. Link: https://educorpperu.sharepoint.com/:x:/s/Repositorio_EquipoCentral/dit/portafoliosyp/IQBPjj-nPuoDQbtwySJjx2sbAR4Cx0FwHcOnpoZf6N5wGdw?e=Qxpak7</v>
      </c>
      <c r="T166" s="221" t="str">
        <f>[1]Sheet1!T166</f>
        <v xml:space="preserve">Ver archivo adjunto con información del requerimiento. Link: https://educorpperu.sharepoint.com/:x:/s/Repositorio_EquipoCentral/dit/portafoliosyp/IQBPjj-nPuoDQbtwySJjx2sbAR4Cx0FwHcOnpoZf6N5wGdw?e=Qxpak9
</v>
      </c>
      <c r="U166" s="221" t="str">
        <f>[1]Sheet1!U166</f>
        <v>Alumnos</v>
      </c>
      <c r="V166" s="221" t="str">
        <f>[1]Sheet1!V166</f>
        <v>Excelencia operativa</v>
      </c>
      <c r="W166" s="221" t="str">
        <f>[1]Sheet1!W166</f>
        <v>Si</v>
      </c>
      <c r="X166" s="221" t="str">
        <f>[1]Sheet1!X166</f>
        <v>No cuantificado o S/0</v>
      </c>
      <c r="Y166" s="221"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59"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59">
        <f>[1]Sheet1!AA166</f>
        <v>1.2000000000000002</v>
      </c>
    </row>
    <row r="167" spans="1:27" ht="31.5" customHeight="1">
      <c r="A167" s="59">
        <f>[1]Sheet1!A167</f>
        <v>193</v>
      </c>
      <c r="B167" s="220">
        <f>[1]Sheet1!B167</f>
        <v>46169.665486111102</v>
      </c>
      <c r="C167" s="220">
        <f>[1]Sheet1!C167</f>
        <v>46169.667557870402</v>
      </c>
      <c r="D167" s="221" t="str">
        <f>[1]Sheet1!D167</f>
        <v>renzo.saenz@laureate.pe</v>
      </c>
      <c r="E167" s="221" t="str">
        <f>[1]Sheet1!E167</f>
        <v>Renzo Sáenz Dávila</v>
      </c>
      <c r="F167" s="221" t="str">
        <f>[1]Sheet1!F167</f>
        <v>[283] Automatización de procesos operativos Emisión de comprobantes (estabilización con el cambio de proceso por Gema)</v>
      </c>
      <c r="G167" s="221"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221" t="str">
        <f>[1]Sheet1!H167</f>
        <v>UPC</v>
      </c>
      <c r="I167" s="221" t="str">
        <f>[1]Sheet1!I167</f>
        <v>Alex Pendavis - VP Finanzas</v>
      </c>
      <c r="J167" s="221" t="str">
        <f>[1]Sheet1!J167</f>
        <v>Rafael Andrade</v>
      </c>
      <c r="K167" s="221"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221" t="str">
        <f>[1]Sheet1!L167</f>
        <v>Ninguno</v>
      </c>
      <c r="M167" s="151">
        <f>[1]Sheet1!M167</f>
        <v>46234</v>
      </c>
      <c r="N167" s="151" t="str">
        <f>[1]Sheet1!N167</f>
        <v>No</v>
      </c>
      <c r="O167" s="221">
        <f>[1]Sheet1!O167</f>
        <v>0</v>
      </c>
      <c r="P167" s="221">
        <f>[1]Sheet1!P167</f>
        <v>0</v>
      </c>
      <c r="Q167" s="221" t="str">
        <f>[1]Sheet1!Q167</f>
        <v>Otro</v>
      </c>
      <c r="R167" s="221" t="str">
        <f>[1]Sheet1!R167</f>
        <v xml:space="preserve">Actualmente, los estudiantes y la institución enfrentan dificultades para gestionar cambios académicos, financieros y administrativos de manera eficiente, afectando la experiencia del estudiante y la gestión interna.
</v>
      </c>
      <c r="S167" s="221" t="str">
        <f>[1]Sheet1!S167</f>
        <v>Ver archivo adjunto con información del requerimiento. Link: https://educorpperu.sharepoint.com/:x:/s/Repositorio_EquipoCentral/dit/portafoliosyp/IQBPjj-nPuoDQbtwySJjx2sbAR4Cx0FwHcOnpoZf6N5wGdw?e=Qxpak7</v>
      </c>
      <c r="T167" s="221" t="str">
        <f>[1]Sheet1!T167</f>
        <v xml:space="preserve">Ver archivo adjunto con información del requerimiento. Link: https://educorpperu.sharepoint.com/:x:/s/Repositorio_EquipoCentral/dit/portafoliosyp/IQBPjj-nPuoDQbtwySJjx2sbAR4Cx0FwHcOnpoZf6N5wGdw?e=Qxpak10
</v>
      </c>
      <c r="U167" s="221" t="str">
        <f>[1]Sheet1!U167</f>
        <v>Alumnos</v>
      </c>
      <c r="V167" s="221" t="str">
        <f>[1]Sheet1!V167</f>
        <v>Excelencia operativa</v>
      </c>
      <c r="W167" s="221" t="str">
        <f>[1]Sheet1!W167</f>
        <v>Si</v>
      </c>
      <c r="X167" s="221" t="str">
        <f>[1]Sheet1!X167</f>
        <v>No cuantificado o S/0</v>
      </c>
      <c r="Y167" s="221"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59"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59">
        <f>[1]Sheet1!AA167</f>
        <v>1.2000000000000002</v>
      </c>
    </row>
    <row r="168" spans="1:27" ht="18.600000000000001" customHeight="1">
      <c r="A168" s="59">
        <f>[1]Sheet1!A168</f>
        <v>194</v>
      </c>
      <c r="B168" s="220">
        <f>[1]Sheet1!B168</f>
        <v>46169.667824074102</v>
      </c>
      <c r="C168" s="220">
        <f>[1]Sheet1!C168</f>
        <v>46169.671122685198</v>
      </c>
      <c r="D168" s="221" t="str">
        <f>[1]Sheet1!D168</f>
        <v>renzo.saenz@laureate.pe</v>
      </c>
      <c r="E168" s="221" t="str">
        <f>[1]Sheet1!E168</f>
        <v>Renzo Sáenz Dávila</v>
      </c>
      <c r="F168" s="221" t="str">
        <f>[1]Sheet1!F168</f>
        <v>[65] Clonación manual de cursos master</v>
      </c>
      <c r="G168" s="221"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221" t="str">
        <f>[1]Sheet1!H168</f>
        <v>UPC</v>
      </c>
      <c r="I168" s="221" t="str">
        <f>[1]Sheet1!I168</f>
        <v>Milagros Morgan - Rectorado UPC</v>
      </c>
      <c r="J168" s="221" t="str">
        <f>[1]Sheet1!J168</f>
        <v>Hector Viale</v>
      </c>
      <c r="K168" s="221"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221" t="str">
        <f>[1]Sheet1!L168</f>
        <v>Ninguno</v>
      </c>
      <c r="M168" s="151">
        <f>[1]Sheet1!M168</f>
        <v>46235</v>
      </c>
      <c r="N168" s="151" t="str">
        <f>[1]Sheet1!N168</f>
        <v>No</v>
      </c>
      <c r="O168" s="221">
        <f>[1]Sheet1!O168</f>
        <v>0</v>
      </c>
      <c r="P168" s="221">
        <f>[1]Sheet1!P168</f>
        <v>0</v>
      </c>
      <c r="Q168" s="221" t="str">
        <f>[1]Sheet1!Q168</f>
        <v>Otro</v>
      </c>
      <c r="R168" s="221" t="str">
        <f>[1]Sheet1!R168</f>
        <v xml:space="preserve">Actualmente, los estudiantes y la institución enfrentan dificultades para gestionar cambios académicos, financieros y administrativos de manera eficiente, afectando la experiencia del estudiante y la gestión interna.
</v>
      </c>
      <c r="S168" s="221" t="str">
        <f>[1]Sheet1!S168</f>
        <v>Ver archivo adjunto con información del requerimiento. Link: https://educorpperu.sharepoint.com/:x:/s/Repositorio_EquipoCentral/dit/portafoliosyp/IQBPjj-nPuoDQbtwySJjx2sbAR4Cx0FwHcOnpoZf6N5wGdw?e=Qxpak7</v>
      </c>
      <c r="T168" s="221" t="str">
        <f>[1]Sheet1!T168</f>
        <v xml:space="preserve">Ver archivo adjunto con información del requerimiento. Link: https://educorpperu.sharepoint.com/:x:/s/Repositorio_EquipoCentral/dit/portafoliosyp/IQBPjj-nPuoDQbtwySJjx2sbAR4Cx0FwHcOnpoZf6N5wGdw?e=Qxpak15
</v>
      </c>
      <c r="U168" s="221" t="str">
        <f>[1]Sheet1!U168</f>
        <v>Alumnos</v>
      </c>
      <c r="V168" s="221" t="str">
        <f>[1]Sheet1!V168</f>
        <v>Excelencia operativa</v>
      </c>
      <c r="W168" s="221" t="str">
        <f>[1]Sheet1!W168</f>
        <v>Si</v>
      </c>
      <c r="X168" s="221" t="str">
        <f>[1]Sheet1!X168</f>
        <v>No cuantificado o S/0</v>
      </c>
      <c r="Y168" s="221"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59"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59">
        <f>[1]Sheet1!AA168</f>
        <v>1.2000000000000002</v>
      </c>
    </row>
    <row r="169" spans="1:27" ht="18.600000000000001" customHeight="1">
      <c r="A169" s="59">
        <f>[1]Sheet1!A169</f>
        <v>195</v>
      </c>
      <c r="B169" s="220">
        <f>[1]Sheet1!B169</f>
        <v>46169.671412037002</v>
      </c>
      <c r="C169" s="220">
        <f>[1]Sheet1!C169</f>
        <v>46169.673622685201</v>
      </c>
      <c r="D169" s="221" t="str">
        <f>[1]Sheet1!D169</f>
        <v>renzo.saenz@laureate.pe</v>
      </c>
      <c r="E169" s="221" t="str">
        <f>[1]Sheet1!E169</f>
        <v>Renzo Sáenz Dávila</v>
      </c>
      <c r="F169" s="221" t="str">
        <f>[1]Sheet1!F169</f>
        <v>[284] Reportes y controles de Finanzas SOX</v>
      </c>
      <c r="G169" s="221"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221" t="str">
        <f>[1]Sheet1!H169</f>
        <v>UPC</v>
      </c>
      <c r="I169" s="221" t="str">
        <f>[1]Sheet1!I169</f>
        <v>Alex Pendavis - VP Finanzas</v>
      </c>
      <c r="J169" s="221" t="str">
        <f>[1]Sheet1!J169</f>
        <v>Rafael Andrade</v>
      </c>
      <c r="K169" s="221"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221" t="str">
        <f>[1]Sheet1!L169</f>
        <v>Ninguno</v>
      </c>
      <c r="M169" s="151">
        <f>[1]Sheet1!M169</f>
        <v>46234</v>
      </c>
      <c r="N169" s="151" t="str">
        <f>[1]Sheet1!N169</f>
        <v>No</v>
      </c>
      <c r="O169" s="221">
        <f>[1]Sheet1!O169</f>
        <v>0</v>
      </c>
      <c r="P169" s="221">
        <f>[1]Sheet1!P169</f>
        <v>0</v>
      </c>
      <c r="Q169" s="221" t="str">
        <f>[1]Sheet1!Q169</f>
        <v>Otro</v>
      </c>
      <c r="R169" s="221" t="str">
        <f>[1]Sheet1!R169</f>
        <v xml:space="preserve">Actualmente, los estudiantes y la institución enfrentan dificultades para gestionar cambios académicos, financieros y administrativos de manera eficiente, afectando la experiencia del estudiante y la gestión interna.
</v>
      </c>
      <c r="S169" s="221" t="str">
        <f>[1]Sheet1!S169</f>
        <v>Ver archivo adjunto con información del requerimiento. Link: https://educorpperu.sharepoint.com/:x:/s/Repositorio_EquipoCentral/dit/portafoliosyp/IQBPjj-nPuoDQbtwySJjx2sbAR4Cx0FwHcOnpoZf6N5wGdw?e=Qxpak7</v>
      </c>
      <c r="T169" s="221" t="str">
        <f>[1]Sheet1!T169</f>
        <v xml:space="preserve">Ver archivo adjunto con información del requerimiento. Link: https://educorpperu.sharepoint.com/:x:/s/Repositorio_EquipoCentral/dit/portafoliosyp/IQBPjj-nPuoDQbtwySJjx2sbAR4Cx0FwHcOnpoZf6N5wGdw?e=Qxpak18
</v>
      </c>
      <c r="U169" s="221" t="str">
        <f>[1]Sheet1!U169</f>
        <v>Alumnos</v>
      </c>
      <c r="V169" s="221" t="str">
        <f>[1]Sheet1!V169</f>
        <v>Excelencia operativa</v>
      </c>
      <c r="W169" s="221" t="str">
        <f>[1]Sheet1!W169</f>
        <v>Si</v>
      </c>
      <c r="X169" s="221" t="str">
        <f>[1]Sheet1!X169</f>
        <v>No cuantificado o S/0</v>
      </c>
      <c r="Y169" s="221"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59"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59">
        <f>[1]Sheet1!AA169</f>
        <v>1.2000000000000002</v>
      </c>
    </row>
    <row r="170" spans="1:27" ht="24" customHeight="1">
      <c r="A170" s="59">
        <f>[1]Sheet1!A170</f>
        <v>196</v>
      </c>
      <c r="B170" s="220">
        <f>[1]Sheet1!B170</f>
        <v>46169.674108796302</v>
      </c>
      <c r="C170" s="220">
        <f>[1]Sheet1!C170</f>
        <v>46169.677812499998</v>
      </c>
      <c r="D170" s="221" t="str">
        <f>[1]Sheet1!D170</f>
        <v>renzo.saenz@laureate.pe</v>
      </c>
      <c r="E170" s="221" t="str">
        <f>[1]Sheet1!E170</f>
        <v>Renzo Sáenz Dávila</v>
      </c>
      <c r="F170" s="221" t="str">
        <f>[1]Sheet1!F170</f>
        <v>[211] Cambio de modalidad: MDDU para registro de cambio de modalidad de estudios</v>
      </c>
      <c r="G170" s="221"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221" t="str">
        <f>[1]Sheet1!H170</f>
        <v>UPC</v>
      </c>
      <c r="I170" s="221" t="str">
        <f>[1]Sheet1!I170</f>
        <v>Milagros Morgan - Rectorado UPC</v>
      </c>
      <c r="J170" s="221" t="str">
        <f>[1]Sheet1!J170</f>
        <v>Manuel Cortéz</v>
      </c>
      <c r="K170" s="221"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221" t="str">
        <f>[1]Sheet1!L170</f>
        <v>Ninguno</v>
      </c>
      <c r="M170" s="151">
        <f>[1]Sheet1!M170</f>
        <v>46234</v>
      </c>
      <c r="N170" s="151" t="str">
        <f>[1]Sheet1!N170</f>
        <v>No</v>
      </c>
      <c r="O170" s="221">
        <f>[1]Sheet1!O170</f>
        <v>0</v>
      </c>
      <c r="P170" s="221">
        <f>[1]Sheet1!P170</f>
        <v>0</v>
      </c>
      <c r="Q170" s="221" t="str">
        <f>[1]Sheet1!Q170</f>
        <v>Otro</v>
      </c>
      <c r="R170" s="221" t="str">
        <f>[1]Sheet1!R170</f>
        <v xml:space="preserve">Actualmente, los estudiantes y la institución enfrentan dificultades para gestionar cambios académicos, financieros y administrativos de manera eficiente, afectando la experiencia del estudiante y la gestión interna.
</v>
      </c>
      <c r="S170" s="221" t="str">
        <f>[1]Sheet1!S170</f>
        <v>Ver archivo adjunto con información del requerimiento. Link: https://educorpperu.sharepoint.com/:x:/s/Repositorio_EquipoCentral/dit/portafoliosyp/IQBPjj-nPuoDQbtwySJjx2sbAR4Cx0FwHcOnpoZf6N5wGdw?e=Qxpak7</v>
      </c>
      <c r="T170" s="221" t="str">
        <f>[1]Sheet1!T170</f>
        <v xml:space="preserve">Ver archivo adjunto con información del requerimiento. Link: https://educorpperu.sharepoint.com/:x:/s/Repositorio_EquipoCentral/dit/portafoliosyp/IQBPjj-nPuoDQbtwySJjx2sbAR4Cx0FwHcOnpoZf6N5wGdw?e=Qxpak20
</v>
      </c>
      <c r="U170" s="221" t="str">
        <f>[1]Sheet1!U170</f>
        <v>Alumnos</v>
      </c>
      <c r="V170" s="221" t="str">
        <f>[1]Sheet1!V170</f>
        <v>Excelencia operativa</v>
      </c>
      <c r="W170" s="221" t="str">
        <f>[1]Sheet1!W170</f>
        <v>Si</v>
      </c>
      <c r="X170" s="221" t="str">
        <f>[1]Sheet1!X170</f>
        <v>No cuantificado o S/0</v>
      </c>
      <c r="Y170" s="221"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59"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59">
        <f>[1]Sheet1!AA170</f>
        <v>1.2000000000000002</v>
      </c>
    </row>
    <row r="171" spans="1:27" ht="18.600000000000001" customHeight="1">
      <c r="A171" s="59">
        <f>[1]Sheet1!A171</f>
        <v>197</v>
      </c>
      <c r="B171" s="220">
        <f>[1]Sheet1!B171</f>
        <v>46169.678715277798</v>
      </c>
      <c r="C171" s="220">
        <f>[1]Sheet1!C171</f>
        <v>46169.680648148104</v>
      </c>
      <c r="D171" s="221" t="str">
        <f>[1]Sheet1!D171</f>
        <v>renzo.saenz@laureate.pe</v>
      </c>
      <c r="E171" s="221" t="str">
        <f>[1]Sheet1!E171</f>
        <v>Renzo Sáenz Dávila</v>
      </c>
      <c r="F171" s="221" t="str">
        <f>[1]Sheet1!F171</f>
        <v>[119] Corrección de asistencia docente extraacademicos </v>
      </c>
      <c r="G171" s="221"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221" t="str">
        <f>[1]Sheet1!H171</f>
        <v>UPC</v>
      </c>
      <c r="I171" s="221" t="str">
        <f>[1]Sheet1!I171</f>
        <v>Milagros Morgan - Rectorado UPC</v>
      </c>
      <c r="J171" s="221" t="str">
        <f>[1]Sheet1!J171</f>
        <v>Javiera Alcazar</v>
      </c>
      <c r="K171" s="221"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221" t="str">
        <f>[1]Sheet1!L171</f>
        <v>Ninguno</v>
      </c>
      <c r="M171" s="151">
        <f>[1]Sheet1!M171</f>
        <v>46160</v>
      </c>
      <c r="N171" s="151" t="str">
        <f>[1]Sheet1!N171</f>
        <v>No</v>
      </c>
      <c r="O171" s="221">
        <f>[1]Sheet1!O171</f>
        <v>0</v>
      </c>
      <c r="P171" s="221">
        <f>[1]Sheet1!P171</f>
        <v>0</v>
      </c>
      <c r="Q171" s="221" t="str">
        <f>[1]Sheet1!Q171</f>
        <v>Otro</v>
      </c>
      <c r="R171" s="221" t="str">
        <f>[1]Sheet1!R171</f>
        <v xml:space="preserve">Actualmente, los estudiantes y la institución enfrentan dificultades para gestionar cambios académicos, financieros y administrativos de manera eficiente, afectando la experiencia del estudiante y la gestión interna.
</v>
      </c>
      <c r="S171" s="221" t="str">
        <f>[1]Sheet1!S171</f>
        <v>Ver archivo adjunto con información del requerimiento. Link: https://educorpperu.sharepoint.com/:x:/s/Repositorio_EquipoCentral/dit/portafoliosyp/IQBPjj-nPuoDQbtwySJjx2sbAR4Cx0FwHcOnpoZf6N5wGdw?e=Qxpak7</v>
      </c>
      <c r="T171" s="221" t="str">
        <f>[1]Sheet1!T171</f>
        <v xml:space="preserve">Ver archivo adjunto con información del requerimiento. Link: https://educorpperu.sharepoint.com/:x:/s/Repositorio_EquipoCentral/dit/portafoliosyp/IQBPjj-nPuoDQbtwySJjx2sbAR4Cx0FwHcOnpoZf6N5wGdw?e=Qxpak21
</v>
      </c>
      <c r="U171" s="221" t="str">
        <f>[1]Sheet1!U171</f>
        <v>Alumnos</v>
      </c>
      <c r="V171" s="221" t="str">
        <f>[1]Sheet1!V171</f>
        <v>Excelencia operativa</v>
      </c>
      <c r="W171" s="221" t="str">
        <f>[1]Sheet1!W171</f>
        <v>Si</v>
      </c>
      <c r="X171" s="221" t="str">
        <f>[1]Sheet1!X171</f>
        <v>No cuantificado o S/0</v>
      </c>
      <c r="Y171" s="221"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59"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59">
        <f>[1]Sheet1!AA171</f>
        <v>1.2000000000000002</v>
      </c>
    </row>
    <row r="172" spans="1:27" ht="18.600000000000001" customHeight="1">
      <c r="A172" s="59">
        <f>[1]Sheet1!A172</f>
        <v>198</v>
      </c>
      <c r="B172" s="220">
        <f>[1]Sheet1!B172</f>
        <v>46169.681030092601</v>
      </c>
      <c r="C172" s="220">
        <f>[1]Sheet1!C172</f>
        <v>46169.684328703697</v>
      </c>
      <c r="D172" s="221" t="str">
        <f>[1]Sheet1!D172</f>
        <v>renzo.saenz@laureate.pe</v>
      </c>
      <c r="E172" s="221" t="str">
        <f>[1]Sheet1!E172</f>
        <v>Renzo Sáenz Dávila</v>
      </c>
      <c r="F172" s="221" t="str">
        <f>[1]Sheet1!F172</f>
        <v>[120] Reprogramacion de clase extraacademicos</v>
      </c>
      <c r="G172" s="221"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221" t="str">
        <f>[1]Sheet1!H172</f>
        <v>UPC</v>
      </c>
      <c r="I172" s="221" t="str">
        <f>[1]Sheet1!I172</f>
        <v>Milagros Morgan - Rectorado UPC</v>
      </c>
      <c r="J172" s="221" t="str">
        <f>[1]Sheet1!J172</f>
        <v>Javiera Alcazar</v>
      </c>
      <c r="K172" s="221"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221" t="str">
        <f>[1]Sheet1!L172</f>
        <v>Ninguno</v>
      </c>
      <c r="M172" s="151">
        <f>[1]Sheet1!M172</f>
        <v>46160</v>
      </c>
      <c r="N172" s="151" t="str">
        <f>[1]Sheet1!N172</f>
        <v>No</v>
      </c>
      <c r="O172" s="221">
        <f>[1]Sheet1!O172</f>
        <v>0</v>
      </c>
      <c r="P172" s="221">
        <f>[1]Sheet1!P172</f>
        <v>0</v>
      </c>
      <c r="Q172" s="221" t="str">
        <f>[1]Sheet1!Q172</f>
        <v>Otro</v>
      </c>
      <c r="R172" s="221" t="str">
        <f>[1]Sheet1!R172</f>
        <v xml:space="preserve">Actualmente, los estudiantes y la institución enfrentan dificultades para gestionar cambios académicos, financieros y administrativos de manera eficiente, afectando la experiencia del estudiante y la gestión interna.
</v>
      </c>
      <c r="S172" s="221" t="str">
        <f>[1]Sheet1!S172</f>
        <v>Ver archivo adjunto con información del requerimiento. Link: https://educorpperu.sharepoint.com/:x:/s/Repositorio_EquipoCentral/dit/portafoliosyp/IQBPjj-nPuoDQbtwySJjx2sbAR4Cx0FwHcOnpoZf6N5wGdw?e=Qxpak7</v>
      </c>
      <c r="T172" s="221" t="str">
        <f>[1]Sheet1!T172</f>
        <v xml:space="preserve">Ver archivo adjunto con información del requerimiento. Link: https://educorpperu.sharepoint.com/:x:/s/Repositorio_EquipoCentral/dit/portafoliosyp/IQBPjj-nPuoDQbtwySJjx2sbAR4Cx0FwHcOnpoZf6N5wGdw?e=Qxpak22
</v>
      </c>
      <c r="U172" s="221" t="str">
        <f>[1]Sheet1!U172</f>
        <v>Alumnos</v>
      </c>
      <c r="V172" s="221" t="str">
        <f>[1]Sheet1!V172</f>
        <v>Excelencia operativa</v>
      </c>
      <c r="W172" s="221" t="str">
        <f>[1]Sheet1!W172</f>
        <v>Si</v>
      </c>
      <c r="X172" s="221" t="str">
        <f>[1]Sheet1!X172</f>
        <v>No cuantificado o S/0</v>
      </c>
      <c r="Y172" s="221"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59"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59">
        <f>[1]Sheet1!AA172</f>
        <v>1.2000000000000002</v>
      </c>
    </row>
    <row r="173" spans="1:27" ht="18.600000000000001" customHeight="1">
      <c r="A173" s="59">
        <f>[1]Sheet1!A173</f>
        <v>199</v>
      </c>
      <c r="B173" s="220">
        <f>[1]Sheet1!B173</f>
        <v>46169.684861111098</v>
      </c>
      <c r="C173" s="220">
        <f>[1]Sheet1!C173</f>
        <v>46169.686886574098</v>
      </c>
      <c r="D173" s="221" t="str">
        <f>[1]Sheet1!D173</f>
        <v>renzo.saenz@laureate.pe</v>
      </c>
      <c r="E173" s="221" t="str">
        <f>[1]Sheet1!E173</f>
        <v>Renzo Sáenz Dávila</v>
      </c>
      <c r="F173" s="221" t="str">
        <f>[1]Sheet1!F173</f>
        <v>[121] Corrección de evaluaciones extraacademicos</v>
      </c>
      <c r="G173" s="221"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221" t="str">
        <f>[1]Sheet1!H173</f>
        <v>UPC</v>
      </c>
      <c r="I173" s="221" t="str">
        <f>[1]Sheet1!I173</f>
        <v>Milagros Morgan - Rectorado UPC</v>
      </c>
      <c r="J173" s="221" t="str">
        <f>[1]Sheet1!J173</f>
        <v>Javiera Alcazar</v>
      </c>
      <c r="K173" s="221"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221" t="str">
        <f>[1]Sheet1!L173</f>
        <v>Ninguno</v>
      </c>
      <c r="M173" s="151">
        <f>[1]Sheet1!M173</f>
        <v>46160</v>
      </c>
      <c r="N173" s="151" t="str">
        <f>[1]Sheet1!N173</f>
        <v>No</v>
      </c>
      <c r="O173" s="221">
        <f>[1]Sheet1!O173</f>
        <v>0</v>
      </c>
      <c r="P173" s="221">
        <f>[1]Sheet1!P173</f>
        <v>0</v>
      </c>
      <c r="Q173" s="221" t="str">
        <f>[1]Sheet1!Q173</f>
        <v>Otro</v>
      </c>
      <c r="R173" s="221" t="str">
        <f>[1]Sheet1!R173</f>
        <v xml:space="preserve">Actualmente, los estudiantes y la institución enfrentan dificultades para gestionar cambios académicos, financieros y administrativos de manera eficiente, afectando la experiencia del estudiante y la gestión interna.
</v>
      </c>
      <c r="S173" s="221" t="str">
        <f>[1]Sheet1!S173</f>
        <v>Ver archivo adjunto con información del requerimiento. Link: https://educorpperu.sharepoint.com/:x:/s/Repositorio_EquipoCentral/dit/portafoliosyp/IQBPjj-nPuoDQbtwySJjx2sbAR4Cx0FwHcOnpoZf6N5wGdw?e=Qxpak7</v>
      </c>
      <c r="T173" s="221" t="str">
        <f>[1]Sheet1!T173</f>
        <v xml:space="preserve">Ver archivo adjunto con información del requerimiento. Link: https://educorpperu.sharepoint.com/:x:/s/Repositorio_EquipoCentral/dit/portafoliosyp/IQBPjj-nPuoDQbtwySJjx2sbAR4Cx0FwHcOnpoZf6N5wGdw?e=Qxpak23
</v>
      </c>
      <c r="U173" s="221" t="str">
        <f>[1]Sheet1!U173</f>
        <v>Alumnos</v>
      </c>
      <c r="V173" s="221" t="str">
        <f>[1]Sheet1!V173</f>
        <v>Excelencia operativa</v>
      </c>
      <c r="W173" s="221" t="str">
        <f>[1]Sheet1!W173</f>
        <v>Si</v>
      </c>
      <c r="X173" s="221" t="str">
        <f>[1]Sheet1!X173</f>
        <v>No cuantificado o S/0</v>
      </c>
      <c r="Y173" s="221"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59"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59">
        <f>[1]Sheet1!AA173</f>
        <v>1.2000000000000002</v>
      </c>
    </row>
    <row r="174" spans="1:27" ht="18.600000000000001" customHeight="1">
      <c r="A174" s="59">
        <f>[1]Sheet1!A174</f>
        <v>200</v>
      </c>
      <c r="B174" s="220">
        <f>[1]Sheet1!B174</f>
        <v>46169.686944444402</v>
      </c>
      <c r="C174" s="220">
        <f>[1]Sheet1!C174</f>
        <v>46169.690324074101</v>
      </c>
      <c r="D174" s="221" t="str">
        <f>[1]Sheet1!D174</f>
        <v>renzo.saenz@laureate.pe</v>
      </c>
      <c r="E174" s="221" t="str">
        <f>[1]Sheet1!E174</f>
        <v>Renzo Sáenz Dávila</v>
      </c>
      <c r="F174" s="221"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221"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221" t="str">
        <f>[1]Sheet1!H174</f>
        <v>UPC</v>
      </c>
      <c r="I174" s="221" t="str">
        <f>[1]Sheet1!I174</f>
        <v>Milagros Morgan - Rectorado UPC</v>
      </c>
      <c r="J174" s="221" t="str">
        <f>[1]Sheet1!J174</f>
        <v>Manuel Cortéz</v>
      </c>
      <c r="K174" s="221"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221" t="str">
        <f>[1]Sheet1!L174</f>
        <v>Ninguno</v>
      </c>
      <c r="M174" s="151">
        <f>[1]Sheet1!M174</f>
        <v>46387</v>
      </c>
      <c r="N174" s="151" t="str">
        <f>[1]Sheet1!N174</f>
        <v>No</v>
      </c>
      <c r="O174" s="221">
        <f>[1]Sheet1!O174</f>
        <v>0</v>
      </c>
      <c r="P174" s="221">
        <f>[1]Sheet1!P174</f>
        <v>0</v>
      </c>
      <c r="Q174" s="221" t="str">
        <f>[1]Sheet1!Q174</f>
        <v>Otro</v>
      </c>
      <c r="R174" s="221" t="str">
        <f>[1]Sheet1!R174</f>
        <v xml:space="preserve">Actualmente, los estudiantes y la institución enfrentan dificultades para gestionar cambios académicos, financieros y administrativos de manera eficiente, afectando la experiencia del estudiante y la gestión interna.
</v>
      </c>
      <c r="S174" s="221" t="str">
        <f>[1]Sheet1!S174</f>
        <v>Ver archivo adjunto con información del requerimiento. Link: https://educorpperu.sharepoint.com/:x:/s/Repositorio_EquipoCentral/dit/portafoliosyp/IQBPjj-nPuoDQbtwySJjx2sbAR4Cx0FwHcOnpoZf6N5wGdw?e=Qxpak7</v>
      </c>
      <c r="T174" s="221" t="str">
        <f>[1]Sheet1!T174</f>
        <v xml:space="preserve">Ver archivo adjunto con información del requerimiento. Link: https://educorpperu.sharepoint.com/:x:/s/Repositorio_EquipoCentral/dit/portafoliosyp/IQBPjj-nPuoDQbtwySJjx2sbAR4Cx0FwHcOnpoZf6N5wGdw?e=Qxpak26
</v>
      </c>
      <c r="U174" s="221" t="str">
        <f>[1]Sheet1!U174</f>
        <v>Alumnos</v>
      </c>
      <c r="V174" s="221" t="str">
        <f>[1]Sheet1!V174</f>
        <v>Excelencia operativa</v>
      </c>
      <c r="W174" s="221" t="str">
        <f>[1]Sheet1!W174</f>
        <v>Si</v>
      </c>
      <c r="X174" s="221" t="str">
        <f>[1]Sheet1!X174</f>
        <v>No cuantificado o S/0</v>
      </c>
      <c r="Y174" s="221"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59"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59">
        <f>[1]Sheet1!AA174</f>
        <v>1.2000000000000002</v>
      </c>
    </row>
    <row r="175" spans="1:27" ht="18.600000000000001" customHeight="1">
      <c r="A175" s="311">
        <f>[1]Sheet1!A175</f>
        <v>201</v>
      </c>
      <c r="B175" s="220">
        <f>[1]Sheet1!B175</f>
        <v>46169.649259259299</v>
      </c>
      <c r="C175" s="220">
        <f>[1]Sheet1!C175</f>
        <v>46169.741365740701</v>
      </c>
      <c r="D175" s="221" t="str">
        <f>[1]Sheet1!D175</f>
        <v>davies.galdos@laureate.pe</v>
      </c>
      <c r="E175" s="221" t="str">
        <f>[1]Sheet1!E175</f>
        <v>Davies Galdos Yactayo</v>
      </c>
      <c r="F175" s="221" t="str">
        <f>[1]Sheet1!F175</f>
        <v>[194] - Reanudación de estudios</v>
      </c>
      <c r="G175" s="221"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221" t="str">
        <f>[1]Sheet1!H175</f>
        <v>UPC</v>
      </c>
      <c r="I175" s="221" t="str">
        <f>[1]Sheet1!I175</f>
        <v>Milagros Morgan - Rectorado UPC</v>
      </c>
      <c r="J175" s="221" t="str">
        <f>[1]Sheet1!J175</f>
        <v>Miguel Chang</v>
      </c>
      <c r="K175" s="221"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221" t="str">
        <f>[1]Sheet1!L175</f>
        <v>Ninguno</v>
      </c>
      <c r="M175" s="151">
        <f>[1]Sheet1!M175</f>
        <v>46387</v>
      </c>
      <c r="N175" s="151" t="str">
        <f>[1]Sheet1!N175</f>
        <v>No</v>
      </c>
      <c r="O175" s="221">
        <f>[1]Sheet1!O175</f>
        <v>0</v>
      </c>
      <c r="P175" s="221">
        <f>[1]Sheet1!P175</f>
        <v>0</v>
      </c>
      <c r="Q175" s="221" t="str">
        <f>[1]Sheet1!Q175</f>
        <v>Otro</v>
      </c>
      <c r="R175" s="221"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221" t="str">
        <f>[1]Sheet1!S175</f>
        <v>Ver archivo adjunto con información del requerimiento. Link: https://educorpperu-my.sharepoint.com/:x:/g/personal/diana_zapata_laureate_pe1/IQA4jws3Zxk9RI9Zb6WbpNsKAcXE0uImyxpnyZg5Gbjzhbs?e=3Ggumx</v>
      </c>
      <c r="T175" s="221" t="str">
        <f>[1]Sheet1!T175</f>
        <v>Ver archivo adjunto con información del requerimiento. Link: https://educorpperu-my.sharepoint.com/:x:/g/personal/diana_zapata_laureate_pe1/IQA4jws3Zxk9RI9Zb6WbpNsKAcXE0uImyxpnyZg5Gbjzhbs?e=3Ggumx</v>
      </c>
      <c r="U175" s="221" t="str">
        <f>[1]Sheet1!U175</f>
        <v>Alumnos</v>
      </c>
      <c r="V175" s="221" t="str">
        <f>[1]Sheet1!V175</f>
        <v>Excelencia operativa</v>
      </c>
      <c r="W175" s="221" t="str">
        <f>[1]Sheet1!W175</f>
        <v>Si</v>
      </c>
      <c r="X175" s="221" t="str">
        <f>[1]Sheet1!X175</f>
        <v>No cuantificado o S/0</v>
      </c>
      <c r="Y175" s="221"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59"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59">
        <f>[1]Sheet1!AA175</f>
        <v>1.2000000000000002</v>
      </c>
    </row>
    <row r="176" spans="1:27" ht="18.600000000000001" customHeight="1">
      <c r="A176" s="311">
        <f>[1]Sheet1!A176</f>
        <v>202</v>
      </c>
      <c r="B176" s="220">
        <f>[1]Sheet1!B176</f>
        <v>46169.741724537002</v>
      </c>
      <c r="C176" s="220">
        <f>[1]Sheet1!C176</f>
        <v>46169.745104166701</v>
      </c>
      <c r="D176" s="221" t="str">
        <f>[1]Sheet1!D176</f>
        <v>davies.galdos@laureate.pe</v>
      </c>
      <c r="E176" s="221" t="str">
        <f>[1]Sheet1!E176</f>
        <v>Davies Galdos Yactayo</v>
      </c>
      <c r="F176" s="221" t="str">
        <f>[1]Sheet1!F176</f>
        <v>[16] - Tramite de Solicitudes de Deportistas Destacados</v>
      </c>
      <c r="G176" s="221"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221" t="str">
        <f>[1]Sheet1!H176</f>
        <v>UPC</v>
      </c>
      <c r="I176" s="221" t="str">
        <f>[1]Sheet1!I176</f>
        <v>Milagros Morgan - Rectorado UPC</v>
      </c>
      <c r="J176" s="221" t="str">
        <f>[1]Sheet1!J176</f>
        <v>Javiera Alcazar</v>
      </c>
      <c r="K176" s="221"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221" t="str">
        <f>[1]Sheet1!L176</f>
        <v>Ninguno</v>
      </c>
      <c r="M176" s="151">
        <f>[1]Sheet1!M176</f>
        <v>46387</v>
      </c>
      <c r="N176" s="151" t="str">
        <f>[1]Sheet1!N176</f>
        <v>No</v>
      </c>
      <c r="O176" s="221">
        <f>[1]Sheet1!O176</f>
        <v>0</v>
      </c>
      <c r="P176" s="221">
        <f>[1]Sheet1!P176</f>
        <v>0</v>
      </c>
      <c r="Q176" s="221" t="str">
        <f>[1]Sheet1!Q176</f>
        <v>Otro</v>
      </c>
      <c r="R176" s="221"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221" t="str">
        <f>[1]Sheet1!S176</f>
        <v>Ver archivo adjunto con información del requerimiento. Link: https://educorpperu-my.sharepoint.com/:x:/g/personal/diana_zapata_laureate_pe1/IQA4jws3Zxk9RI9Zb6WbpNsKAcXE0uImyxpnyZg5Gbjzhbs?e=3Ggumx</v>
      </c>
      <c r="T176" s="221"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221" t="str">
        <f>[1]Sheet1!U176</f>
        <v>Alumnos</v>
      </c>
      <c r="V176" s="221" t="str">
        <f>[1]Sheet1!V176</f>
        <v>Excelencia operativa</v>
      </c>
      <c r="W176" s="221" t="str">
        <f>[1]Sheet1!W176</f>
        <v>Si</v>
      </c>
      <c r="X176" s="221" t="str">
        <f>[1]Sheet1!X176</f>
        <v>No cuantificado o S/0</v>
      </c>
      <c r="Y176" s="221"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59"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59">
        <f>[1]Sheet1!AA176</f>
        <v>1.2000000000000002</v>
      </c>
    </row>
    <row r="177" spans="1:27" ht="18.600000000000001" customHeight="1">
      <c r="A177" s="311">
        <f>[1]Sheet1!A177</f>
        <v>203</v>
      </c>
      <c r="B177" s="220">
        <f>[1]Sheet1!B177</f>
        <v>46169.747037036999</v>
      </c>
      <c r="C177" s="220">
        <f>[1]Sheet1!C177</f>
        <v>46169.749363425901</v>
      </c>
      <c r="D177" s="221" t="str">
        <f>[1]Sheet1!D177</f>
        <v>davies.galdos@laureate.pe</v>
      </c>
      <c r="E177" s="221" t="str">
        <f>[1]Sheet1!E177</f>
        <v>Davies Galdos Yactayo</v>
      </c>
      <c r="F177" s="221" t="str">
        <f>[1]Sheet1!F177</f>
        <v>[113] - Trámite de reprogramación de clases</v>
      </c>
      <c r="G177" s="221"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221" t="str">
        <f>[1]Sheet1!H177</f>
        <v>UPC</v>
      </c>
      <c r="I177" s="221" t="str">
        <f>[1]Sheet1!I177</f>
        <v>Milagros Morgan - Rectorado UPC</v>
      </c>
      <c r="J177" s="221" t="str">
        <f>[1]Sheet1!J177</f>
        <v>Miguel Chang</v>
      </c>
      <c r="K177" s="221"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221" t="str">
        <f>[1]Sheet1!L177</f>
        <v>Ninguno</v>
      </c>
      <c r="M177" s="151">
        <f>[1]Sheet1!M177</f>
        <v>46387</v>
      </c>
      <c r="N177" s="151" t="str">
        <f>[1]Sheet1!N177</f>
        <v>No</v>
      </c>
      <c r="O177" s="221">
        <f>[1]Sheet1!O177</f>
        <v>0</v>
      </c>
      <c r="P177" s="221">
        <f>[1]Sheet1!P177</f>
        <v>0</v>
      </c>
      <c r="Q177" s="221" t="str">
        <f>[1]Sheet1!Q177</f>
        <v>Otro</v>
      </c>
      <c r="R177" s="221"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221" t="str">
        <f>[1]Sheet1!S177</f>
        <v>Ver archivo adjunto con información del requerimiento. Link: https://educorpperu-my.sharepoint.com/:x:/g/personal/diana_zapata_laureate_pe1/IQA4jws3Zxk9RI9Zb6WbpNsKAcXE0uImyxpnyZg5Gbjzhbs?e=3Ggumx</v>
      </c>
      <c r="T177" s="221"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221" t="str">
        <f>[1]Sheet1!U177</f>
        <v>Alumnos</v>
      </c>
      <c r="V177" s="221" t="str">
        <f>[1]Sheet1!V177</f>
        <v>Excelencia operativa</v>
      </c>
      <c r="W177" s="221" t="str">
        <f>[1]Sheet1!W177</f>
        <v>Si</v>
      </c>
      <c r="X177" s="221" t="str">
        <f>[1]Sheet1!X177</f>
        <v>No cuantificado o S/0</v>
      </c>
      <c r="Y177" s="221"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59"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59">
        <f>[1]Sheet1!AA177</f>
        <v>1.2000000000000002</v>
      </c>
    </row>
    <row r="178" spans="1:27" ht="18.600000000000001" customHeight="1">
      <c r="A178" s="311">
        <f>[1]Sheet1!A178</f>
        <v>204</v>
      </c>
      <c r="B178" s="220">
        <f>[1]Sheet1!B178</f>
        <v>46169.750474537002</v>
      </c>
      <c r="C178" s="220">
        <f>[1]Sheet1!C178</f>
        <v>46169.752673611103</v>
      </c>
      <c r="D178" s="221" t="str">
        <f>[1]Sheet1!D178</f>
        <v>davies.galdos@laureate.pe</v>
      </c>
      <c r="E178" s="221" t="str">
        <f>[1]Sheet1!E178</f>
        <v>Davies Galdos Yactayo</v>
      </c>
      <c r="F178" s="221" t="str">
        <f>[1]Sheet1!F178</f>
        <v>[199] - Trámite de convalidación de asignatura</v>
      </c>
      <c r="G178" s="221"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221" t="str">
        <f>[1]Sheet1!H178</f>
        <v>UPC</v>
      </c>
      <c r="I178" s="221" t="str">
        <f>[1]Sheet1!I178</f>
        <v>Milagros Morgan - Rectorado UPC</v>
      </c>
      <c r="J178" s="221" t="str">
        <f>[1]Sheet1!J178</f>
        <v>Miguel Chang</v>
      </c>
      <c r="K178" s="221"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221" t="str">
        <f>[1]Sheet1!L178</f>
        <v>Ninguno</v>
      </c>
      <c r="M178" s="151">
        <f>[1]Sheet1!M178</f>
        <v>46387</v>
      </c>
      <c r="N178" s="151" t="str">
        <f>[1]Sheet1!N178</f>
        <v>No</v>
      </c>
      <c r="O178" s="221">
        <f>[1]Sheet1!O178</f>
        <v>0</v>
      </c>
      <c r="P178" s="221">
        <f>[1]Sheet1!P178</f>
        <v>0</v>
      </c>
      <c r="Q178" s="221" t="str">
        <f>[1]Sheet1!Q178</f>
        <v>Otro</v>
      </c>
      <c r="R178" s="221"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221" t="str">
        <f>[1]Sheet1!S178</f>
        <v>Ver archivo adjunto con información del requerimiento. Link: https://educorpperu-my.sharepoint.com/:x:/g/personal/diana_zapata_laureate_pe1/IQA4jws3Zxk9RI9Zb6WbpNsKAcXE0uImyxpnyZg5Gbjzhbs?e=3Ggumx</v>
      </c>
      <c r="T178" s="221"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221" t="str">
        <f>[1]Sheet1!U178</f>
        <v>Alumnos</v>
      </c>
      <c r="V178" s="221" t="str">
        <f>[1]Sheet1!V178</f>
        <v>Excelencia operativa</v>
      </c>
      <c r="W178" s="221" t="str">
        <f>[1]Sheet1!W178</f>
        <v>Si</v>
      </c>
      <c r="X178" s="221" t="str">
        <f>[1]Sheet1!X178</f>
        <v>No cuantificado o S/0</v>
      </c>
      <c r="Y178" s="221"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59"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59">
        <f>[1]Sheet1!AA178</f>
        <v>1.2000000000000002</v>
      </c>
    </row>
    <row r="179" spans="1:27" ht="18.600000000000001" customHeight="1">
      <c r="A179" s="64">
        <f>[1]Sheet1!A179</f>
        <v>205</v>
      </c>
      <c r="B179" s="220">
        <f>[1]Sheet1!B179</f>
        <v>46169.752847222197</v>
      </c>
      <c r="C179" s="220">
        <f>[1]Sheet1!C179</f>
        <v>46169.754074074102</v>
      </c>
      <c r="D179" s="221" t="str">
        <f>[1]Sheet1!D179</f>
        <v>davies.galdos@laureate.pe</v>
      </c>
      <c r="E179" s="221" t="str">
        <f>[1]Sheet1!E179</f>
        <v>Davies Galdos Yactayo</v>
      </c>
      <c r="F179" s="221" t="str">
        <f>[1]Sheet1!F179</f>
        <v>[186] - Tramites Correccion de Evaluacion - anulación</v>
      </c>
      <c r="G179" s="221"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221" t="str">
        <f>[1]Sheet1!H179</f>
        <v>UPC</v>
      </c>
      <c r="I179" s="221" t="str">
        <f>[1]Sheet1!I179</f>
        <v>Milagros Morgan - Rectorado UPC</v>
      </c>
      <c r="J179" s="221" t="str">
        <f>[1]Sheet1!J179</f>
        <v>Miguel Chang</v>
      </c>
      <c r="K179" s="221"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221" t="str">
        <f>[1]Sheet1!L179</f>
        <v>Ninguno</v>
      </c>
      <c r="M179" s="151">
        <f>[1]Sheet1!M179</f>
        <v>46387</v>
      </c>
      <c r="N179" s="151" t="str">
        <f>[1]Sheet1!N179</f>
        <v>No</v>
      </c>
      <c r="O179" s="221">
        <f>[1]Sheet1!O179</f>
        <v>0</v>
      </c>
      <c r="P179" s="221">
        <f>[1]Sheet1!P179</f>
        <v>0</v>
      </c>
      <c r="Q179" s="221" t="str">
        <f>[1]Sheet1!Q179</f>
        <v>Otro</v>
      </c>
      <c r="R179" s="221"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221" t="str">
        <f>[1]Sheet1!S179</f>
        <v>Ver archivo adjunto con información del requerimiento. Link: https://educorpperu-my.sharepoint.com/:x:/g/personal/diana_zapata_laureate_pe1/IQA4jws3Zxk9RI9Zb6WbpNsKAcXE0uImyxpnyZg5Gbjzhbs?e=3Ggumx</v>
      </c>
      <c r="T179" s="221"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221" t="str">
        <f>[1]Sheet1!U179</f>
        <v>Alumnos</v>
      </c>
      <c r="V179" s="221" t="str">
        <f>[1]Sheet1!V179</f>
        <v>Excelencia operativa</v>
      </c>
      <c r="W179" s="221" t="str">
        <f>[1]Sheet1!W179</f>
        <v>Si</v>
      </c>
      <c r="X179" s="221" t="str">
        <f>[1]Sheet1!X179</f>
        <v>No cuantificado o S/0</v>
      </c>
      <c r="Y179" s="221"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59"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59">
        <f>[1]Sheet1!AA179</f>
        <v>1.2000000000000002</v>
      </c>
    </row>
    <row r="180" spans="1:27" ht="18.600000000000001" customHeight="1">
      <c r="A180" s="311">
        <f>[1]Sheet1!A180</f>
        <v>206</v>
      </c>
      <c r="B180" s="220">
        <f>[1]Sheet1!B180</f>
        <v>46169.754131944399</v>
      </c>
      <c r="C180" s="220">
        <f>[1]Sheet1!C180</f>
        <v>46169.758865740703</v>
      </c>
      <c r="D180" s="221" t="str">
        <f>[1]Sheet1!D180</f>
        <v>davies.galdos@laureate.pe</v>
      </c>
      <c r="E180" s="221" t="str">
        <f>[1]Sheet1!E180</f>
        <v>Davies Galdos Yactayo</v>
      </c>
      <c r="F180" s="221" t="str">
        <f>[1]Sheet1!F180</f>
        <v>[197] - Trámite Recuperación de evaluación</v>
      </c>
      <c r="G180" s="221"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221" t="str">
        <f>[1]Sheet1!H180</f>
        <v>UPC</v>
      </c>
      <c r="I180" s="221" t="str">
        <f>[1]Sheet1!I180</f>
        <v>Milagros Morgan - Rectorado UPC</v>
      </c>
      <c r="J180" s="221" t="str">
        <f>[1]Sheet1!J180</f>
        <v>Miguel Chang</v>
      </c>
      <c r="K180" s="221"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221" t="str">
        <f>[1]Sheet1!L180</f>
        <v>Ninguno</v>
      </c>
      <c r="M180" s="151">
        <f>[1]Sheet1!M180</f>
        <v>46387</v>
      </c>
      <c r="N180" s="151" t="str">
        <f>[1]Sheet1!N180</f>
        <v>No</v>
      </c>
      <c r="O180" s="221">
        <f>[1]Sheet1!O180</f>
        <v>0</v>
      </c>
      <c r="P180" s="221">
        <f>[1]Sheet1!P180</f>
        <v>0</v>
      </c>
      <c r="Q180" s="221" t="str">
        <f>[1]Sheet1!Q180</f>
        <v>Otro</v>
      </c>
      <c r="R180" s="221"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221" t="str">
        <f>[1]Sheet1!S180</f>
        <v>Ver archivo adjunto con información del requerimiento. Link: https://educorpperu-my.sharepoint.com/:x:/g/personal/diana_zapata_laureate_pe1/IQA4jws3Zxk9RI9Zb6WbpNsKAcXE0uImyxpnyZg5Gbjzhbs?e=3Ggumx</v>
      </c>
      <c r="T180" s="221"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221" t="str">
        <f>[1]Sheet1!U180</f>
        <v>Alumnos</v>
      </c>
      <c r="V180" s="221" t="str">
        <f>[1]Sheet1!V180</f>
        <v>Excelencia operativa</v>
      </c>
      <c r="W180" s="221" t="str">
        <f>[1]Sheet1!W180</f>
        <v>Si</v>
      </c>
      <c r="X180" s="221" t="str">
        <f>[1]Sheet1!X180</f>
        <v>No cuantificado o S/0</v>
      </c>
      <c r="Y180" s="221"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59"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59">
        <f>[1]Sheet1!AA180</f>
        <v>1.2000000000000002</v>
      </c>
    </row>
    <row r="181" spans="1:27" ht="18.600000000000001" customHeight="1">
      <c r="A181" s="311">
        <f>[1]Sheet1!A181</f>
        <v>207</v>
      </c>
      <c r="B181" s="220">
        <f>[1]Sheet1!B181</f>
        <v>46169.7590277778</v>
      </c>
      <c r="C181" s="220">
        <f>[1]Sheet1!C181</f>
        <v>46169.760717592602</v>
      </c>
      <c r="D181" s="221" t="str">
        <f>[1]Sheet1!D181</f>
        <v>davies.galdos@laureate.pe</v>
      </c>
      <c r="E181" s="221" t="str">
        <f>[1]Sheet1!E181</f>
        <v>Davies Galdos Yactayo</v>
      </c>
      <c r="F181" s="221" t="str">
        <f>[1]Sheet1!F181</f>
        <v>[36] - Convalidación PPP</v>
      </c>
      <c r="G181" s="221"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221" t="str">
        <f>[1]Sheet1!H181</f>
        <v>UPC</v>
      </c>
      <c r="I181" s="221" t="str">
        <f>[1]Sheet1!I181</f>
        <v>Milagros Morgan - Rectorado UPC</v>
      </c>
      <c r="J181" s="221" t="str">
        <f>[1]Sheet1!J181</f>
        <v>Mónica Villegas</v>
      </c>
      <c r="K181" s="221"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221" t="str">
        <f>[1]Sheet1!L181</f>
        <v>Ninguno</v>
      </c>
      <c r="M181" s="151">
        <f>[1]Sheet1!M181</f>
        <v>46387</v>
      </c>
      <c r="N181" s="151" t="str">
        <f>[1]Sheet1!N181</f>
        <v>No</v>
      </c>
      <c r="O181" s="221">
        <f>[1]Sheet1!O181</f>
        <v>0</v>
      </c>
      <c r="P181" s="221">
        <f>[1]Sheet1!P181</f>
        <v>0</v>
      </c>
      <c r="Q181" s="221" t="str">
        <f>[1]Sheet1!Q181</f>
        <v>Otro</v>
      </c>
      <c r="R181" s="221"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221" t="str">
        <f>[1]Sheet1!S181</f>
        <v>Ver archivo adjunto con información del requerimiento. Link: https://educorpperu-my.sharepoint.com/:x:/g/personal/diana_zapata_laureate_pe1/IQA4jws3Zxk9RI9Zb6WbpNsKAcXE0uImyxpnyZg5Gbjzhbs?e=3Ggumx</v>
      </c>
      <c r="T181" s="221"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221" t="str">
        <f>[1]Sheet1!U181</f>
        <v>Alumnos</v>
      </c>
      <c r="V181" s="221" t="str">
        <f>[1]Sheet1!V181</f>
        <v>Excelencia operativa</v>
      </c>
      <c r="W181" s="221" t="str">
        <f>[1]Sheet1!W181</f>
        <v>Si</v>
      </c>
      <c r="X181" s="221" t="str">
        <f>[1]Sheet1!X181</f>
        <v>No cuantificado o S/0</v>
      </c>
      <c r="Y181" s="221"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59"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59">
        <f>[1]Sheet1!AA181</f>
        <v>1.2000000000000002</v>
      </c>
    </row>
    <row r="182" spans="1:27" ht="18.600000000000001" customHeight="1">
      <c r="A182" s="311">
        <f>[1]Sheet1!A182</f>
        <v>208</v>
      </c>
      <c r="B182" s="220">
        <f>[1]Sheet1!B182</f>
        <v>46169.760856481502</v>
      </c>
      <c r="C182" s="220">
        <f>[1]Sheet1!C182</f>
        <v>46169.762476851902</v>
      </c>
      <c r="D182" s="221" t="str">
        <f>[1]Sheet1!D182</f>
        <v>davies.galdos@laureate.pe</v>
      </c>
      <c r="E182" s="221" t="str">
        <f>[1]Sheet1!E182</f>
        <v>Davies Galdos Yactayo</v>
      </c>
      <c r="F182" s="221" t="str">
        <f>[1]Sheet1!F182</f>
        <v>[12] - Traslado de carrera - Servicio Banner</v>
      </c>
      <c r="G182" s="221"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221" t="str">
        <f>[1]Sheet1!H182</f>
        <v>UPC</v>
      </c>
      <c r="I182" s="221" t="str">
        <f>[1]Sheet1!I182</f>
        <v>Milagros Morgan - Rectorado UPC</v>
      </c>
      <c r="J182" s="221" t="str">
        <f>[1]Sheet1!J182</f>
        <v xml:space="preserve">Maria Cifuentes </v>
      </c>
      <c r="K182" s="221"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221" t="str">
        <f>[1]Sheet1!L182</f>
        <v>Ninguno</v>
      </c>
      <c r="M182" s="151">
        <f>[1]Sheet1!M182</f>
        <v>46387</v>
      </c>
      <c r="N182" s="151" t="str">
        <f>[1]Sheet1!N182</f>
        <v>No</v>
      </c>
      <c r="O182" s="221">
        <f>[1]Sheet1!O182</f>
        <v>0</v>
      </c>
      <c r="P182" s="221">
        <f>[1]Sheet1!P182</f>
        <v>0</v>
      </c>
      <c r="Q182" s="221" t="str">
        <f>[1]Sheet1!Q182</f>
        <v>Otro</v>
      </c>
      <c r="R182" s="221"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221" t="str">
        <f>[1]Sheet1!S182</f>
        <v>Ver archivo adjunto con información del requerimiento. Link: https://educorpperu-my.sharepoint.com/:x:/g/personal/diana_zapata_laureate_pe1/IQA4jws3Zxk9RI9Zb6WbpNsKAcXE0uImyxpnyZg5Gbjzhbs?e=3Ggumx</v>
      </c>
      <c r="T182" s="221"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221" t="str">
        <f>[1]Sheet1!U182</f>
        <v>Alumnos</v>
      </c>
      <c r="V182" s="221" t="str">
        <f>[1]Sheet1!V182</f>
        <v>Excelencia operativa</v>
      </c>
      <c r="W182" s="221" t="str">
        <f>[1]Sheet1!W182</f>
        <v>Si</v>
      </c>
      <c r="X182" s="221" t="str">
        <f>[1]Sheet1!X182</f>
        <v>No cuantificado o S/0</v>
      </c>
      <c r="Y182" s="221"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59"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59">
        <f>[1]Sheet1!AA182</f>
        <v>1.2000000000000002</v>
      </c>
    </row>
    <row r="183" spans="1:27" ht="18.600000000000001" customHeight="1">
      <c r="A183" s="59">
        <f>[1]Sheet1!A183</f>
        <v>209</v>
      </c>
      <c r="B183" s="220">
        <f>[1]Sheet1!B183</f>
        <v>46169.786111111098</v>
      </c>
      <c r="C183" s="220">
        <f>[1]Sheet1!C183</f>
        <v>46169.802662037</v>
      </c>
      <c r="D183" s="221" t="str">
        <f>[1]Sheet1!D183</f>
        <v>nancy.fernandez@laureate.pe</v>
      </c>
      <c r="E183" s="221" t="str">
        <f>[1]Sheet1!E183</f>
        <v>Nancy Fernandez Ventosilla</v>
      </c>
      <c r="F183" s="221" t="str">
        <f>[1]Sheet1!F183</f>
        <v>Conectar Sócrates con el nuevo Spring CIB</v>
      </c>
      <c r="G183" s="221" t="str">
        <f>[1]Sheet1!G183</f>
        <v>Conectar Sócrates con el nuevo Spring CIB para que funcione como el modelo UPC</v>
      </c>
      <c r="H183" s="221" t="str">
        <f>[1]Sheet1!H183</f>
        <v>CIB</v>
      </c>
      <c r="I183" s="221" t="str">
        <f>[1]Sheet1!I183</f>
        <v>Danilo Tauil - GM TecVoc</v>
      </c>
      <c r="J183" s="221" t="str">
        <f>[1]Sheet1!J183</f>
        <v>Davi Paula Lima Goulart</v>
      </c>
      <c r="K183" s="221" t="str">
        <f>[1]Sheet1!K183</f>
        <v>https://educorpperu-my.sharepoint.com/personal/diana_zapata_laureate_pe1/Documents/Aplicaciones/Microsoft%20Forms/REGISTRO%20DE%20INICIATIVAS%20-%20GESTI%C3%93N%20DE%20LA%20DEMANDA%20(2%201/Pregunta/Captura%20de%20pantalla%202026-05-27%20185912_Nancy%20Fernandez%20Vent.png</v>
      </c>
      <c r="L183" s="221" t="str">
        <f>[1]Sheet1!L183</f>
        <v>Carla Arias-Schreiber</v>
      </c>
      <c r="M183" s="151">
        <f>[1]Sheet1!M183</f>
        <v>46185</v>
      </c>
      <c r="N183" s="151" t="str">
        <f>[1]Sheet1!N183</f>
        <v>No</v>
      </c>
      <c r="O183" s="221">
        <f>[1]Sheet1!O183</f>
        <v>0</v>
      </c>
      <c r="P183" s="221">
        <f>[1]Sheet1!P183</f>
        <v>0</v>
      </c>
      <c r="Q183" s="221" t="str">
        <f>[1]Sheet1!Q183</f>
        <v>Otro</v>
      </c>
      <c r="R183" s="221" t="str">
        <f>[1]Sheet1!R183</f>
        <v>Actualmente CIB trabaja con Socrates Obligaciones, se requiere saber si el esfuerzo que se realizo en Grandeza y que quwdo al 90% (pensando en conectarse al Orquestador) sirve para tener el modelo UPC</v>
      </c>
      <c r="S183" s="221" t="str">
        <f>[1]Sheet1!S183</f>
        <v xml:space="preserve">modelo UPC con nuevo Socrates </v>
      </c>
      <c r="T183" s="221" t="str">
        <f>[1]Sheet1!T183</f>
        <v>Admisión</v>
      </c>
      <c r="U183" s="221" t="str">
        <f>[1]Sheet1!U183</f>
        <v>Administrativos</v>
      </c>
      <c r="V183" s="221" t="str">
        <f>[1]Sheet1!V183</f>
        <v>Excelencia operativa</v>
      </c>
      <c r="W183" s="221" t="str">
        <f>[1]Sheet1!W183</f>
        <v>No</v>
      </c>
      <c r="X183" s="221" t="str">
        <f>[1]Sheet1!X183</f>
        <v>No cuantificado o S/0</v>
      </c>
      <c r="Y183" s="221" t="str">
        <f>[1]Sheet1!Y183</f>
        <v>menos trabajo manual</v>
      </c>
      <c r="Z183" s="59"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59">
        <f>[1]Sheet1!AA183</f>
        <v>0.60000000000000009</v>
      </c>
    </row>
    <row r="184" spans="1:27" ht="18.600000000000001" customHeight="1">
      <c r="A184" s="59">
        <f>[1]Sheet1!A184</f>
        <v>210</v>
      </c>
      <c r="B184" s="220">
        <f>[1]Sheet1!B184</f>
        <v>46169.8046412037</v>
      </c>
      <c r="C184" s="220">
        <f>[1]Sheet1!C184</f>
        <v>46169.817731481497</v>
      </c>
      <c r="D184" s="221" t="str">
        <f>[1]Sheet1!D184</f>
        <v>nancy.fernandez@laureate.pe</v>
      </c>
      <c r="E184" s="221" t="str">
        <f>[1]Sheet1!E184</f>
        <v>Nancy Fernandez Ventosilla</v>
      </c>
      <c r="F184" s="221" t="str">
        <f>[1]Sheet1!F184</f>
        <v>Implementar FOCO y demás modalidades en Banner CIB</v>
      </c>
      <c r="G184" s="221" t="str">
        <f>[1]Sheet1!G184</f>
        <v>Implementar FOCO y demás modalidades en Banner CIB para no depender de Socrates y puedan funcionar con Lego</v>
      </c>
      <c r="H184" s="221" t="str">
        <f>[1]Sheet1!H184</f>
        <v>CIB</v>
      </c>
      <c r="I184" s="221" t="str">
        <f>[1]Sheet1!I184</f>
        <v>Danilo Tauil - GM TecVoc</v>
      </c>
      <c r="J184" s="221" t="str">
        <f>[1]Sheet1!J184</f>
        <v>Davi Paula Lima Goulart</v>
      </c>
      <c r="K184" s="221" t="str">
        <f>[1]Sheet1!K184</f>
        <v>https://educorpperu-my.sharepoint.com/personal/diana_zapata_laureate_pe1/Documents/Aplicaciones/Microsoft%20Forms/REGISTRO%20DE%20INICIATIVAS%20-%20GESTI%C3%93N%20DE%20LA%20DEMANDA%20(2%201/Pregunta/Captura%20de%20pantalla%202026-05-27%20185912_Nancy%20Fernandez%20Vent%201.png</v>
      </c>
      <c r="L184" s="221" t="str">
        <f>[1]Sheet1!L184</f>
        <v>Carla Arias-Schreiber</v>
      </c>
      <c r="M184" s="151">
        <f>[1]Sheet1!M184</f>
        <v>46185</v>
      </c>
      <c r="N184" s="151" t="str">
        <f>[1]Sheet1!N184</f>
        <v>No</v>
      </c>
      <c r="O184" s="221">
        <f>[1]Sheet1!O184</f>
        <v>0</v>
      </c>
      <c r="P184" s="221">
        <f>[1]Sheet1!P184</f>
        <v>0</v>
      </c>
      <c r="Q184" s="221" t="str">
        <f>[1]Sheet1!Q184</f>
        <v>Otro</v>
      </c>
      <c r="R184" s="221" t="str">
        <f>[1]Sheet1!R184</f>
        <v>Actualmente solo Carreras Técnicas esta en Banner, se requiere a todas las modalidades</v>
      </c>
      <c r="S184" s="221" t="str">
        <f>[1]Sheet1!S184</f>
        <v>se requiere a todas las modalidades CIB</v>
      </c>
      <c r="T184" s="221" t="str">
        <f>[1]Sheet1!T184</f>
        <v>Academia</v>
      </c>
      <c r="U184" s="221" t="str">
        <f>[1]Sheet1!U184</f>
        <v>Administrativos</v>
      </c>
      <c r="V184" s="221" t="str">
        <f>[1]Sheet1!V184</f>
        <v>Excelencia operativa</v>
      </c>
      <c r="W184" s="221" t="str">
        <f>[1]Sheet1!W184</f>
        <v>Si</v>
      </c>
      <c r="X184" s="221" t="str">
        <f>[1]Sheet1!X184</f>
        <v>No cuantificado o S/0</v>
      </c>
      <c r="Y184" s="221" t="str">
        <f>[1]Sheet1!Y184</f>
        <v>menos trabajo manual</v>
      </c>
      <c r="Z184" s="59" t="str">
        <f>[1]Sheet1!Z184</f>
        <v>https://educorpperu-my.sharepoint.com/personal/diana_zapata_laureate_pe1/_layouts/15/Doc.aspx?sourcedoc=%7B1F4B3AD2-AA9B-4D4B-87B0-A94E49AA5A74%7D&amp;file=Analisis%20Wetalk%20CIB%20vs%20FOCO%20CIB_Nancy%20Fernandez%20Vent.pptx&amp;action=edit&amp;mobileredirect=true</v>
      </c>
      <c r="AA184" s="59">
        <f>[1]Sheet1!AA184</f>
        <v>0.60000000000000009</v>
      </c>
    </row>
    <row r="185" spans="1:27" ht="18.600000000000001" customHeight="1">
      <c r="A185" s="64">
        <f>[1]Sheet1!A185</f>
        <v>211</v>
      </c>
      <c r="B185" s="220">
        <f>[1]Sheet1!B185</f>
        <v>46169.990219907399</v>
      </c>
      <c r="C185" s="220">
        <f>[1]Sheet1!C185</f>
        <v>46169.994224536997</v>
      </c>
      <c r="D185" s="221" t="str">
        <f>[1]Sheet1!D185</f>
        <v>carla.arias@laureate.pe</v>
      </c>
      <c r="E185" s="221" t="str">
        <f>[1]Sheet1!E185</f>
        <v>Carla Arias Schreiber Ulloa</v>
      </c>
      <c r="F185" s="221" t="str">
        <f>[1]Sheet1!F185</f>
        <v>[250] Generación de turnos de Planificación Horaria</v>
      </c>
      <c r="G185" s="221"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221" t="str">
        <f>[1]Sheet1!H185</f>
        <v>UPC</v>
      </c>
      <c r="I185" s="221" t="str">
        <f>[1]Sheet1!I185</f>
        <v>Milagros Morgan - Rectorado UPC</v>
      </c>
      <c r="J185" s="221" t="str">
        <f>[1]Sheet1!J185</f>
        <v>Miguel Chang</v>
      </c>
      <c r="K185" s="221" t="str">
        <f>[1]Sheet1!K185</f>
        <v>https://educorpperu-my.sharepoint.com/personal/diana_zapata_laureate_pe1/Documents/Aplicaciones/Microsoft%20Forms/REGISTRO%20DE%20INICIATIVAS%20-%20GESTI%C3%93N%20DE%20LA%20DEMANDA%20(2%201/Pregunta/Aprobaci%C3%B3n%20Miguel_Requerimientos%20SisAcaUPC_Carla%20Arias%20Schreibe.pdf</v>
      </c>
      <c r="L185" s="221" t="str">
        <f>[1]Sheet1!L185</f>
        <v>Ninguno</v>
      </c>
      <c r="M185" s="151">
        <f>[1]Sheet1!M185</f>
        <v>46209</v>
      </c>
      <c r="N185" s="151" t="str">
        <f>[1]Sheet1!N185</f>
        <v>No</v>
      </c>
      <c r="O185" s="221">
        <f>[1]Sheet1!O185</f>
        <v>0</v>
      </c>
      <c r="P185" s="221">
        <f>[1]Sheet1!P185</f>
        <v>0</v>
      </c>
      <c r="Q185" s="221" t="str">
        <f>[1]Sheet1!Q185</f>
        <v>Otro</v>
      </c>
      <c r="R185" s="221" t="str">
        <f>[1]Sheet1!R185</f>
        <v>Actualmente, los estudiantes y la institución enfrentan dificultades para gestionar cambios académicos, financieros y administrativos de manera eficiente, afectando la experiencia del estudiante y la gestión interna.</v>
      </c>
      <c r="S185" s="221" t="str">
        <f>[1]Sheet1!S185</f>
        <v>Ver archivo adjunto con información del requerimiento. Link: https://educorpperu.sharepoint.com/:x:/s/Repositorio_EquipoCentral/dit/portafoliosyp/IQBPjj-nPuoDQbtwySJjx2sbAR4Cx0FwHcOnpoZf6N5wGdw?e=Qxpak7</v>
      </c>
      <c r="T185" s="221" t="str">
        <f>[1]Sheet1!T185</f>
        <v>Ver archivo adjunto con información del requerimiento. Link: https://educorpperu.sharepoint.com/:x:/s/Repositorio_EquipoCentral/dit/portafoliosyp/IQBPjj-nPuoDQbtwySJjx2sbAR4Cx0FwHcOnpoZf6N5wGdw?e=Qxpak11</v>
      </c>
      <c r="U185" s="221" t="str">
        <f>[1]Sheet1!U185</f>
        <v>Alumnos</v>
      </c>
      <c r="V185" s="221" t="str">
        <f>[1]Sheet1!V185</f>
        <v>Excelencia operativa</v>
      </c>
      <c r="W185" s="221" t="str">
        <f>[1]Sheet1!W185</f>
        <v>Si</v>
      </c>
      <c r="X185" s="221" t="str">
        <f>[1]Sheet1!X185</f>
        <v>No cuantificado o S/0</v>
      </c>
      <c r="Y185" s="221"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59"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59">
        <f>[1]Sheet1!AA185</f>
        <v>1.2000000000000002</v>
      </c>
    </row>
    <row r="186" spans="1:27" ht="18.600000000000001" customHeight="1">
      <c r="A186" s="59">
        <f>[1]Sheet1!A186</f>
        <v>212</v>
      </c>
      <c r="B186" s="220">
        <f>[1]Sheet1!B186</f>
        <v>46169.993784722203</v>
      </c>
      <c r="C186" s="220">
        <f>[1]Sheet1!C186</f>
        <v>46169.995497685202</v>
      </c>
      <c r="D186" s="221" t="str">
        <f>[1]Sheet1!D186</f>
        <v>carla.arias@laureate.pe</v>
      </c>
      <c r="E186" s="221" t="str">
        <f>[1]Sheet1!E186</f>
        <v>Carla Arias Schreiber Ulloa</v>
      </c>
      <c r="F186" s="221" t="str">
        <f>[1]Sheet1!F186</f>
        <v>[200] Reporte individual de trámites (corrección asistencia docente, corrección asistencia alumno, reprogramación de clases, subsanación de evaluaciones, corrección de evaluaciones y  recuperación de evaluaciones)</v>
      </c>
      <c r="G186" s="221"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221" t="str">
        <f>[1]Sheet1!H186</f>
        <v>UPC</v>
      </c>
      <c r="I186" s="221" t="str">
        <f>[1]Sheet1!I186</f>
        <v>Milagros Morgan - Rectorado UPC</v>
      </c>
      <c r="J186" s="221" t="str">
        <f>[1]Sheet1!J186</f>
        <v>Miguel Chang</v>
      </c>
      <c r="K186" s="221"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221" t="str">
        <f>[1]Sheet1!L186</f>
        <v>Ninguno</v>
      </c>
      <c r="M186" s="151">
        <f>[1]Sheet1!M186</f>
        <v>46178</v>
      </c>
      <c r="N186" s="151" t="str">
        <f>[1]Sheet1!N186</f>
        <v>No</v>
      </c>
      <c r="O186" s="221">
        <f>[1]Sheet1!O186</f>
        <v>0</v>
      </c>
      <c r="P186" s="221">
        <f>[1]Sheet1!P186</f>
        <v>0</v>
      </c>
      <c r="Q186" s="221" t="str">
        <f>[1]Sheet1!Q186</f>
        <v>Otro</v>
      </c>
      <c r="R186" s="221" t="str">
        <f>[1]Sheet1!R186</f>
        <v>Actualmente, los estudiantes y la institución enfrentan dificultades para gestionar cambios académicos, financieros y administrativos de manera eficiente, afectando la experiencia del estudiante y la gestión interna.</v>
      </c>
      <c r="S186" s="221" t="str">
        <f>[1]Sheet1!S186</f>
        <v>Ver archivo adjunto con información del requerimiento. Link: https://educorpperu.sharepoint.com/:x:/s/Repositorio_EquipoCentral/dit/portafoliosyp/IQBPjj-nPuoDQbtwySJjx2sbAR4Cx0FwHcOnpoZf6N5wGdw?e=Qxpak7</v>
      </c>
      <c r="T186" s="221" t="str">
        <f>[1]Sheet1!T186</f>
        <v>Ver archivo adjunto con información del requerimiento. Link: https://educorpperu.sharepoint.com/:x:/s/Repositorio_EquipoCentral/dit/portafoliosyp/IQBPjj-nPuoDQbtwySJjx2sbAR4Cx0FwHcOnpoZf6N5wGdw?e=Qxpak11</v>
      </c>
      <c r="U186" s="221" t="str">
        <f>[1]Sheet1!U186</f>
        <v>Alumnos</v>
      </c>
      <c r="V186" s="221" t="str">
        <f>[1]Sheet1!V186</f>
        <v>Excelencia operativa</v>
      </c>
      <c r="W186" s="221" t="str">
        <f>[1]Sheet1!W186</f>
        <v>Si</v>
      </c>
      <c r="X186" s="221" t="str">
        <f>[1]Sheet1!X186</f>
        <v>No cuantificado o S/0</v>
      </c>
      <c r="Y186" s="221"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59"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59">
        <f>[1]Sheet1!AA186</f>
        <v>1.2000000000000002</v>
      </c>
    </row>
    <row r="187" spans="1:27" ht="35.25" customHeight="1">
      <c r="A187" s="64">
        <f>[1]Sheet1!A187</f>
        <v>213</v>
      </c>
      <c r="B187" s="220">
        <f>[1]Sheet1!B187</f>
        <v>46169.994814814803</v>
      </c>
      <c r="C187" s="220">
        <f>[1]Sheet1!C187</f>
        <v>46169.996388888903</v>
      </c>
      <c r="D187" s="221" t="str">
        <f>[1]Sheet1!D187</f>
        <v>carla.arias@laureate.pe</v>
      </c>
      <c r="E187" s="221" t="str">
        <f>[1]Sheet1!E187</f>
        <v>Carla Arias Schreiber Ulloa</v>
      </c>
      <c r="F187" s="221" t="str">
        <f>[1]Sheet1!F187</f>
        <v>[192] Corrección de asistencia alumno</v>
      </c>
      <c r="G187" s="221"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221" t="str">
        <f>[1]Sheet1!H187</f>
        <v>UPC</v>
      </c>
      <c r="I187" s="221" t="str">
        <f>[1]Sheet1!I187</f>
        <v>Milagros Morgan - Rectorado UPC</v>
      </c>
      <c r="J187" s="221" t="str">
        <f>[1]Sheet1!J187</f>
        <v>Miguel Chang</v>
      </c>
      <c r="K187" s="221"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221" t="str">
        <f>[1]Sheet1!L187</f>
        <v>Ninguno</v>
      </c>
      <c r="M187" s="151">
        <f>[1]Sheet1!M187</f>
        <v>46239</v>
      </c>
      <c r="N187" s="151" t="str">
        <f>[1]Sheet1!N187</f>
        <v>No</v>
      </c>
      <c r="O187" s="221">
        <f>[1]Sheet1!O187</f>
        <v>0</v>
      </c>
      <c r="P187" s="221">
        <f>[1]Sheet1!P187</f>
        <v>0</v>
      </c>
      <c r="Q187" s="221" t="str">
        <f>[1]Sheet1!Q187</f>
        <v>Otro</v>
      </c>
      <c r="R187" s="221" t="str">
        <f>[1]Sheet1!R187</f>
        <v>Actualmente, los estudiantes y la institución enfrentan dificultades para gestionar cambios académicos, financieros y administrativos de manera eficiente, afectando la experiencia del estudiante y la gestión interna.</v>
      </c>
      <c r="S187" s="221" t="str">
        <f>[1]Sheet1!S187</f>
        <v>Ver archivo adjunto con información del requerimiento. Link: https://educorpperu.sharepoint.com/:x:/s/Repositorio_EquipoCentral/dit/portafoliosyp/IQBPjj-nPuoDQbtwySJjx2sbAR4Cx0FwHcOnpoZf6N5wGdw?e=Qxpak7</v>
      </c>
      <c r="T187" s="221" t="str">
        <f>[1]Sheet1!T187</f>
        <v>Ver archivo adjunto con información del requerimiento. Link: https://educorpperu.sharepoint.com/:x:/s/Repositorio_EquipoCentral/dit/portafoliosyp/IQBPjj-nPuoDQbtwySJjx2sbAR4Cx0FwHcOnpoZf6N5wGdw?e=Qxpak11</v>
      </c>
      <c r="U187" s="221" t="str">
        <f>[1]Sheet1!U187</f>
        <v>Alumnos</v>
      </c>
      <c r="V187" s="221" t="str">
        <f>[1]Sheet1!V187</f>
        <v>Excelencia operativa</v>
      </c>
      <c r="W187" s="221" t="str">
        <f>[1]Sheet1!W187</f>
        <v>Si</v>
      </c>
      <c r="X187" s="221" t="str">
        <f>[1]Sheet1!X187</f>
        <v>No cuantificado o S/0</v>
      </c>
      <c r="Y187" s="221"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59"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59">
        <f>[1]Sheet1!AA187</f>
        <v>1.2000000000000002</v>
      </c>
    </row>
    <row r="188" spans="1:27" ht="18.600000000000001" customHeight="1">
      <c r="A188" s="64">
        <f>[1]Sheet1!A188</f>
        <v>214</v>
      </c>
      <c r="B188" s="220">
        <f>[1]Sheet1!B188</f>
        <v>46169.996284722198</v>
      </c>
      <c r="C188" s="220">
        <f>[1]Sheet1!C188</f>
        <v>46169.997106481504</v>
      </c>
      <c r="D188" s="221" t="str">
        <f>[1]Sheet1!D188</f>
        <v>carla.arias@laureate.pe</v>
      </c>
      <c r="E188" s="221" t="str">
        <f>[1]Sheet1!E188</f>
        <v>Carla Arias Schreiber Ulloa</v>
      </c>
      <c r="F188" s="221" t="str">
        <f>[1]Sheet1!F188</f>
        <v>[193] Corrección de asistencia docente</v>
      </c>
      <c r="G188" s="221"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221" t="str">
        <f>[1]Sheet1!H188</f>
        <v>UPC</v>
      </c>
      <c r="I188" s="221" t="str">
        <f>[1]Sheet1!I188</f>
        <v>Milagros Morgan - Rectorado UPC</v>
      </c>
      <c r="J188" s="221" t="str">
        <f>[1]Sheet1!J188</f>
        <v>Miguel Chang</v>
      </c>
      <c r="K188" s="221"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221" t="str">
        <f>[1]Sheet1!L188</f>
        <v>Ninguno</v>
      </c>
      <c r="M188" s="151">
        <f>[1]Sheet1!M188</f>
        <v>46239</v>
      </c>
      <c r="N188" s="151" t="str">
        <f>[1]Sheet1!N188</f>
        <v>No</v>
      </c>
      <c r="O188" s="221">
        <f>[1]Sheet1!O188</f>
        <v>0</v>
      </c>
      <c r="P188" s="221">
        <f>[1]Sheet1!P188</f>
        <v>0</v>
      </c>
      <c r="Q188" s="221" t="str">
        <f>[1]Sheet1!Q188</f>
        <v>Otro</v>
      </c>
      <c r="R188" s="221" t="str">
        <f>[1]Sheet1!R188</f>
        <v>Actualmente, los estudiantes y la institución enfrentan dificultades para gestionar cambios académicos, financieros y administrativos de manera eficiente, afectando la experiencia del estudiante y la gestión interna.</v>
      </c>
      <c r="S188" s="221" t="str">
        <f>[1]Sheet1!S188</f>
        <v>Ver archivo adjunto con información del requerimiento. Link: https://educorpperu.sharepoint.com/:x:/s/Repositorio_EquipoCentral/dit/portafoliosyp/IQBPjj-nPuoDQbtwySJjx2sbAR4Cx0FwHcOnpoZf6N5wGdw?e=Qxpak7</v>
      </c>
      <c r="T188" s="221" t="str">
        <f>[1]Sheet1!T188</f>
        <v>Ver archivo adjunto con información del requerimiento. Link: https://educorpperu.sharepoint.com/:x:/s/Repositorio_EquipoCentral/dit/portafoliosyp/IQBPjj-nPuoDQbtwySJjx2sbAR4Cx0FwHcOnpoZf6N5wGdw?e=Qxpak11</v>
      </c>
      <c r="U188" s="221" t="str">
        <f>[1]Sheet1!U188</f>
        <v>Alumnos</v>
      </c>
      <c r="V188" s="221" t="str">
        <f>[1]Sheet1!V188</f>
        <v>Excelencia operativa</v>
      </c>
      <c r="W188" s="221" t="str">
        <f>[1]Sheet1!W188</f>
        <v>Si</v>
      </c>
      <c r="X188" s="221" t="str">
        <f>[1]Sheet1!X188</f>
        <v>No cuantificado o S/0</v>
      </c>
      <c r="Y188" s="221"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59"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59">
        <f>[1]Sheet1!AA188</f>
        <v>1.2000000000000002</v>
      </c>
    </row>
    <row r="189" spans="1:27" ht="29.25" customHeight="1">
      <c r="A189" s="64">
        <f>[1]Sheet1!A189</f>
        <v>215</v>
      </c>
      <c r="B189" s="220">
        <f>[1]Sheet1!B189</f>
        <v>46169.997152777803</v>
      </c>
      <c r="C189" s="220">
        <f>[1]Sheet1!C189</f>
        <v>46169.999085648145</v>
      </c>
      <c r="D189" s="221" t="str">
        <f>[1]Sheet1!D189</f>
        <v>carla.arias@laureate.pe</v>
      </c>
      <c r="E189" s="221" t="str">
        <f>[1]Sheet1!E189</f>
        <v>Carla Arias Schreiber Ulloa</v>
      </c>
      <c r="F189" s="221" t="str">
        <f>[1]Sheet1!F189</f>
        <v>[209] Implementación de Plataforma de Gestión de Cambios y Asignación docente de la Programación Horaria.</v>
      </c>
      <c r="G189" s="221"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221" t="str">
        <f>[1]Sheet1!H189</f>
        <v>UPC</v>
      </c>
      <c r="I189" s="221" t="str">
        <f>[1]Sheet1!I189</f>
        <v>Milagros Morgan - Rectorado UPC</v>
      </c>
      <c r="J189" s="221" t="str">
        <f>[1]Sheet1!J189</f>
        <v>Miguel Chang</v>
      </c>
      <c r="K189" s="221"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221" t="str">
        <f>[1]Sheet1!L189</f>
        <v>Ninguno</v>
      </c>
      <c r="M189" s="151">
        <f>[1]Sheet1!M189</f>
        <v>46178</v>
      </c>
      <c r="N189" s="151" t="str">
        <f>[1]Sheet1!N189</f>
        <v>No</v>
      </c>
      <c r="O189" s="221">
        <f>[1]Sheet1!O189</f>
        <v>0</v>
      </c>
      <c r="P189" s="221">
        <f>[1]Sheet1!P189</f>
        <v>0</v>
      </c>
      <c r="Q189" s="221" t="str">
        <f>[1]Sheet1!Q189</f>
        <v>Otro</v>
      </c>
      <c r="R189" s="221" t="str">
        <f>[1]Sheet1!R189</f>
        <v>Actualmente, los estudiantes y la institución enfrentan dificultades para gestionar cambios académicos, financieros y administrativos de manera eficiente, afectando la experiencia del estudiante y la gestión interna.</v>
      </c>
      <c r="S189" s="221" t="str">
        <f>[1]Sheet1!S189</f>
        <v>Ver archivo adjunto con información del requerimiento. Link: https://educorpperu.sharepoint.com/:x:/s/Repositorio_EquipoCentral/dit/portafoliosyp/IQBPjj-nPuoDQbtwySJjx2sbAR4Cx0FwHcOnpoZf6N5wGdw?e=Qxpak7</v>
      </c>
      <c r="T189" s="221" t="str">
        <f>[1]Sheet1!T189</f>
        <v>Ver archivo adjunto con información del requerimiento. Link: https://educorpperu.sharepoint.com/:x:/s/Repositorio_EquipoCentral/dit/portafoliosyp/IQBPjj-nPuoDQbtwySJjx2sbAR4Cx0FwHcOnpoZf6N5wGdw?e=Qxpak16</v>
      </c>
      <c r="U189" s="221" t="str">
        <f>[1]Sheet1!U189</f>
        <v>Docentes</v>
      </c>
      <c r="V189" s="221" t="str">
        <f>[1]Sheet1!V189</f>
        <v>Excelencia operativa</v>
      </c>
      <c r="W189" s="221" t="str">
        <f>[1]Sheet1!W189</f>
        <v>Si</v>
      </c>
      <c r="X189" s="221" t="str">
        <f>[1]Sheet1!X189</f>
        <v>No cuantificado o S/0</v>
      </c>
      <c r="Y189" s="221"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59"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59">
        <f>[1]Sheet1!AA189</f>
        <v>1.05</v>
      </c>
    </row>
    <row r="190" spans="1:27" ht="18.600000000000001" customHeight="1">
      <c r="A190" s="64">
        <f>[1]Sheet1!A190</f>
        <v>216</v>
      </c>
      <c r="B190" s="220">
        <f>[1]Sheet1!B190</f>
        <v>46169.998946759297</v>
      </c>
      <c r="C190" s="220">
        <f>[1]Sheet1!C190</f>
        <v>46170.000914351898</v>
      </c>
      <c r="D190" s="221" t="str">
        <f>[1]Sheet1!D190</f>
        <v>carla.arias@laureate.pe</v>
      </c>
      <c r="E190" s="221" t="str">
        <f>[1]Sheet1!E190</f>
        <v>Carla Arias Schreiber Ulloa</v>
      </c>
      <c r="F190" s="221" t="str">
        <f>[1]Sheet1!F190</f>
        <v>[248] Registro de NRC a Bloque Horario</v>
      </c>
      <c r="G190" s="221"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221" t="str">
        <f>[1]Sheet1!H190</f>
        <v>UPC</v>
      </c>
      <c r="I190" s="221" t="str">
        <f>[1]Sheet1!I190</f>
        <v>Milagros Morgan - Rectorado UPC</v>
      </c>
      <c r="J190" s="221" t="str">
        <f>[1]Sheet1!J190</f>
        <v>Miguel Chang</v>
      </c>
      <c r="K190" s="221"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221" t="str">
        <f>[1]Sheet1!L190</f>
        <v>Ninguno</v>
      </c>
      <c r="M190" s="151">
        <f>[1]Sheet1!M190</f>
        <v>46209</v>
      </c>
      <c r="N190" s="151" t="str">
        <f>[1]Sheet1!N190</f>
        <v>No</v>
      </c>
      <c r="O190" s="221">
        <f>[1]Sheet1!O190</f>
        <v>0</v>
      </c>
      <c r="P190" s="221">
        <f>[1]Sheet1!P190</f>
        <v>0</v>
      </c>
      <c r="Q190" s="221" t="str">
        <f>[1]Sheet1!Q190</f>
        <v>Otro</v>
      </c>
      <c r="R190" s="221" t="str">
        <f>[1]Sheet1!R190</f>
        <v>Actualmente, los estudiantes y la institución enfrentan dificultades para gestionar cambios académicos, financieros y administrativos de manera eficiente, afectando la experiencia del estudiante y la gestión interna.</v>
      </c>
      <c r="S190" s="221" t="str">
        <f>[1]Sheet1!S190</f>
        <v>Ver archivo adjunto con información del requerimiento. Link: https://educorpperu.sharepoint.com/:x:/s/Repositorio_EquipoCentral/dit/portafoliosyp/IQBPjj-nPuoDQbtwySJjx2sbAR4Cx0FwHcOnpoZf6N5wGdw?e=Qxpak7</v>
      </c>
      <c r="T190" s="221" t="str">
        <f>[1]Sheet1!T190</f>
        <v>Ver archivo adjunto con información del requerimiento. Link: https://educorpperu.sharepoint.com/:x:/s/Repositorio_EquipoCentral/dit/portafoliosyp/IQBPjj-nPuoDQbtwySJjx2sbAR4Cx0FwHcOnpoZf6N5wGdw?e=Qxpak16</v>
      </c>
      <c r="U190" s="221" t="str">
        <f>[1]Sheet1!U190</f>
        <v>Alumnos</v>
      </c>
      <c r="V190" s="221" t="str">
        <f>[1]Sheet1!V190</f>
        <v>Excelencia operativa</v>
      </c>
      <c r="W190" s="221" t="str">
        <f>[1]Sheet1!W190</f>
        <v>Si</v>
      </c>
      <c r="X190" s="221" t="str">
        <f>[1]Sheet1!X190</f>
        <v>No cuantificado o S/0</v>
      </c>
      <c r="Y190" s="221"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59"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59">
        <f>[1]Sheet1!AA190</f>
        <v>1.2000000000000002</v>
      </c>
    </row>
    <row r="191" spans="1:27" ht="18.600000000000001" customHeight="1">
      <c r="A191" s="64">
        <f>[1]Sheet1!A191</f>
        <v>217</v>
      </c>
      <c r="B191" s="220">
        <f>[1]Sheet1!B191</f>
        <v>46170.000833333303</v>
      </c>
      <c r="C191" s="220">
        <f>[1]Sheet1!C191</f>
        <v>46170.001875000002</v>
      </c>
      <c r="D191" s="221" t="str">
        <f>[1]Sheet1!D191</f>
        <v>carla.arias@laureate.pe</v>
      </c>
      <c r="E191" s="221" t="str">
        <f>[1]Sheet1!E191</f>
        <v>Carla Arias Schreiber Ulloa</v>
      </c>
      <c r="F191" s="221" t="str">
        <f>[1]Sheet1!F191</f>
        <v>[247] Registro de Horarios personalizado masivo (matricula)</v>
      </c>
      <c r="G191" s="221"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221" t="str">
        <f>[1]Sheet1!H191</f>
        <v>UPC</v>
      </c>
      <c r="I191" s="221" t="str">
        <f>[1]Sheet1!I191</f>
        <v>Milagros Morgan - Rectorado UPC</v>
      </c>
      <c r="J191" s="221" t="str">
        <f>[1]Sheet1!J191</f>
        <v>Miguel Chang</v>
      </c>
      <c r="K191" s="221"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221" t="str">
        <f>[1]Sheet1!L191</f>
        <v>Ninguno</v>
      </c>
      <c r="M191" s="151">
        <f>[1]Sheet1!M191</f>
        <v>46207</v>
      </c>
      <c r="N191" s="151" t="str">
        <f>[1]Sheet1!N191</f>
        <v>No</v>
      </c>
      <c r="O191" s="221">
        <f>[1]Sheet1!O191</f>
        <v>0</v>
      </c>
      <c r="P191" s="221">
        <f>[1]Sheet1!P191</f>
        <v>0</v>
      </c>
      <c r="Q191" s="221" t="str">
        <f>[1]Sheet1!Q191</f>
        <v>Otro</v>
      </c>
      <c r="R191" s="221" t="str">
        <f>[1]Sheet1!R191</f>
        <v>Actualmente, los estudiantes y la institución enfrentan dificultades para gestionar cambios académicos, financieros y administrativos de manera eficiente, afectando la experiencia del estudiante y la gestión interna.</v>
      </c>
      <c r="S191" s="221" t="str">
        <f>[1]Sheet1!S191</f>
        <v>Ver archivo adjunto con información del requerimiento. Link: https://educorpperu.sharepoint.com/:x:/s/Repositorio_EquipoCentral/dit/portafoliosyp/IQBPjj-nPuoDQbtwySJjx2sbAR4Cx0FwHcOnpoZf6N5wGdw?e=Qxpak7</v>
      </c>
      <c r="T191" s="221" t="str">
        <f>[1]Sheet1!T191</f>
        <v>Ver archivo adjunto con información del requerimiento. Link: https://educorpperu.sharepoint.com/:x:/s/Repositorio_EquipoCentral/dit/portafoliosyp/IQBPjj-nPuoDQbtwySJjx2sbAR4Cx0FwHcOnpoZf6N5wGdw?e=Qxpak16</v>
      </c>
      <c r="U191" s="221" t="str">
        <f>[1]Sheet1!U191</f>
        <v>Administrativos</v>
      </c>
      <c r="V191" s="221" t="str">
        <f>[1]Sheet1!V191</f>
        <v>Excelencia operativa</v>
      </c>
      <c r="W191" s="221" t="str">
        <f>[1]Sheet1!W191</f>
        <v>Si</v>
      </c>
      <c r="X191" s="221" t="str">
        <f>[1]Sheet1!X191</f>
        <v>No cuantificado o S/0</v>
      </c>
      <c r="Y191" s="221"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59"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59">
        <f>[1]Sheet1!AA191</f>
        <v>0.60000000000000009</v>
      </c>
    </row>
    <row r="192" spans="1:27" ht="18.600000000000001" customHeight="1">
      <c r="A192" s="64">
        <f>[1]Sheet1!A192</f>
        <v>218</v>
      </c>
      <c r="B192" s="220">
        <f>[1]Sheet1!B192</f>
        <v>46170.001956018503</v>
      </c>
      <c r="C192" s="220">
        <f>[1]Sheet1!C192</f>
        <v>46170.004374999997</v>
      </c>
      <c r="D192" s="221" t="str">
        <f>[1]Sheet1!D192</f>
        <v>carla.arias@laureate.pe</v>
      </c>
      <c r="E192" s="221" t="str">
        <f>[1]Sheet1!E192</f>
        <v>Carla Arias Schreiber Ulloa</v>
      </c>
      <c r="F192" s="221" t="str">
        <f>[1]Sheet1!F192</f>
        <v>[187] Trámite de permisos para llevar cursos de otra carrera</v>
      </c>
      <c r="G192" s="221"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221" t="str">
        <f>[1]Sheet1!H192</f>
        <v>UPC</v>
      </c>
      <c r="I192" s="221" t="str">
        <f>[1]Sheet1!I192</f>
        <v>Milagros Morgan - Rectorado UPC</v>
      </c>
      <c r="J192" s="221" t="str">
        <f>[1]Sheet1!J192</f>
        <v>Miguel Chang</v>
      </c>
      <c r="K192" s="221"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221" t="str">
        <f>[1]Sheet1!L192</f>
        <v>Ninguno</v>
      </c>
      <c r="M192" s="151">
        <f>[1]Sheet1!M192</f>
        <v>46209</v>
      </c>
      <c r="N192" s="151" t="str">
        <f>[1]Sheet1!N192</f>
        <v>No</v>
      </c>
      <c r="O192" s="221">
        <f>[1]Sheet1!O192</f>
        <v>0</v>
      </c>
      <c r="P192" s="221">
        <f>[1]Sheet1!P192</f>
        <v>0</v>
      </c>
      <c r="Q192" s="221" t="str">
        <f>[1]Sheet1!Q192</f>
        <v>Otro</v>
      </c>
      <c r="R192" s="221" t="str">
        <f>[1]Sheet1!R192</f>
        <v>Actualmente, los estudiantes y la institución enfrentan dificultades para gestionar cambios académicos, financieros y administrativos de manera eficiente, afectando la experiencia del estudiante y la gestión interna.</v>
      </c>
      <c r="S192" s="221" t="str">
        <f>[1]Sheet1!S192</f>
        <v>Ver archivo adjunto con información del requerimiento. Link: https://educorpperu.sharepoint.com/:x:/s/Repositorio_EquipoCentral/dit/portafoliosyp/IQBPjj-nPuoDQbtwySJjx2sbAR4Cx0FwHcOnpoZf6N5wGdw?e=Qxpak7</v>
      </c>
      <c r="T192" s="221" t="str">
        <f>[1]Sheet1!T192</f>
        <v>Ver archivo adjunto con información del requerimiento. Link: https://educorpperu.sharepoint.com/:x:/s/Repositorio_EquipoCentral/dit/portafoliosyp/IQBPjj-nPuoDQbtwySJjx2sbAR4Cx0FwHcOnpoZf6N5wGdw?e=Qxpak7</v>
      </c>
      <c r="U192" s="221" t="str">
        <f>[1]Sheet1!U192</f>
        <v>Alumnos</v>
      </c>
      <c r="V192" s="221" t="str">
        <f>[1]Sheet1!V192</f>
        <v>Excelencia operativa</v>
      </c>
      <c r="W192" s="221" t="str">
        <f>[1]Sheet1!W192</f>
        <v>Si</v>
      </c>
      <c r="X192" s="221" t="str">
        <f>[1]Sheet1!X192</f>
        <v>No cuantificado o S/0</v>
      </c>
      <c r="Y192" s="221"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59"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59">
        <f>[1]Sheet1!AA192</f>
        <v>1.2000000000000002</v>
      </c>
    </row>
    <row r="193" spans="1:27" ht="18.600000000000001" customHeight="1">
      <c r="A193" s="64">
        <f>[1]Sheet1!A193</f>
        <v>219</v>
      </c>
      <c r="B193" s="220">
        <f>[1]Sheet1!B193</f>
        <v>46170.004328703697</v>
      </c>
      <c r="C193" s="220">
        <f>[1]Sheet1!C193</f>
        <v>46170.005775463003</v>
      </c>
      <c r="D193" s="221" t="str">
        <f>[1]Sheet1!D193</f>
        <v>carla.arias@laureate.pe</v>
      </c>
      <c r="E193" s="221" t="str">
        <f>[1]Sheet1!E193</f>
        <v>Carla Arias Schreiber Ulloa</v>
      </c>
      <c r="F193" s="221" t="str">
        <f>[1]Sheet1!F193</f>
        <v>[257] Reporte alumnos reanudantes</v>
      </c>
      <c r="G193" s="221"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221" t="str">
        <f>[1]Sheet1!H193</f>
        <v>UPC</v>
      </c>
      <c r="I193" s="221" t="str">
        <f>[1]Sheet1!I193</f>
        <v>Milagros Morgan - Rectorado UPC</v>
      </c>
      <c r="J193" s="221" t="str">
        <f>[1]Sheet1!J193</f>
        <v>Miguel Chang</v>
      </c>
      <c r="K193" s="221"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221" t="str">
        <f>[1]Sheet1!L193</f>
        <v>Ninguno</v>
      </c>
      <c r="M193" s="151">
        <f>[1]Sheet1!M193</f>
        <v>46209</v>
      </c>
      <c r="N193" s="151" t="str">
        <f>[1]Sheet1!N193</f>
        <v>No</v>
      </c>
      <c r="O193" s="221">
        <f>[1]Sheet1!O193</f>
        <v>0</v>
      </c>
      <c r="P193" s="221">
        <f>[1]Sheet1!P193</f>
        <v>0</v>
      </c>
      <c r="Q193" s="221" t="str">
        <f>[1]Sheet1!Q193</f>
        <v>Otro</v>
      </c>
      <c r="R193" s="221" t="str">
        <f>[1]Sheet1!R193</f>
        <v>Actualmente, los estudiantes y la institución enfrentan dificultades para gestionar cambios académicos, financieros y administrativos de manera eficiente, afectando la experiencia del estudiante y la gestión interna.</v>
      </c>
      <c r="S193" s="221" t="str">
        <f>[1]Sheet1!S193</f>
        <v>Ver archivo adjunto con información del requerimiento. Link: https://educorpperu.sharepoint.com/:x:/s/Repositorio_EquipoCentral/dit/portafoliosyp/IQBPjj-nPuoDQbtwySJjx2sbAR4Cx0FwHcOnpoZf6N5wGdw?e=Qxpak7</v>
      </c>
      <c r="T193" s="221" t="str">
        <f>[1]Sheet1!T193</f>
        <v>Ver archivo adjunto con información del requerimiento. Link: https://educorpperu.sharepoint.com/:x:/s/Repositorio_EquipoCentral/dit/portafoliosyp/IQBPjj-nPuoDQbtwySJjx2sbAR4Cx0FwHcOnpoZf6N5wGdw?e=Qxpak7</v>
      </c>
      <c r="U193" s="221" t="str">
        <f>[1]Sheet1!U193</f>
        <v>Alumnos</v>
      </c>
      <c r="V193" s="221" t="str">
        <f>[1]Sheet1!V193</f>
        <v>Excelencia operativa</v>
      </c>
      <c r="W193" s="221" t="str">
        <f>[1]Sheet1!W193</f>
        <v>Si</v>
      </c>
      <c r="X193" s="221" t="str">
        <f>[1]Sheet1!X193</f>
        <v>No cuantificado o S/0</v>
      </c>
      <c r="Y193" s="221"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59"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59">
        <f>[1]Sheet1!AA193</f>
        <v>1.2000000000000002</v>
      </c>
    </row>
    <row r="194" spans="1:27" ht="18.600000000000001" customHeight="1">
      <c r="A194" s="64">
        <f>[1]Sheet1!A194</f>
        <v>220</v>
      </c>
      <c r="B194" s="220">
        <f>[1]Sheet1!B194</f>
        <v>46170.005717592598</v>
      </c>
      <c r="C194" s="220">
        <f>[1]Sheet1!C194</f>
        <v>46170.006967592599</v>
      </c>
      <c r="D194" s="221" t="str">
        <f>[1]Sheet1!D194</f>
        <v>carla.arias@laureate.pe</v>
      </c>
      <c r="E194" s="221" t="str">
        <f>[1]Sheet1!E194</f>
        <v>Carla Arias Schreiber Ulloa</v>
      </c>
      <c r="F194" s="221" t="str">
        <f>[1]Sheet1!F194</f>
        <v>[258] MDUU eliminación masiva de atributos</v>
      </c>
      <c r="G194" s="221"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221" t="str">
        <f>[1]Sheet1!H194</f>
        <v>UPC</v>
      </c>
      <c r="I194" s="221" t="str">
        <f>[1]Sheet1!I194</f>
        <v>Milagros Morgan - Rectorado UPC</v>
      </c>
      <c r="J194" s="221" t="str">
        <f>[1]Sheet1!J194</f>
        <v>Miguel Chang</v>
      </c>
      <c r="K194" s="221"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221" t="str">
        <f>[1]Sheet1!L194</f>
        <v>Ninguno</v>
      </c>
      <c r="M194" s="151">
        <f>[1]Sheet1!M194</f>
        <v>46209</v>
      </c>
      <c r="N194" s="151" t="str">
        <f>[1]Sheet1!N194</f>
        <v>No</v>
      </c>
      <c r="O194" s="221">
        <f>[1]Sheet1!O194</f>
        <v>0</v>
      </c>
      <c r="P194" s="221">
        <f>[1]Sheet1!P194</f>
        <v>0</v>
      </c>
      <c r="Q194" s="221" t="str">
        <f>[1]Sheet1!Q194</f>
        <v>Otro</v>
      </c>
      <c r="R194" s="221" t="str">
        <f>[1]Sheet1!R194</f>
        <v>Actualmente, los estudiantes y la institución enfrentan dificultades para gestionar cambios académicos, financieros y administrativos de manera eficiente, afectando la experiencia del estudiante y la gestión interna.</v>
      </c>
      <c r="S194" s="221" t="str">
        <f>[1]Sheet1!S194</f>
        <v>Ver archivo adjunto con información del requerimiento. Link: https://educorpperu.sharepoint.com/:x:/s/Repositorio_EquipoCentral/dit/portafoliosyp/IQBPjj-nPuoDQbtwySJjx2sbAR4Cx0FwHcOnpoZf6N5wGdw?e=Qxpak7</v>
      </c>
      <c r="T194" s="221" t="str">
        <f>[1]Sheet1!T194</f>
        <v>Ver archivo adjunto con información del requerimiento. Link: https://educorpperu.sharepoint.com/:x:/s/Repositorio_EquipoCentral/dit/portafoliosyp/IQBPjj-nPuoDQbtwySJjx2sbAR4Cx0FwHcOnpoZf6N5wGdw?e=Qxpak7</v>
      </c>
      <c r="U194" s="221" t="str">
        <f>[1]Sheet1!U194</f>
        <v>Alumnos</v>
      </c>
      <c r="V194" s="221" t="str">
        <f>[1]Sheet1!V194</f>
        <v>Excelencia operativa</v>
      </c>
      <c r="W194" s="221" t="str">
        <f>[1]Sheet1!W194</f>
        <v>Si</v>
      </c>
      <c r="X194" s="221" t="str">
        <f>[1]Sheet1!X194</f>
        <v>No cuantificado o S/0</v>
      </c>
      <c r="Y194" s="221"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59"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59">
        <f>[1]Sheet1!AA194</f>
        <v>1.2000000000000002</v>
      </c>
    </row>
    <row r="195" spans="1:27" ht="18.600000000000001" customHeight="1">
      <c r="A195" s="64">
        <f>[1]Sheet1!A195</f>
        <v>221</v>
      </c>
      <c r="B195" s="220">
        <f>[1]Sheet1!B195</f>
        <v>46170.006446759297</v>
      </c>
      <c r="C195" s="220">
        <f>[1]Sheet1!C195</f>
        <v>46170.007523148102</v>
      </c>
      <c r="D195" s="221" t="str">
        <f>[1]Sheet1!D195</f>
        <v>carla.arias@laureate.pe</v>
      </c>
      <c r="E195" s="221" t="str">
        <f>[1]Sheet1!E195</f>
        <v>Carla Arias Schreiber Ulloa</v>
      </c>
      <c r="F195" s="221" t="str">
        <f>[1]Sheet1!F195</f>
        <v>[263] MDUU CAMBIO_PERIODO_CTLG</v>
      </c>
      <c r="G195" s="221"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221" t="str">
        <f>[1]Sheet1!H195</f>
        <v>UPC</v>
      </c>
      <c r="I195" s="221" t="str">
        <f>[1]Sheet1!I195</f>
        <v>Milagros Morgan - Rectorado UPC</v>
      </c>
      <c r="J195" s="221" t="str">
        <f>[1]Sheet1!J195</f>
        <v>Miguel Chang</v>
      </c>
      <c r="K195" s="221"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221" t="str">
        <f>[1]Sheet1!L195</f>
        <v>Ninguno</v>
      </c>
      <c r="M195" s="151">
        <f>[1]Sheet1!M195</f>
        <v>46209</v>
      </c>
      <c r="N195" s="151" t="str">
        <f>[1]Sheet1!N195</f>
        <v>No</v>
      </c>
      <c r="O195" s="221">
        <f>[1]Sheet1!O195</f>
        <v>0</v>
      </c>
      <c r="P195" s="221">
        <f>[1]Sheet1!P195</f>
        <v>0</v>
      </c>
      <c r="Q195" s="221" t="str">
        <f>[1]Sheet1!Q195</f>
        <v>Otro</v>
      </c>
      <c r="R195" s="221" t="str">
        <f>[1]Sheet1!R195</f>
        <v>Actualmente, los estudiantes y la institución enfrentan dificultades para gestionar cambios académicos, financieros y administrativos de manera eficiente, afectando la experiencia del estudiante y la gestión interna.</v>
      </c>
      <c r="S195" s="221" t="str">
        <f>[1]Sheet1!S195</f>
        <v>Ver archivo adjunto con información del requerimiento. Link: https://educorpperu.sharepoint.com/:x:/s/Repositorio_EquipoCentral/dit/portafoliosyp/IQBPjj-nPuoDQbtwySJjx2sbAR4Cx0FwHcOnpoZf6N5wGdw?e=Qxpak7</v>
      </c>
      <c r="T195" s="221" t="str">
        <f>[1]Sheet1!T195</f>
        <v>Ver archivo adjunto con información del requerimiento. Link: https://educorpperu.sharepoint.com/:x:/s/Repositorio_EquipoCentral/dit/portafoliosyp/IQBPjj-nPuoDQbtwySJjx2sbAR4Cx0FwHcOnpoZf6N5wGdw?e=Qxpak7</v>
      </c>
      <c r="U195" s="221" t="str">
        <f>[1]Sheet1!U195</f>
        <v>Alumnos</v>
      </c>
      <c r="V195" s="221" t="str">
        <f>[1]Sheet1!V195</f>
        <v>Excelencia operativa</v>
      </c>
      <c r="W195" s="221" t="str">
        <f>[1]Sheet1!W195</f>
        <v>Si</v>
      </c>
      <c r="X195" s="221" t="str">
        <f>[1]Sheet1!X195</f>
        <v>No cuantificado o S/0</v>
      </c>
      <c r="Y195" s="221"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59"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59">
        <f>[1]Sheet1!AA195</f>
        <v>1.2000000000000002</v>
      </c>
    </row>
    <row r="196" spans="1:27" ht="51" customHeight="1">
      <c r="A196" s="59">
        <f>[1]Sheet1!A196</f>
        <v>222</v>
      </c>
      <c r="B196" s="220">
        <f>[1]Sheet1!B196</f>
        <v>46170.377951388902</v>
      </c>
      <c r="C196" s="220">
        <f>[1]Sheet1!C196</f>
        <v>46170.668530092596</v>
      </c>
      <c r="D196" s="221" t="str">
        <f>[1]Sheet1!D196</f>
        <v>angela.lucano@laureate.pe</v>
      </c>
      <c r="E196" s="221" t="str">
        <f>[1]Sheet1!E196</f>
        <v>Angela Lucano Carranza</v>
      </c>
      <c r="F196" s="221" t="str">
        <f>[1]Sheet1!F196</f>
        <v>UPC - Modernización y continuidad operativa del Repositorio Académico</v>
      </c>
      <c r="G196" s="221"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221" t="str">
        <f>[1]Sheet1!H196</f>
        <v>UPC</v>
      </c>
      <c r="I196" s="221" t="str">
        <f>[1]Sheet1!I196</f>
        <v>Milagros Morgan - Rectorado UPC</v>
      </c>
      <c r="J196" s="221" t="str">
        <f>[1]Sheet1!J196</f>
        <v>Cecilia Justino</v>
      </c>
      <c r="K196" s="221"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221" t="str">
        <f>[1]Sheet1!L196</f>
        <v>Ángela Lucano</v>
      </c>
      <c r="M196" s="151">
        <f>[1]Sheet1!M196</f>
        <v>46356</v>
      </c>
      <c r="N196" s="151" t="str">
        <f>[1]Sheet1!N196</f>
        <v>No</v>
      </c>
      <c r="O196" s="221">
        <f>[1]Sheet1!O196</f>
        <v>0</v>
      </c>
      <c r="P196" s="221">
        <f>[1]Sheet1!P196</f>
        <v>0</v>
      </c>
      <c r="Q196" s="221" t="str">
        <f>[1]Sheet1!Q196</f>
        <v>Otro</v>
      </c>
      <c r="R196" s="221" t="str">
        <f>[1]Sheet1!R196</f>
        <v>El repositorio opera sobre una versión antigua de DSpace sin soporte oficial ni actualizaciones, lo que genera riesgos operativos altos y observaciones de seguridad, además de ofrecer una interfaz rígida y estadísticas limitadas.</v>
      </c>
      <c r="S196" s="221" t="str">
        <f>[1]Sheet1!S196</f>
        <v>Migrar a una infraestructura robusta de última generación (DSpace 7+) con soporte experto 24/7, que resuelva de inmediato las brechas de seguridad, ofrezca una experiencia de usuario intuitiva y moderna, e implemente un módulo de analítica avanzada.</v>
      </c>
      <c r="T196" s="221"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221" t="str">
        <f>[1]Sheet1!U196</f>
        <v>Todos</v>
      </c>
      <c r="V196" s="221" t="str">
        <f>[1]Sheet1!V196</f>
        <v>Excelencia operativa</v>
      </c>
      <c r="W196" s="221" t="str">
        <f>[1]Sheet1!W196</f>
        <v>No</v>
      </c>
      <c r="X196" s="221" t="str">
        <f>[1]Sheet1!X196</f>
        <v>No cuantificado o S/0</v>
      </c>
      <c r="Y196" s="221"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59"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59">
        <f>[1]Sheet1!AA196</f>
        <v>1.2000000000000002</v>
      </c>
    </row>
    <row r="197" spans="1:27" ht="42" customHeight="1">
      <c r="A197" s="59">
        <f>[1]Sheet1!A197</f>
        <v>223</v>
      </c>
      <c r="B197" s="220">
        <f>[1]Sheet1!B197</f>
        <v>46170.759953703702</v>
      </c>
      <c r="C197" s="220">
        <f>[1]Sheet1!C197</f>
        <v>46170.7745138889</v>
      </c>
      <c r="D197" s="221" t="str">
        <f>[1]Sheet1!D197</f>
        <v>carla.arias@laureate.pe</v>
      </c>
      <c r="E197" s="221" t="str">
        <f>[1]Sheet1!E197</f>
        <v>Carla Arias Schreiber Ulloa</v>
      </c>
      <c r="F197" s="221" t="str">
        <f>[1]Sheet1!F197</f>
        <v>Modificación de query de RPA de Horarios Convalidantes [urgente]</v>
      </c>
      <c r="G197" s="221"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221" t="str">
        <f>[1]Sheet1!H197</f>
        <v>UPN</v>
      </c>
      <c r="I197" s="221" t="str">
        <f>[1]Sheet1!I197</f>
        <v>Martín Santana - Rectorado UPN</v>
      </c>
      <c r="J197" s="221" t="str">
        <f>[1]Sheet1!J197</f>
        <v>Adolfo Correa</v>
      </c>
      <c r="K197" s="221" t="str">
        <f>[1]Sheet1!K197</f>
        <v>https://educorpperu-my.sharepoint.com/personal/diana_zapata_laureate_pe1/Documents/Aplicaciones/Microsoft%20Forms/REGISTRO%20DE%20INICIATIVAS%20-%20GESTI%C3%93N%20DE%20LA%20DEMANDA%20(2%201/Pregunta/VB%20Direcci%C3%B3n%20de%20Operaciones%20Acad%C3%A9micas_Carla%20Arias%20Schreibe.png</v>
      </c>
      <c r="L197" s="221" t="str">
        <f>[1]Sheet1!L197</f>
        <v>Carla Arias-Schreiber</v>
      </c>
      <c r="M197" s="151">
        <f>[1]Sheet1!M197</f>
        <v>46185</v>
      </c>
      <c r="N197" s="151" t="str">
        <f>[1]Sheet1!N197</f>
        <v>No</v>
      </c>
      <c r="O197" s="221">
        <f>[1]Sheet1!O197</f>
        <v>0</v>
      </c>
      <c r="P197" s="221">
        <f>[1]Sheet1!P197</f>
        <v>0</v>
      </c>
      <c r="Q197" s="221" t="str">
        <f>[1]Sheet1!Q197</f>
        <v>Otro</v>
      </c>
      <c r="R197" s="221"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221" t="str">
        <f>[1]Sheet1!S197</f>
        <v>Que la query incluya criterios de ordenamiento de clases, validados con las áreas académicas, a fin de asegurar una mayor efectividad y registro de matrículas.</v>
      </c>
      <c r="T197" s="221" t="str">
        <f>[1]Sheet1!T197</f>
        <v>Admisión y matrícula de estudiantes nuevos</v>
      </c>
      <c r="U197" s="221" t="str">
        <f>[1]Sheet1!U197</f>
        <v>Alumnos</v>
      </c>
      <c r="V197" s="221" t="str">
        <f>[1]Sheet1!V197</f>
        <v>Crecimiento escalable</v>
      </c>
      <c r="W197" s="221" t="str">
        <f>[1]Sheet1!W197</f>
        <v>No</v>
      </c>
      <c r="X197" s="221" t="str">
        <f>[1]Sheet1!X197</f>
        <v>Entre S/100,000.00 y S/500,000.00</v>
      </c>
      <c r="Y197" s="221" t="str">
        <f>[1]Sheet1!Y197</f>
        <v>Impacto aproximado en 1000 NE sin horarios.
Sin horarios, hay gran posibilidad de deserción y no pago de la CM (promedio S/. 750 por estudiante)</v>
      </c>
      <c r="Z197" s="59" t="str">
        <f>[1]Sheet1!Z197</f>
        <v>https://educorpperu-my.sharepoint.com/personal/diana_zapata_laureate_pe1/_layouts/15/Doc.aspx?sourcedoc=%7B45E01FAF-19EF-4B31-AA5C-E27A0AF53719%7D&amp;file=Reglas%20RPA%20Convalidaci%C3%B3n_Carla%20Arias%20Schreibe.xlsx&amp;action=default&amp;mobileredirect=true</v>
      </c>
      <c r="AA197" s="59">
        <f>[1]Sheet1!AA197</f>
        <v>1.7</v>
      </c>
    </row>
    <row r="198" spans="1:27" ht="40.5" customHeight="1">
      <c r="A198" s="59">
        <f>[1]Sheet1!A198</f>
        <v>224</v>
      </c>
      <c r="B198" s="220">
        <f>[1]Sheet1!B198</f>
        <v>46175.551284722198</v>
      </c>
      <c r="C198" s="220">
        <f>[1]Sheet1!C198</f>
        <v>46175.568969907399</v>
      </c>
      <c r="D198" s="221" t="str">
        <f>[1]Sheet1!D198</f>
        <v>carla.arias@laureate.pe</v>
      </c>
      <c r="E198" s="221" t="str">
        <f>[1]Sheet1!E198</f>
        <v>Carla Arias Schreiber Ulloa</v>
      </c>
      <c r="F198" s="221" t="str">
        <f>[1]Sheet1!F198</f>
        <v>[Urgente] Subsanar impacto en Retiro de Cursos</v>
      </c>
      <c r="G198" s="221"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221" t="str">
        <f>[1]Sheet1!H198</f>
        <v>UPN</v>
      </c>
      <c r="I198" s="221" t="str">
        <f>[1]Sheet1!I198</f>
        <v>Martín Santana - Rectorado UPN</v>
      </c>
      <c r="J198" s="221" t="str">
        <f>[1]Sheet1!J198</f>
        <v>Luz Marina Flores</v>
      </c>
      <c r="K198" s="221"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221" t="str">
        <f>[1]Sheet1!L198</f>
        <v>Carla Arias-Schreiber</v>
      </c>
      <c r="M198" s="151">
        <f>[1]Sheet1!M198</f>
        <v>46178</v>
      </c>
      <c r="N198" s="151" t="str">
        <f>[1]Sheet1!N198</f>
        <v>No</v>
      </c>
      <c r="O198" s="221">
        <f>[1]Sheet1!O198</f>
        <v>0</v>
      </c>
      <c r="P198" s="221">
        <f>[1]Sheet1!P198</f>
        <v>0</v>
      </c>
      <c r="Q198" s="221" t="str">
        <f>[1]Sheet1!Q198</f>
        <v>Normativa</v>
      </c>
      <c r="R198" s="221" t="str">
        <f>[1]Sheet1!R198</f>
        <v xml:space="preserve">Los estudiantes pueden retirarse de en cursos están finalizados, incumpliendo nuestro reglamento de estudios.
</v>
      </c>
      <c r="S198" s="221" t="str">
        <f>[1]Sheet1!S198</f>
        <v>Asegurar que las solicitudes de retiro de cursos solo permitan seleccionar los cursos habilitados, es decir, que a la fecha de la solicitud el curso no haya culminado.</v>
      </c>
      <c r="T198" s="221" t="str">
        <f>[1]Sheet1!T198</f>
        <v>Retiro de Curso</v>
      </c>
      <c r="U198" s="221" t="str">
        <f>[1]Sheet1!U198</f>
        <v>Alumnos</v>
      </c>
      <c r="V198" s="221" t="str">
        <f>[1]Sheet1!V198</f>
        <v>Excelencia académica</v>
      </c>
      <c r="W198" s="221" t="str">
        <f>[1]Sheet1!W198</f>
        <v>No</v>
      </c>
      <c r="X198" s="221" t="str">
        <f>[1]Sheet1!X198</f>
        <v>No cuantificado o S/0</v>
      </c>
      <c r="Y198" s="221" t="str">
        <f>[1]Sheet1!Y198</f>
        <v>Cumplimiento de reglamento de estudios</v>
      </c>
      <c r="Z198" s="59"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59">
        <f>[1]Sheet1!AA198</f>
        <v>2.9</v>
      </c>
    </row>
    <row r="199" spans="1:27" ht="51" customHeight="1">
      <c r="A199" s="59">
        <f>[1]Sheet1!A199</f>
        <v>225</v>
      </c>
      <c r="B199" s="220">
        <f>[1]Sheet1!B199</f>
        <v>46181.983622685198</v>
      </c>
      <c r="C199" s="220">
        <f>[1]Sheet1!C199</f>
        <v>46181.992662037002</v>
      </c>
      <c r="D199" s="221" t="str">
        <f>[1]Sheet1!D199</f>
        <v>nicolas.morales@laureate.pe</v>
      </c>
      <c r="E199" s="221" t="str">
        <f>[1]Sheet1!E199</f>
        <v>Nicolas Morales Chumpitaz</v>
      </c>
      <c r="F199" s="221" t="str">
        <f>[1]Sheet1!F199</f>
        <v>Mejora en el proceso de Matrícula WeTalk</v>
      </c>
      <c r="G199" s="221" t="str">
        <f>[1]Sheet1!G199</f>
        <v>Necesitamos mejorar el proceso de Matrícula con reglas de negocio claras, a fin de tener agilidad del proceso mediante la simplificación y soporte de soluciones tecnológicas.</v>
      </c>
      <c r="H199" s="221" t="str">
        <f>[1]Sheet1!H199</f>
        <v>UPC</v>
      </c>
      <c r="I199" s="221" t="str">
        <f>[1]Sheet1!I199</f>
        <v>Milagros Morgan - Rectorado UPC</v>
      </c>
      <c r="J199" s="221" t="str">
        <f>[1]Sheet1!J199</f>
        <v>Sara Miller</v>
      </c>
      <c r="K199" s="221" t="str">
        <f>[1]Sheet1!K199</f>
        <v>https://educorpperu-my.sharepoint.com/personal/diana_zapata_laureate_pe1/Documents/Aplicaciones/Microsoft%20Forms/REGISTRO%20DE%20INICIATIVAS%20-%20GESTI%C3%93N%20DE%20LA%20DEMANDA%20(2%201/Pregunta/RE%20SPO%20Iniciativa%20Productividad%20WeTalk%20cLEAN_Nicolas%20Morales%20Chum%203.png</v>
      </c>
      <c r="L199" s="221" t="str">
        <f>[1]Sheet1!L199</f>
        <v>Ninguno</v>
      </c>
      <c r="M199" s="151">
        <f>[1]Sheet1!M199</f>
        <v>46387</v>
      </c>
      <c r="N199" s="151" t="str">
        <f>[1]Sheet1!N199</f>
        <v>Si</v>
      </c>
      <c r="O199" s="221" t="str">
        <f>[1]Sheet1!O199</f>
        <v>G&amp;A</v>
      </c>
      <c r="P199" s="221">
        <f>[1]Sheet1!P199</f>
        <v>77544</v>
      </c>
      <c r="Q199" s="221" t="str">
        <f>[1]Sheet1!Q199</f>
        <v>Otro</v>
      </c>
      <c r="R199" s="221" t="str">
        <f>[1]Sheet1!R199</f>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
      <c r="S199" s="221" t="str">
        <f>[1]Sheet1!S199</f>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
      <c r="T199" s="221" t="str">
        <f>[1]Sheet1!T199</f>
        <v>WeTalk UPC</v>
      </c>
      <c r="U199" s="221" t="str">
        <f>[1]Sheet1!U199</f>
        <v>Alumnos</v>
      </c>
      <c r="V199" s="221" t="str">
        <f>[1]Sheet1!V199</f>
        <v>Excelencia operativa</v>
      </c>
      <c r="W199" s="221" t="str">
        <f>[1]Sheet1!W199</f>
        <v>No</v>
      </c>
      <c r="X199" s="221" t="str">
        <f>[1]Sheet1!X199</f>
        <v>Menor a S/100,000.00</v>
      </c>
      <c r="Y199" s="221" t="str">
        <f>[1]Sheet1!Y199</f>
        <v>Mejora en la experiencia del colaborador
Reducción de un tiempo operativo por demoras en tiempo de respuesta</v>
      </c>
      <c r="Z199" s="59" t="str">
        <f>[1]Sheet1!Z199</f>
        <v>https://educorpperu-my.sharepoint.com/personal/diana_zapata_laureate_pe1/_layouts/15/Doc.aspx?sourcedoc=%7B8CDBE70E-7BB8-4804-AF04-26DEBBF272D7%7D&amp;file=LEAN%2BIA_Pitch%20TI_WeTALK%20(1)_Nicolas%20Morales%20Chum.pptx&amp;action=edit&amp;mobileredirect=true</v>
      </c>
      <c r="AA199" s="59">
        <f>[1]Sheet1!AA199</f>
        <v>2.85</v>
      </c>
    </row>
    <row r="200" spans="1:27" ht="71.25" customHeight="1">
      <c r="A200" s="59">
        <f>[1]Sheet1!A200</f>
        <v>226</v>
      </c>
      <c r="B200" s="220">
        <f>[1]Sheet1!B200</f>
        <v>46182.696863425903</v>
      </c>
      <c r="C200" s="220">
        <f>[1]Sheet1!C200</f>
        <v>46182.705856481502</v>
      </c>
      <c r="D200" s="221" t="str">
        <f>[1]Sheet1!D200</f>
        <v>jose.herbozo@laureate.pe</v>
      </c>
      <c r="E200" s="221" t="str">
        <f>[1]Sheet1!E200</f>
        <v>José Paredes Herbozo</v>
      </c>
      <c r="F200" s="221" t="str">
        <f>[1]Sheet1!F200</f>
        <v>Actualización en tiempo real del campo "Monto a Pagar" del CRM</v>
      </c>
      <c r="G200" s="221" t="str">
        <f>[1]Sheet1!G200</f>
        <v xml:space="preserve">Poder extraer este campo como parte de las vistas de "Matrícula" que se tiene desde CRM. </v>
      </c>
      <c r="H200" s="221" t="str">
        <f>[1]Sheet1!H200</f>
        <v>UPN</v>
      </c>
      <c r="I200" s="221" t="str">
        <f>[1]Sheet1!I200</f>
        <v>Alex Pendavis - VP Finanzas</v>
      </c>
      <c r="J200" s="221" t="str">
        <f>[1]Sheet1!J200</f>
        <v>Álvaro Verástegui</v>
      </c>
      <c r="K200" s="221" t="str">
        <f>[1]Sheet1!K200</f>
        <v>https://educorpperu-my.sharepoint.com/personal/diana_zapata_laureate_pe1/Documents/Aplicaciones/Microsoft%20Forms/REGISTRO%20DE%20INICIATIVAS%20-%20GESTI%C3%93N%20DE%20LA%20DEMANDA%20(2%201/Pregunta/olk_tSJiqCRjNS_Jos%C3%A9%20Paredes%20Herbozo.png</v>
      </c>
      <c r="L200" s="221" t="str">
        <f>[1]Sheet1!L200</f>
        <v>Jose Paredes</v>
      </c>
      <c r="M200" s="151">
        <f>[1]Sheet1!M200</f>
        <v>46198</v>
      </c>
      <c r="N200" s="151" t="str">
        <f>[1]Sheet1!N200</f>
        <v>No</v>
      </c>
      <c r="O200" s="221">
        <f>[1]Sheet1!O200</f>
        <v>0</v>
      </c>
      <c r="P200" s="221">
        <f>[1]Sheet1!P200</f>
        <v>0</v>
      </c>
      <c r="Q200" s="221" t="str">
        <f>[1]Sheet1!Q200</f>
        <v>Otro</v>
      </c>
      <c r="R200" s="221" t="str">
        <f>[1]Sheet1!R200</f>
        <v>El campo "Monto a Pagar" del CRM no se actualiza en tiempo real, a pesar de que sí tiene conceptos asociados y visibles (DA/DI, PM, CM).
Esta lógica viene así desde hace tiempo pero últimamente este campo demora más en actualizar, no se sabe el motivo.</v>
      </c>
      <c r="S200" s="221" t="str">
        <f>[1]Sheet1!S200</f>
        <v>Que el campo "Monto a Pagar" se actualiza en tiempo real de acuerdo a los montos de los conceptos que vayan llegando al CRM (DA/DI, PM, CM)</v>
      </c>
      <c r="T200" s="221" t="str">
        <f>[1]Sheet1!T200</f>
        <v>- Funnel Comercial
- Admisión
- Ratio de ventas</v>
      </c>
      <c r="U200" s="221" t="str">
        <f>[1]Sheet1!U200</f>
        <v>Administrativos</v>
      </c>
      <c r="V200" s="221" t="str">
        <f>[1]Sheet1!V200</f>
        <v>Crecimiento escalable</v>
      </c>
      <c r="W200" s="221" t="str">
        <f>[1]Sheet1!W200</f>
        <v>No</v>
      </c>
      <c r="X200" s="221" t="str">
        <f>[1]Sheet1!X200</f>
        <v>Entre S/100,000.00 y S/500,000.00</v>
      </c>
      <c r="Y200" s="221" t="str">
        <f>[1]Sheet1!Y200</f>
        <v>Tener la información a tiempo y poder tomar decisiones estratégicas desde el frente comercial.</v>
      </c>
      <c r="Z200" s="59" t="str">
        <f>[1]Sheet1!Z200</f>
        <v>https://educorpperu-my.sharepoint.com/personal/diana_zapata_laureate_pe1/_layouts/15/Doc.aspx?sourcedoc=%7B0553A9B5-286C-4B66-9516-95B3B41E3BDA%7D&amp;file=Monto%20a%20Pagar%20en%20tiempo%20real_Jos%C3%A9%20Paredes%20Herbozo.pptx&amp;action=edit&amp;mobileredirect=true</v>
      </c>
      <c r="AA200" s="59">
        <f>[1]Sheet1!AA200</f>
        <v>1.0999999999999999</v>
      </c>
    </row>
    <row r="201" spans="1:27" ht="63" customHeight="1">
      <c r="A201" s="59">
        <f>[1]Sheet1!A201</f>
        <v>227</v>
      </c>
      <c r="B201" s="220">
        <f>[1]Sheet1!B201</f>
        <v>46183.502546296302</v>
      </c>
      <c r="C201" s="220">
        <f>[1]Sheet1!C201</f>
        <v>46183.627280092602</v>
      </c>
      <c r="D201" s="221" t="str">
        <f>[1]Sheet1!D201</f>
        <v>diana.zapata@laureate.pe</v>
      </c>
      <c r="E201" s="221" t="str">
        <f>[1]Sheet1!E201</f>
        <v>Diana Zapata Del Mar</v>
      </c>
      <c r="F201" s="221" t="str">
        <f>[1]Sheet1!F201</f>
        <v>Aplicación de la gestión de la demanda - Fase 1</v>
      </c>
      <c r="G201" s="221" t="str">
        <f>[1]Sheet1!G201</f>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
      <c r="H201" s="221" t="str">
        <f>[1]Sheet1!H201</f>
        <v>LAUREATE</v>
      </c>
      <c r="I201" s="221" t="str">
        <f>[1]Sheet1!I201</f>
        <v>Humberto Marota - Tecnologías y transformación digital</v>
      </c>
      <c r="J201" s="221" t="str">
        <f>[1]Sheet1!J201</f>
        <v>Omar Zuñiga</v>
      </c>
      <c r="K201" s="221" t="str">
        <f>[1]Sheet1!K201</f>
        <v>https://educorpperu-my.sharepoint.com/personal/diana_zapata_laureate_pe1/Documents/Aplicaciones/Microsoft%20Forms/REGISTRO%20DE%20INICIATIVAS%20-%20GESTI%C3%93N%20DE%20LA%20DEMANDA%20(2%201/Pregunta/Aprobaci%C3%B3n%20Omar%20Z._Diana%20Zapata%20Del%20Mar.pdf</v>
      </c>
      <c r="L201" s="221" t="str">
        <f>[1]Sheet1!L201</f>
        <v>Ninguno</v>
      </c>
      <c r="M201" s="151">
        <f>[1]Sheet1!M201</f>
        <v>46263</v>
      </c>
      <c r="N201" s="151" t="str">
        <f>[1]Sheet1!N201</f>
        <v>No</v>
      </c>
      <c r="O201" s="221">
        <f>[1]Sheet1!O201</f>
        <v>0</v>
      </c>
      <c r="P201" s="221">
        <f>[1]Sheet1!P201</f>
        <v>0</v>
      </c>
      <c r="Q201" s="221" t="str">
        <f>[1]Sheet1!Q201</f>
        <v>Otro</v>
      </c>
      <c r="R201" s="221" t="str">
        <f>[1]Sheet1!R201</f>
        <v>Actualmente el proceso de la demanda se realiza con carios excel y todos los cambios de estado son manuales. Esto tiene un gran riesgo a nivel de data y por otro lado una gran limitación para el seguimiento</v>
      </c>
      <c r="S201" s="221" t="str">
        <f>[1]Sheet1!S201</f>
        <v>Contar con una plataforma que soporte todo el proceso de la gestión de la demanda</v>
      </c>
      <c r="T201" s="221" t="str">
        <f>[1]Sheet1!T201</f>
        <v>Cross a la TTD y negocio</v>
      </c>
      <c r="U201" s="221" t="str">
        <f>[1]Sheet1!U201</f>
        <v>Administrativos</v>
      </c>
      <c r="V201" s="221" t="str">
        <f>[1]Sheet1!V201</f>
        <v>Excelencia operativa</v>
      </c>
      <c r="W201" s="221" t="str">
        <f>[1]Sheet1!W201</f>
        <v>No</v>
      </c>
      <c r="X201" s="221" t="str">
        <f>[1]Sheet1!X201</f>
        <v>No cuantificado o S/0</v>
      </c>
      <c r="Y201" s="221" t="str">
        <f>[1]Sheet1!Y201</f>
        <v>Mejorar el proceso de la gestión de la demanda, permitiendo mayor rapidez en la signación de casos, mejor trazzabilidad y reduciendo el riesgo por cambios manuales.</v>
      </c>
      <c r="Z201" s="59" t="str">
        <f>[1]Sheet1!Z201</f>
        <v>https://educorpperu-my.sharepoint.com/personal/diana_zapata_laureate_pe1/Documents/Aplicaciones/Microsoft%20Forms/REGISTRO%20DE%20INICIATIVAS%20-%20GESTI%C3%93N%20DE%20LA%20DEMANDA%20(2%201/Adjuntar%20sustentos%20que%20ayuden%20al%20entendimiento%20de/Cronograma%20MVP%20demanda%20V1.0_Diana%20Zapata%20Del%20Mar.pdf</v>
      </c>
      <c r="AA201" s="59">
        <f>[1]Sheet1!AA201</f>
        <v>0.60000000000000009</v>
      </c>
    </row>
    <row r="202" spans="1:27" ht="56.25" customHeight="1">
      <c r="A202" s="59">
        <f>[1]Sheet1!A202</f>
        <v>228</v>
      </c>
      <c r="B202" s="220">
        <f>[1]Sheet1!B202</f>
        <v>46183.504374999997</v>
      </c>
      <c r="C202" s="220">
        <f>[1]Sheet1!C202</f>
        <v>46183.728298611102</v>
      </c>
      <c r="D202" s="221" t="str">
        <f>[1]Sheet1!D202</f>
        <v>julio.avalos@upc.pe</v>
      </c>
      <c r="E202" s="221" t="str">
        <f>[1]Sheet1!E202</f>
        <v>Jeremy Avalos Chumpitaz</v>
      </c>
      <c r="F202" s="221" t="str">
        <f>[1]Sheet1!F202</f>
        <v>Uso de iProyection en ambientes academicos</v>
      </c>
      <c r="G202" s="221" t="str">
        <f>[1]Sheet1!G202</f>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
      <c r="H202" s="221" t="str">
        <f>[1]Sheet1!H202</f>
        <v>UPC</v>
      </c>
      <c r="I202" s="221" t="str">
        <f>[1]Sheet1!I202</f>
        <v>Alex Pendavis - VP Finanzas</v>
      </c>
      <c r="J202" s="221" t="str">
        <f>[1]Sheet1!J202</f>
        <v>Efferson Flores</v>
      </c>
      <c r="K202" s="221" t="str">
        <f>[1]Sheet1!K202</f>
        <v>https://educorpperu-my.sharepoint.com/personal/diana_zapata_laureate_pe1/Documents/Aplicaciones/Microsoft%20Forms/REGISTRO%20DE%20INICIATIVAS%20-%20GESTI%C3%93N%20DE%20LA%20DEMANDA%20(2%201/Pregunta/Solicitud%20de%20aprobaci%C3%B3n%20para%20inicio%20de%20piloto_Jeremy%20Avalos%20Chumpi.pdf</v>
      </c>
      <c r="L202" s="221" t="str">
        <f>[1]Sheet1!L202</f>
        <v>Franco Vera</v>
      </c>
      <c r="M202" s="151">
        <f>[1]Sheet1!M202</f>
        <v>46183</v>
      </c>
      <c r="N202" s="151" t="str">
        <f>[1]Sheet1!N202</f>
        <v>No</v>
      </c>
      <c r="O202" s="221">
        <f>[1]Sheet1!O202</f>
        <v>0</v>
      </c>
      <c r="P202" s="221">
        <f>[1]Sheet1!P202</f>
        <v>0</v>
      </c>
      <c r="Q202" s="221" t="str">
        <f>[1]Sheet1!Q202</f>
        <v>Otro</v>
      </c>
      <c r="R202" s="221" t="str">
        <f>[1]Sheet1!R202</f>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
      <c r="S202" s="221" t="str">
        <f>[1]Sheet1!S202</f>
        <v>Se espera aprovechar las capacidades nativas de los proyectores Epson para la proyección inalámbrica de contenido, eliminando la necesidad de dispositivos Apple TV, optimizando recursos tecnológicos y reduciendo costos de operación y mantenimiento.</v>
      </c>
      <c r="T202" s="221" t="str">
        <f>[1]Sheet1!T202</f>
        <v xml:space="preserve">Proyección de contenido en sesiones académicas
Area Academica
</v>
      </c>
      <c r="U202" s="221" t="str">
        <f>[1]Sheet1!U202</f>
        <v>Todos</v>
      </c>
      <c r="V202" s="221" t="str">
        <f>[1]Sheet1!V202</f>
        <v>Excelencia operativa</v>
      </c>
      <c r="W202" s="221" t="str">
        <f>[1]Sheet1!W202</f>
        <v>Si</v>
      </c>
      <c r="X202" s="221" t="str">
        <f>[1]Sheet1!X202</f>
        <v>No cuantificado o S/0</v>
      </c>
      <c r="Y202" s="221" t="str">
        <f>[1]Sheet1!Y202</f>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
      <c r="Z202" s="59" t="str">
        <f>[1]Sheet1!Z202</f>
        <v>https://educorpperu-my.sharepoint.com/personal/diana_zapata_laureate_pe1/_layouts/15/Doc.aspx?sourcedoc=%7B78BF4257-5AC1-4164-89AA-8538FA4C3F76%7D&amp;file=Epson%20iProjection_Jeremy%20Avalos%20Chumpi.pptx&amp;action=edit&amp;mobileredirect=true</v>
      </c>
      <c r="AA202" s="59">
        <f>[1]Sheet1!AA202</f>
        <v>1.2000000000000002</v>
      </c>
    </row>
    <row r="203" spans="1:27" ht="43.5" customHeight="1">
      <c r="A203" s="59">
        <f>[1]Sheet1!A203</f>
        <v>229</v>
      </c>
      <c r="B203" s="220">
        <f>[1]Sheet1!B203</f>
        <v>46183.674386574101</v>
      </c>
      <c r="C203" s="220">
        <f>[1]Sheet1!C203</f>
        <v>46183.766238425902</v>
      </c>
      <c r="D203" s="221" t="str">
        <f>[1]Sheet1!D203</f>
        <v>alejandro.tello@laureate.pe</v>
      </c>
      <c r="E203" s="221" t="str">
        <f>[1]Sheet1!E203</f>
        <v>Alejandro Tello Llosa</v>
      </c>
      <c r="F203" s="221" t="str">
        <f>[1]Sheet1!F203</f>
        <v>Plataforma de Convalidación Online (Parte del proyecto de Admisión Online)</v>
      </c>
      <c r="G203" s="221" t="str">
        <f>[1]Sheet1!G203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
      <c r="H203" s="221" t="str">
        <f>[1]Sheet1!H203</f>
        <v>UPN</v>
      </c>
      <c r="I203" s="221" t="str">
        <f>[1]Sheet1!I203</f>
        <v>Ivan Olivares - VP Marketing y Comercial</v>
      </c>
      <c r="J203" s="221" t="str">
        <f>[1]Sheet1!J203</f>
        <v>Roberto Yepez</v>
      </c>
      <c r="K203" s="221" t="str">
        <f>[1]Sheet1!K203</f>
        <v>https://educorpperu-my.sharepoint.com/personal/diana_zapata_laureate_pe1/Documents/Aplicaciones/Microsoft%20Forms/REGISTRO%20DE%20INICIATIVAS%20-%20GESTI%C3%93N%20DE%20LA%20DEMANDA%20(2%201/Pregunta/Fw_%20CEA%20_%20Laureate%20_%20Admisi%C3%B3n%20Online%20UPN%20(Apr_Alejandro%20Tello%20Llos%201.pdf</v>
      </c>
      <c r="L203" s="221" t="str">
        <f>[1]Sheet1!L203</f>
        <v>Carla Arias-Schreiber</v>
      </c>
      <c r="M203" s="151">
        <f>[1]Sheet1!M203</f>
        <v>46230</v>
      </c>
      <c r="N203" s="151" t="str">
        <f>[1]Sheet1!N203</f>
        <v>Si</v>
      </c>
      <c r="O203" s="221" t="str">
        <f>[1]Sheet1!O203</f>
        <v>Revenue Growth</v>
      </c>
      <c r="P203" s="221" t="str">
        <f>[1]Sheet1!P203</f>
        <v>7541</v>
      </c>
      <c r="Q203" s="221" t="str">
        <f>[1]Sheet1!Q203</f>
        <v>Otro</v>
      </c>
      <c r="R203" s="221" t="str">
        <f>[1]Sheet1!R203</f>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
      <c r="S203" s="221" t="str">
        <f>[1]Sheet1!S203</f>
        <v>La solución permite cargar los documentos asociados a la convalidación (Recórd de notras u otro similar y el Resultado de Convalidación - RC)en GDO y consultar su estado de validación antes de realizar el registro correspondiente en Banner.</v>
      </c>
      <c r="T203" s="221" t="str">
        <f>[1]Sheet1!T203</f>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
      <c r="U203" s="221" t="str">
        <f>[1]Sheet1!U203</f>
        <v>Administrativos</v>
      </c>
      <c r="V203" s="221" t="str">
        <f>[1]Sheet1!V203</f>
        <v>Crecimiento escalable</v>
      </c>
      <c r="W203" s="221" t="str">
        <f>[1]Sheet1!W203</f>
        <v>No</v>
      </c>
      <c r="X203" s="221" t="str">
        <f>[1]Sheet1!X203</f>
        <v>Mayor a S/500,000.00</v>
      </c>
      <c r="Y203" s="221" t="str">
        <f>[1]Sheet1!Y203</f>
        <v xml:space="preserve">-Cargar documentación de sustento (sílabos, certificados de estudios, constancias) en GDO de manera automatizada
-Evaluación automatizada de estados de validación de los documentos
</v>
      </c>
      <c r="Z203" s="59" t="str">
        <f>[1]Sheet1!Z203</f>
        <v>https://educorpperu-my.sharepoint.com/personal/diana_zapata_laureate_pe1/_layouts/15/Doc.aspx?sourcedoc=%7BB80B068F-D7C9-413C-9BD8-5469F5AD1C79%7D&amp;file=Solicitud%20de%20requerimientos%20Idea%20nueva%20y%20mejo_Alejandro%20Tello%20Llos%201.pptx&amp;action=edit&amp;mobileredirect=true</v>
      </c>
      <c r="AA203" s="59">
        <f>[1]Sheet1!AA203</f>
        <v>2.9</v>
      </c>
    </row>
    <row r="204" spans="1:27" ht="54" customHeight="1">
      <c r="A204" s="59">
        <f>[1]Sheet1!A204</f>
        <v>230</v>
      </c>
      <c r="B204" s="220">
        <f>[1]Sheet1!B204</f>
        <v>46184.483460648102</v>
      </c>
      <c r="C204" s="220">
        <f>[1]Sheet1!C204</f>
        <v>46185.651273148098</v>
      </c>
      <c r="D204" s="221" t="str">
        <f>[1]Sheet1!D204</f>
        <v>carla.arias@laureate.pe</v>
      </c>
      <c r="E204" s="221" t="str">
        <f>[1]Sheet1!E204</f>
        <v>Carla Arias Schreiber Ulloa</v>
      </c>
      <c r="F204" s="221" t="str">
        <f>[1]Sheet1!F204</f>
        <v>Inclusión del nuevo nivel "SE - Segunda Especialización" en integración Banner-Portal EPEC</v>
      </c>
      <c r="G204" s="221" t="str">
        <f>[1]Sheet1!G204</f>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
      <c r="H204" s="221" t="str">
        <f>[1]Sheet1!H204</f>
        <v>UPN</v>
      </c>
      <c r="I204" s="221" t="str">
        <f>[1]Sheet1!I204</f>
        <v>Martín Santana - Rectorado UPN</v>
      </c>
      <c r="J204" s="221" t="str">
        <f>[1]Sheet1!J204</f>
        <v>William Cruzado</v>
      </c>
      <c r="K204" s="221" t="str">
        <f>[1]Sheet1!K204</f>
        <v>https://educorpperu-my.sharepoint.com/personal/diana_zapata_laureate_pe1/Documents/Aplicaciones/Microsoft%20Forms/REGISTRO%20DE%20INICIATIVAS%20-%20GESTI%C3%93N%20DE%20LA%20DEMANDA%20(2%201/Pregunta/Director%20Acad%C3%A9mico%20EPEC_Carla%20Arias%20Schreibe.png</v>
      </c>
      <c r="L204" s="221" t="str">
        <f>[1]Sheet1!L204</f>
        <v>Carla Arias-Schreiber</v>
      </c>
      <c r="M204" s="151">
        <f>[1]Sheet1!M204</f>
        <v>46190</v>
      </c>
      <c r="N204" s="151" t="str">
        <f>[1]Sheet1!N204</f>
        <v>No</v>
      </c>
      <c r="O204" s="221">
        <f>[1]Sheet1!O204</f>
        <v>0</v>
      </c>
      <c r="P204" s="221">
        <f>[1]Sheet1!P204</f>
        <v>0</v>
      </c>
      <c r="Q204" s="221" t="str">
        <f>[1]Sheet1!Q204</f>
        <v>Normativa</v>
      </c>
      <c r="R204" s="221" t="str">
        <f>[1]Sheet1!R204</f>
        <v>El año pasado cuando se implementó la iniciativa, a solicitud del área Comercial, no se incluyó dentro del alcance la integración con portal EPEC; solamente integración con Portal Trámites.
Hoy, esta omisión está impactando los procesos académicos de la escuela.</v>
      </c>
      <c r="S204" s="221" t="str">
        <f>[1]Sheet1!S204</f>
        <v>Que la integración Banner-Portal EPEC soporte la implementación de este nuevo producto, de manera bidireccional: Para que los estudiantes migran a Portal y las notas lleguen de retorno a Banner.</v>
      </c>
      <c r="T204" s="221" t="str">
        <f>[1]Sheet1!T204</f>
        <v>Cierre de ciclo: registro de notas
Emisión de constancias académicas
Usuarios: Estudiantes y Academia EPEC</v>
      </c>
      <c r="U204" s="221" t="str">
        <f>[1]Sheet1!U204</f>
        <v>Alumnos</v>
      </c>
      <c r="V204" s="221" t="str">
        <f>[1]Sheet1!V204</f>
        <v>Experiencia</v>
      </c>
      <c r="W204" s="221" t="str">
        <f>[1]Sheet1!W204</f>
        <v>No</v>
      </c>
      <c r="X204" s="221" t="str">
        <f>[1]Sheet1!X204</f>
        <v>No cuantificado o S/0</v>
      </c>
      <c r="Y204" s="221" t="str">
        <f>[1]Sheet1!Y204</f>
        <v>Mitigar impacto actual a estudiantes.</v>
      </c>
      <c r="Z204" s="59" t="str">
        <f>[1]Sheet1!Z204</f>
        <v>https://educorpperu-my.sharepoint.com/personal/diana_zapata_laureate_pe1/Documents/Aplicaciones/Microsoft%20Forms/REGISTRO%20DE%20INICIATIVAS%20-%20GESTI%C3%93N%20DE%20LA%20DEMANDA%20(2%201/Adjuntar%20sustentos%20que%20ayuden%20al%20entendimiento%20de/INC1338620_Carla%20Arias%20Schreibe.png</v>
      </c>
      <c r="AA204" s="59">
        <f>[1]Sheet1!AA204</f>
        <v>2.8</v>
      </c>
    </row>
    <row r="205" spans="1:27" ht="15" customHeight="1">
      <c r="A205" s="59">
        <f>[1]Sheet1!A205</f>
        <v>231</v>
      </c>
      <c r="B205" s="220">
        <f>[1]Sheet1!B205</f>
        <v>46188.750972222202</v>
      </c>
      <c r="C205" s="220">
        <f>[1]Sheet1!C205</f>
        <v>46189.521018518499</v>
      </c>
      <c r="D205" s="221" t="str">
        <f>[1]Sheet1!D205</f>
        <v>nicolas.morales@laureate.pe</v>
      </c>
      <c r="E205" s="221" t="str">
        <f>[1]Sheet1!E205</f>
        <v>Nicolas Morales Chumpitaz</v>
      </c>
      <c r="F205" s="221" t="str">
        <f>[1]Sheet1!F205</f>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v>
      </c>
      <c r="G205" s="221" t="str">
        <f>[1]Sheet1!G205</f>
        <v>Obtener su egreso y posteriormente su bachiller de manera simple, digital y sin fricciones, con visibilidad clara del estado de su trámite, sin reprocesos ni seguimiento manual, y con su diploma disponible oportunamente cuando cumple los requisitos</v>
      </c>
      <c r="H205" s="221" t="str">
        <f>[1]Sheet1!H205</f>
        <v>UPC</v>
      </c>
      <c r="I205" s="221" t="str">
        <f>[1]Sheet1!I205</f>
        <v>Sebastian Lindley - VP Transformación</v>
      </c>
      <c r="J205" s="221" t="str">
        <f>[1]Sheet1!J205</f>
        <v>José Horna</v>
      </c>
      <c r="K205" s="221" t="str">
        <f>[1]Sheet1!K205</f>
        <v>https://educorpperu-my.sharepoint.com/personal/diana_zapata_laureate_pe1/Documents/Aplicaciones/Microsoft%20Forms/REGISTRO%20DE%20INICIATIVAS%20-%20GESTI%C3%93N%20DE%20LA%20DEMANDA%20(2%201/Pregunta/G%26T%20UPC%20-%20UPN_Nicolas%20Morales%20Chum.png</v>
      </c>
      <c r="L205" s="221" t="str">
        <f>[1]Sheet1!L205</f>
        <v>Ninguno</v>
      </c>
      <c r="M205" s="151">
        <f>[1]Sheet1!M205</f>
        <v>46387</v>
      </c>
      <c r="N205" s="151" t="str">
        <f>[1]Sheet1!N205</f>
        <v>Si</v>
      </c>
      <c r="O205" s="221" t="str">
        <f>[1]Sheet1!O205</f>
        <v>G&amp;A</v>
      </c>
      <c r="P205" s="221" t="str">
        <f>[1]Sheet1!P205</f>
        <v>76557</v>
      </c>
      <c r="Q205" s="221" t="str">
        <f>[1]Sheet1!Q205</f>
        <v>Otro</v>
      </c>
      <c r="R205" s="221" t="str">
        <f>[1]Sheet1!R205</f>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
      <c r="S205" s="221" t="str">
        <f>[1]Sheet1!S205</f>
        <v>asdada</v>
      </c>
      <c r="T205" s="221" t="str">
        <f>[1]Sheet1!T205</f>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
      <c r="U205" s="221" t="str">
        <f>[1]Sheet1!U205</f>
        <v>Alumnos</v>
      </c>
      <c r="V205" s="221" t="str">
        <f>[1]Sheet1!V205</f>
        <v>Excelencia operativa</v>
      </c>
      <c r="W205" s="221" t="str">
        <f>[1]Sheet1!W205</f>
        <v>No</v>
      </c>
      <c r="X205" s="221" t="str">
        <f>[1]Sheet1!X205</f>
        <v>Mayor a S/500,000.00</v>
      </c>
      <c r="Y205" s="221" t="str">
        <f>[1]Sheet1!Y205</f>
        <v xml:space="preserve">Liberación de horas operativas
Incremento del NPS del estudiante
Reducción de SLA
</v>
      </c>
      <c r="Z205" s="59" t="str">
        <f>[1]Sheet1!Z205</f>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
      <c r="AA205" s="59">
        <f>[1]Sheet1!AA205</f>
        <v>3.3</v>
      </c>
    </row>
    <row r="206" spans="1:27" ht="15" customHeight="1">
      <c r="A206" s="59">
        <f>[1]Sheet1!A206</f>
        <v>0</v>
      </c>
      <c r="B206" s="220">
        <f>[1]Sheet1!B206</f>
        <v>0</v>
      </c>
      <c r="C206" s="220">
        <f>[1]Sheet1!C206</f>
        <v>0</v>
      </c>
      <c r="D206" s="221">
        <f>[1]Sheet1!D206</f>
        <v>0</v>
      </c>
      <c r="E206" s="221">
        <f>[1]Sheet1!E206</f>
        <v>0</v>
      </c>
      <c r="F206" s="221">
        <f>[1]Sheet1!F206</f>
        <v>0</v>
      </c>
      <c r="G206" s="221">
        <f>[1]Sheet1!G206</f>
        <v>0</v>
      </c>
      <c r="H206" s="221">
        <f>[1]Sheet1!H206</f>
        <v>0</v>
      </c>
      <c r="I206" s="221">
        <f>[1]Sheet1!I206</f>
        <v>0</v>
      </c>
      <c r="J206" s="221">
        <f>[1]Sheet1!J206</f>
        <v>0</v>
      </c>
      <c r="K206" s="221">
        <f>[1]Sheet1!K206</f>
        <v>0</v>
      </c>
      <c r="L206" s="221">
        <f>[1]Sheet1!L206</f>
        <v>0</v>
      </c>
      <c r="M206" s="151">
        <f>[1]Sheet1!M206</f>
        <v>0</v>
      </c>
      <c r="N206" s="151">
        <f>[1]Sheet1!N206</f>
        <v>0</v>
      </c>
      <c r="O206" s="221">
        <f>[1]Sheet1!O206</f>
        <v>0</v>
      </c>
      <c r="P206" s="221">
        <f>[1]Sheet1!P206</f>
        <v>0</v>
      </c>
      <c r="Q206" s="221">
        <f>[1]Sheet1!Q206</f>
        <v>0</v>
      </c>
      <c r="R206" s="221">
        <f>[1]Sheet1!R206</f>
        <v>0</v>
      </c>
      <c r="S206" s="221">
        <f>[1]Sheet1!S206</f>
        <v>0</v>
      </c>
      <c r="T206" s="221">
        <f>[1]Sheet1!T206</f>
        <v>0</v>
      </c>
      <c r="U206" s="221">
        <f>[1]Sheet1!U206</f>
        <v>0</v>
      </c>
      <c r="V206" s="221">
        <f>[1]Sheet1!V206</f>
        <v>0</v>
      </c>
      <c r="W206" s="221">
        <f>[1]Sheet1!W206</f>
        <v>0</v>
      </c>
      <c r="X206" s="221">
        <f>[1]Sheet1!X206</f>
        <v>0</v>
      </c>
      <c r="Y206" s="221">
        <f>[1]Sheet1!Y206</f>
        <v>0</v>
      </c>
      <c r="Z206" s="59">
        <f>[1]Sheet1!Z206</f>
        <v>0</v>
      </c>
      <c r="AA206" s="59">
        <f>[1]Sheet1!AA206</f>
        <v>0</v>
      </c>
    </row>
    <row r="207" spans="1:27" ht="15" customHeight="1">
      <c r="A207" s="59">
        <f>[1]Sheet1!A207</f>
        <v>0</v>
      </c>
      <c r="B207" s="220">
        <f>[1]Sheet1!B207</f>
        <v>0</v>
      </c>
      <c r="C207" s="220">
        <f>[1]Sheet1!C207</f>
        <v>0</v>
      </c>
      <c r="D207" s="221">
        <f>[1]Sheet1!D207</f>
        <v>0</v>
      </c>
      <c r="E207" s="221">
        <f>[1]Sheet1!E207</f>
        <v>0</v>
      </c>
      <c r="F207" s="221">
        <f>[1]Sheet1!F207</f>
        <v>0</v>
      </c>
      <c r="G207" s="221">
        <f>[1]Sheet1!G207</f>
        <v>0</v>
      </c>
      <c r="H207" s="221">
        <f>[1]Sheet1!H207</f>
        <v>0</v>
      </c>
      <c r="I207" s="221">
        <f>[1]Sheet1!I207</f>
        <v>0</v>
      </c>
      <c r="J207" s="221">
        <f>[1]Sheet1!J207</f>
        <v>0</v>
      </c>
      <c r="K207" s="221">
        <f>[1]Sheet1!K207</f>
        <v>0</v>
      </c>
      <c r="L207" s="221">
        <f>[1]Sheet1!L207</f>
        <v>0</v>
      </c>
      <c r="M207" s="151">
        <f>[1]Sheet1!M207</f>
        <v>0</v>
      </c>
      <c r="N207" s="151">
        <f>[1]Sheet1!N207</f>
        <v>0</v>
      </c>
      <c r="O207" s="221">
        <f>[1]Sheet1!O207</f>
        <v>0</v>
      </c>
      <c r="P207" s="221">
        <f>[1]Sheet1!P207</f>
        <v>0</v>
      </c>
      <c r="Q207" s="221">
        <f>[1]Sheet1!Q207</f>
        <v>0</v>
      </c>
      <c r="R207" s="221">
        <f>[1]Sheet1!R207</f>
        <v>0</v>
      </c>
      <c r="S207" s="221">
        <f>[1]Sheet1!S207</f>
        <v>0</v>
      </c>
      <c r="T207" s="221">
        <f>[1]Sheet1!T207</f>
        <v>0</v>
      </c>
      <c r="U207" s="221">
        <f>[1]Sheet1!U207</f>
        <v>0</v>
      </c>
      <c r="V207" s="221">
        <f>[1]Sheet1!V207</f>
        <v>0</v>
      </c>
      <c r="W207" s="221">
        <f>[1]Sheet1!W207</f>
        <v>0</v>
      </c>
      <c r="X207" s="221">
        <f>[1]Sheet1!X207</f>
        <v>0</v>
      </c>
      <c r="Y207" s="221">
        <f>[1]Sheet1!Y207</f>
        <v>0</v>
      </c>
      <c r="Z207" s="59">
        <f>[1]Sheet1!Z207</f>
        <v>0</v>
      </c>
      <c r="AA207" s="59">
        <f>[1]Sheet1!AA207</f>
        <v>0</v>
      </c>
    </row>
    <row r="208" spans="1:27" ht="15" customHeight="1">
      <c r="A208" s="59">
        <f>[1]Sheet1!A208</f>
        <v>0</v>
      </c>
      <c r="B208" s="220">
        <f>[1]Sheet1!B208</f>
        <v>0</v>
      </c>
      <c r="C208" s="220">
        <f>[1]Sheet1!C208</f>
        <v>0</v>
      </c>
      <c r="D208" s="221">
        <f>[1]Sheet1!D208</f>
        <v>0</v>
      </c>
      <c r="E208" s="221">
        <f>[1]Sheet1!E208</f>
        <v>0</v>
      </c>
      <c r="F208" s="221">
        <f>[1]Sheet1!F208</f>
        <v>0</v>
      </c>
      <c r="G208" s="221">
        <f>[1]Sheet1!G208</f>
        <v>0</v>
      </c>
      <c r="H208" s="221">
        <f>[1]Sheet1!H208</f>
        <v>0</v>
      </c>
      <c r="I208" s="221">
        <f>[1]Sheet1!I208</f>
        <v>0</v>
      </c>
      <c r="J208" s="221">
        <f>[1]Sheet1!J208</f>
        <v>0</v>
      </c>
      <c r="K208" s="221">
        <f>[1]Sheet1!K208</f>
        <v>0</v>
      </c>
      <c r="L208" s="221">
        <f>[1]Sheet1!L208</f>
        <v>0</v>
      </c>
      <c r="M208" s="151">
        <f>[1]Sheet1!M208</f>
        <v>0</v>
      </c>
      <c r="N208" s="151">
        <f>[1]Sheet1!N208</f>
        <v>0</v>
      </c>
      <c r="O208" s="221">
        <f>[1]Sheet1!O208</f>
        <v>0</v>
      </c>
      <c r="P208" s="221">
        <f>[1]Sheet1!P208</f>
        <v>0</v>
      </c>
      <c r="Q208" s="221">
        <f>[1]Sheet1!Q208</f>
        <v>0</v>
      </c>
      <c r="R208" s="221">
        <f>[1]Sheet1!R208</f>
        <v>0</v>
      </c>
      <c r="S208" s="221">
        <f>[1]Sheet1!S208</f>
        <v>0</v>
      </c>
      <c r="T208" s="221">
        <f>[1]Sheet1!T208</f>
        <v>0</v>
      </c>
      <c r="U208" s="221">
        <f>[1]Sheet1!U208</f>
        <v>0</v>
      </c>
      <c r="V208" s="221">
        <f>[1]Sheet1!V208</f>
        <v>0</v>
      </c>
      <c r="W208" s="221">
        <f>[1]Sheet1!W208</f>
        <v>0</v>
      </c>
      <c r="X208" s="221">
        <f>[1]Sheet1!X208</f>
        <v>0</v>
      </c>
      <c r="Y208" s="221">
        <f>[1]Sheet1!Y208</f>
        <v>0</v>
      </c>
      <c r="Z208" s="59">
        <f>[1]Sheet1!Z208</f>
        <v>0</v>
      </c>
      <c r="AA208" s="59">
        <f>[1]Sheet1!AA208</f>
        <v>0</v>
      </c>
    </row>
    <row r="209" spans="1:27" ht="15" customHeight="1">
      <c r="A209" s="59">
        <f>[1]Sheet1!A209</f>
        <v>0</v>
      </c>
      <c r="B209" s="220">
        <f>[1]Sheet1!B209</f>
        <v>0</v>
      </c>
      <c r="C209" s="220">
        <f>[1]Sheet1!C209</f>
        <v>0</v>
      </c>
      <c r="D209" s="221">
        <f>[1]Sheet1!D209</f>
        <v>0</v>
      </c>
      <c r="E209" s="221">
        <f>[1]Sheet1!E209</f>
        <v>0</v>
      </c>
      <c r="F209" s="221">
        <f>[1]Sheet1!F209</f>
        <v>0</v>
      </c>
      <c r="G209" s="221">
        <f>[1]Sheet1!G209</f>
        <v>0</v>
      </c>
      <c r="H209" s="221">
        <f>[1]Sheet1!H209</f>
        <v>0</v>
      </c>
      <c r="I209" s="221">
        <f>[1]Sheet1!I209</f>
        <v>0</v>
      </c>
      <c r="J209" s="221">
        <f>[1]Sheet1!J209</f>
        <v>0</v>
      </c>
      <c r="K209" s="221">
        <f>[1]Sheet1!K209</f>
        <v>0</v>
      </c>
      <c r="L209" s="221">
        <f>[1]Sheet1!L209</f>
        <v>0</v>
      </c>
      <c r="M209" s="151">
        <f>[1]Sheet1!M209</f>
        <v>0</v>
      </c>
      <c r="N209" s="151">
        <f>[1]Sheet1!N209</f>
        <v>0</v>
      </c>
      <c r="O209" s="221">
        <f>[1]Sheet1!O209</f>
        <v>0</v>
      </c>
      <c r="P209" s="221">
        <f>[1]Sheet1!P209</f>
        <v>0</v>
      </c>
      <c r="Q209" s="221">
        <f>[1]Sheet1!Q209</f>
        <v>0</v>
      </c>
      <c r="R209" s="221">
        <f>[1]Sheet1!R209</f>
        <v>0</v>
      </c>
      <c r="S209" s="221">
        <f>[1]Sheet1!S209</f>
        <v>0</v>
      </c>
      <c r="T209" s="221">
        <f>[1]Sheet1!T209</f>
        <v>0</v>
      </c>
      <c r="U209" s="221">
        <f>[1]Sheet1!U209</f>
        <v>0</v>
      </c>
      <c r="V209" s="221">
        <f>[1]Sheet1!V209</f>
        <v>0</v>
      </c>
      <c r="W209" s="221">
        <f>[1]Sheet1!W209</f>
        <v>0</v>
      </c>
      <c r="X209" s="221">
        <f>[1]Sheet1!X209</f>
        <v>0</v>
      </c>
      <c r="Y209" s="221">
        <f>[1]Sheet1!Y209</f>
        <v>0</v>
      </c>
      <c r="Z209" s="59">
        <f>[1]Sheet1!Z209</f>
        <v>0</v>
      </c>
      <c r="AA209" s="59">
        <f>[1]Sheet1!AA209</f>
        <v>0</v>
      </c>
    </row>
    <row r="210" spans="1:27" ht="15" customHeight="1">
      <c r="A210" s="59">
        <f>[1]Sheet1!A210</f>
        <v>0</v>
      </c>
      <c r="B210" s="220">
        <f>[1]Sheet1!B210</f>
        <v>0</v>
      </c>
      <c r="C210" s="220">
        <f>[1]Sheet1!C210</f>
        <v>0</v>
      </c>
      <c r="D210" s="221">
        <f>[1]Sheet1!D210</f>
        <v>0</v>
      </c>
      <c r="E210" s="221">
        <f>[1]Sheet1!E210</f>
        <v>0</v>
      </c>
      <c r="F210" s="221">
        <f>[1]Sheet1!F210</f>
        <v>0</v>
      </c>
      <c r="G210" s="221">
        <f>[1]Sheet1!G210</f>
        <v>0</v>
      </c>
      <c r="H210" s="221">
        <f>[1]Sheet1!H210</f>
        <v>0</v>
      </c>
      <c r="I210" s="221">
        <f>[1]Sheet1!I210</f>
        <v>0</v>
      </c>
      <c r="J210" s="221">
        <f>[1]Sheet1!J210</f>
        <v>0</v>
      </c>
      <c r="K210" s="221">
        <f>[1]Sheet1!K210</f>
        <v>0</v>
      </c>
      <c r="L210" s="221">
        <f>[1]Sheet1!L210</f>
        <v>0</v>
      </c>
      <c r="M210" s="151">
        <f>[1]Sheet1!M210</f>
        <v>0</v>
      </c>
      <c r="N210" s="151">
        <f>[1]Sheet1!N210</f>
        <v>0</v>
      </c>
      <c r="O210" s="221">
        <f>[1]Sheet1!O210</f>
        <v>0</v>
      </c>
      <c r="P210" s="221">
        <f>[1]Sheet1!P210</f>
        <v>0</v>
      </c>
      <c r="Q210" s="221">
        <f>[1]Sheet1!Q210</f>
        <v>0</v>
      </c>
      <c r="R210" s="221">
        <f>[1]Sheet1!R210</f>
        <v>0</v>
      </c>
      <c r="S210" s="221">
        <f>[1]Sheet1!S210</f>
        <v>0</v>
      </c>
      <c r="T210" s="221">
        <f>[1]Sheet1!T210</f>
        <v>0</v>
      </c>
      <c r="U210" s="221">
        <f>[1]Sheet1!U210</f>
        <v>0</v>
      </c>
      <c r="V210" s="221">
        <f>[1]Sheet1!V210</f>
        <v>0</v>
      </c>
      <c r="W210" s="221">
        <f>[1]Sheet1!W210</f>
        <v>0</v>
      </c>
      <c r="X210" s="221">
        <f>[1]Sheet1!X210</f>
        <v>0</v>
      </c>
      <c r="Y210" s="221">
        <f>[1]Sheet1!Y210</f>
        <v>0</v>
      </c>
      <c r="Z210" s="59">
        <f>[1]Sheet1!Z210</f>
        <v>0</v>
      </c>
      <c r="AA210" s="59">
        <f>[1]Sheet1!AA210</f>
        <v>0</v>
      </c>
    </row>
    <row r="211" spans="1:27" ht="15" customHeight="1">
      <c r="A211" s="59">
        <f>[1]Sheet1!A211</f>
        <v>0</v>
      </c>
      <c r="B211" s="220">
        <f>[1]Sheet1!B211</f>
        <v>0</v>
      </c>
      <c r="C211" s="220">
        <f>[1]Sheet1!C211</f>
        <v>0</v>
      </c>
      <c r="D211" s="221">
        <f>[1]Sheet1!D211</f>
        <v>0</v>
      </c>
      <c r="E211" s="221">
        <f>[1]Sheet1!E211</f>
        <v>0</v>
      </c>
      <c r="F211" s="221">
        <f>[1]Sheet1!F211</f>
        <v>0</v>
      </c>
      <c r="G211" s="221">
        <f>[1]Sheet1!G211</f>
        <v>0</v>
      </c>
      <c r="H211" s="221">
        <f>[1]Sheet1!H211</f>
        <v>0</v>
      </c>
      <c r="I211" s="221">
        <f>[1]Sheet1!I211</f>
        <v>0</v>
      </c>
      <c r="J211" s="221">
        <f>[1]Sheet1!J211</f>
        <v>0</v>
      </c>
      <c r="K211" s="221">
        <f>[1]Sheet1!K211</f>
        <v>0</v>
      </c>
      <c r="L211" s="221">
        <f>[1]Sheet1!L211</f>
        <v>0</v>
      </c>
      <c r="M211" s="151">
        <f>[1]Sheet1!M211</f>
        <v>0</v>
      </c>
      <c r="N211" s="151">
        <f>[1]Sheet1!N211</f>
        <v>0</v>
      </c>
      <c r="O211" s="221">
        <f>[1]Sheet1!O211</f>
        <v>0</v>
      </c>
      <c r="P211" s="221">
        <f>[1]Sheet1!P211</f>
        <v>0</v>
      </c>
      <c r="Q211" s="221">
        <f>[1]Sheet1!Q211</f>
        <v>0</v>
      </c>
      <c r="R211" s="221">
        <f>[1]Sheet1!R211</f>
        <v>0</v>
      </c>
      <c r="S211" s="221">
        <f>[1]Sheet1!S211</f>
        <v>0</v>
      </c>
      <c r="T211" s="221">
        <f>[1]Sheet1!T211</f>
        <v>0</v>
      </c>
      <c r="U211" s="221">
        <f>[1]Sheet1!U211</f>
        <v>0</v>
      </c>
      <c r="V211" s="221">
        <f>[1]Sheet1!V211</f>
        <v>0</v>
      </c>
      <c r="W211" s="221">
        <f>[1]Sheet1!W211</f>
        <v>0</v>
      </c>
      <c r="X211" s="221">
        <f>[1]Sheet1!X211</f>
        <v>0</v>
      </c>
      <c r="Y211" s="221">
        <f>[1]Sheet1!Y211</f>
        <v>0</v>
      </c>
      <c r="Z211" s="59">
        <f>[1]Sheet1!Z211</f>
        <v>0</v>
      </c>
      <c r="AA211" s="59">
        <f>[1]Sheet1!AA211</f>
        <v>0</v>
      </c>
    </row>
    <row r="212" spans="1:27" ht="15" customHeight="1">
      <c r="A212" s="59">
        <f>[1]Sheet1!A212</f>
        <v>0</v>
      </c>
      <c r="B212" s="220">
        <f>[1]Sheet1!B212</f>
        <v>0</v>
      </c>
      <c r="C212" s="220">
        <f>[1]Sheet1!C212</f>
        <v>0</v>
      </c>
      <c r="D212" s="221">
        <f>[1]Sheet1!D212</f>
        <v>0</v>
      </c>
      <c r="E212" s="221">
        <f>[1]Sheet1!E212</f>
        <v>0</v>
      </c>
      <c r="F212" s="221">
        <f>[1]Sheet1!F212</f>
        <v>0</v>
      </c>
      <c r="G212" s="221">
        <f>[1]Sheet1!G212</f>
        <v>0</v>
      </c>
      <c r="H212" s="221">
        <f>[1]Sheet1!H212</f>
        <v>0</v>
      </c>
      <c r="I212" s="221">
        <f>[1]Sheet1!I212</f>
        <v>0</v>
      </c>
      <c r="J212" s="221">
        <f>[1]Sheet1!J212</f>
        <v>0</v>
      </c>
      <c r="K212" s="221">
        <f>[1]Sheet1!K212</f>
        <v>0</v>
      </c>
      <c r="L212" s="221">
        <f>[1]Sheet1!L212</f>
        <v>0</v>
      </c>
      <c r="M212" s="151">
        <f>[1]Sheet1!M212</f>
        <v>0</v>
      </c>
      <c r="N212" s="151">
        <f>[1]Sheet1!N212</f>
        <v>0</v>
      </c>
      <c r="O212" s="221">
        <f>[1]Sheet1!O212</f>
        <v>0</v>
      </c>
      <c r="P212" s="221">
        <f>[1]Sheet1!P212</f>
        <v>0</v>
      </c>
      <c r="Q212" s="221">
        <f>[1]Sheet1!Q212</f>
        <v>0</v>
      </c>
      <c r="R212" s="221">
        <f>[1]Sheet1!R212</f>
        <v>0</v>
      </c>
      <c r="S212" s="221">
        <f>[1]Sheet1!S212</f>
        <v>0</v>
      </c>
      <c r="T212" s="221">
        <f>[1]Sheet1!T212</f>
        <v>0</v>
      </c>
      <c r="U212" s="221">
        <f>[1]Sheet1!U212</f>
        <v>0</v>
      </c>
      <c r="V212" s="221">
        <f>[1]Sheet1!V212</f>
        <v>0</v>
      </c>
      <c r="W212" s="221">
        <f>[1]Sheet1!W212</f>
        <v>0</v>
      </c>
      <c r="X212" s="221">
        <f>[1]Sheet1!X212</f>
        <v>0</v>
      </c>
      <c r="Y212" s="221">
        <f>[1]Sheet1!Y212</f>
        <v>0</v>
      </c>
      <c r="Z212" s="59">
        <f>[1]Sheet1!Z212</f>
        <v>0</v>
      </c>
      <c r="AA212" s="59">
        <f>[1]Sheet1!AA212</f>
        <v>0</v>
      </c>
    </row>
    <row r="213" spans="1:27" ht="15" customHeight="1">
      <c r="A213" s="59">
        <f>[1]Sheet1!A213</f>
        <v>0</v>
      </c>
      <c r="B213" s="220">
        <f>[1]Sheet1!B213</f>
        <v>0</v>
      </c>
      <c r="C213" s="220">
        <f>[1]Sheet1!C213</f>
        <v>0</v>
      </c>
      <c r="D213" s="221">
        <f>[1]Sheet1!D213</f>
        <v>0</v>
      </c>
      <c r="E213" s="221">
        <f>[1]Sheet1!E213</f>
        <v>0</v>
      </c>
      <c r="F213" s="221">
        <f>[1]Sheet1!F213</f>
        <v>0</v>
      </c>
      <c r="G213" s="221">
        <f>[1]Sheet1!G213</f>
        <v>0</v>
      </c>
      <c r="H213" s="221">
        <f>[1]Sheet1!H213</f>
        <v>0</v>
      </c>
      <c r="I213" s="221">
        <f>[1]Sheet1!I213</f>
        <v>0</v>
      </c>
      <c r="J213" s="221">
        <f>[1]Sheet1!J213</f>
        <v>0</v>
      </c>
      <c r="K213" s="221">
        <f>[1]Sheet1!K213</f>
        <v>0</v>
      </c>
      <c r="L213" s="221">
        <f>[1]Sheet1!L213</f>
        <v>0</v>
      </c>
      <c r="M213" s="151">
        <f>[1]Sheet1!M213</f>
        <v>0</v>
      </c>
      <c r="N213" s="151">
        <f>[1]Sheet1!N213</f>
        <v>0</v>
      </c>
      <c r="O213" s="221">
        <f>[1]Sheet1!O213</f>
        <v>0</v>
      </c>
      <c r="P213" s="221">
        <f>[1]Sheet1!P213</f>
        <v>0</v>
      </c>
      <c r="Q213" s="221">
        <f>[1]Sheet1!Q213</f>
        <v>0</v>
      </c>
      <c r="R213" s="221">
        <f>[1]Sheet1!R213</f>
        <v>0</v>
      </c>
      <c r="S213" s="221">
        <f>[1]Sheet1!S213</f>
        <v>0</v>
      </c>
      <c r="T213" s="221">
        <f>[1]Sheet1!T213</f>
        <v>0</v>
      </c>
      <c r="U213" s="221">
        <f>[1]Sheet1!U213</f>
        <v>0</v>
      </c>
      <c r="V213" s="221">
        <f>[1]Sheet1!V213</f>
        <v>0</v>
      </c>
      <c r="W213" s="221">
        <f>[1]Sheet1!W213</f>
        <v>0</v>
      </c>
      <c r="X213" s="221">
        <f>[1]Sheet1!X213</f>
        <v>0</v>
      </c>
      <c r="Y213" s="221">
        <f>[1]Sheet1!Y213</f>
        <v>0</v>
      </c>
      <c r="Z213" s="59">
        <f>[1]Sheet1!Z213</f>
        <v>0</v>
      </c>
      <c r="AA213" s="59">
        <f>[1]Sheet1!AA213</f>
        <v>0</v>
      </c>
    </row>
    <row r="214" spans="1:27" ht="15" customHeight="1">
      <c r="A214" s="59">
        <f>[1]Sheet1!A214</f>
        <v>0</v>
      </c>
      <c r="B214" s="220">
        <f>[1]Sheet1!B214</f>
        <v>0</v>
      </c>
      <c r="C214" s="220">
        <f>[1]Sheet1!C214</f>
        <v>0</v>
      </c>
      <c r="D214" s="221">
        <f>[1]Sheet1!D214</f>
        <v>0</v>
      </c>
      <c r="E214" s="221">
        <f>[1]Sheet1!E214</f>
        <v>0</v>
      </c>
      <c r="F214" s="221">
        <f>[1]Sheet1!F214</f>
        <v>0</v>
      </c>
      <c r="G214" s="221">
        <f>[1]Sheet1!G214</f>
        <v>0</v>
      </c>
      <c r="H214" s="221">
        <f>[1]Sheet1!H214</f>
        <v>0</v>
      </c>
      <c r="I214" s="221">
        <f>[1]Sheet1!I214</f>
        <v>0</v>
      </c>
      <c r="J214" s="221">
        <f>[1]Sheet1!J214</f>
        <v>0</v>
      </c>
      <c r="K214" s="221">
        <f>[1]Sheet1!K214</f>
        <v>0</v>
      </c>
      <c r="L214" s="221">
        <f>[1]Sheet1!L214</f>
        <v>0</v>
      </c>
      <c r="M214" s="151">
        <f>[1]Sheet1!M214</f>
        <v>0</v>
      </c>
      <c r="N214" s="151">
        <f>[1]Sheet1!N214</f>
        <v>0</v>
      </c>
      <c r="O214" s="221">
        <f>[1]Sheet1!O214</f>
        <v>0</v>
      </c>
      <c r="P214" s="221">
        <f>[1]Sheet1!P214</f>
        <v>0</v>
      </c>
      <c r="Q214" s="221">
        <f>[1]Sheet1!Q214</f>
        <v>0</v>
      </c>
      <c r="R214" s="221">
        <f>[1]Sheet1!R214</f>
        <v>0</v>
      </c>
      <c r="S214" s="221">
        <f>[1]Sheet1!S214</f>
        <v>0</v>
      </c>
      <c r="T214" s="221">
        <f>[1]Sheet1!T214</f>
        <v>0</v>
      </c>
      <c r="U214" s="221">
        <f>[1]Sheet1!U214</f>
        <v>0</v>
      </c>
      <c r="V214" s="221">
        <f>[1]Sheet1!V214</f>
        <v>0</v>
      </c>
      <c r="W214" s="221">
        <f>[1]Sheet1!W214</f>
        <v>0</v>
      </c>
      <c r="X214" s="221">
        <f>[1]Sheet1!X214</f>
        <v>0</v>
      </c>
      <c r="Y214" s="221">
        <f>[1]Sheet1!Y214</f>
        <v>0</v>
      </c>
      <c r="Z214" s="59">
        <f>[1]Sheet1!Z214</f>
        <v>0</v>
      </c>
      <c r="AA214" s="59">
        <f>[1]Sheet1!AA214</f>
        <v>0</v>
      </c>
    </row>
    <row r="215" spans="1:27" ht="15" customHeight="1">
      <c r="A215" s="59">
        <f>[1]Sheet1!A215</f>
        <v>0</v>
      </c>
      <c r="B215" s="220">
        <f>[1]Sheet1!B215</f>
        <v>0</v>
      </c>
      <c r="C215" s="220">
        <f>[1]Sheet1!C215</f>
        <v>0</v>
      </c>
      <c r="D215" s="221">
        <f>[1]Sheet1!D215</f>
        <v>0</v>
      </c>
      <c r="E215" s="221">
        <f>[1]Sheet1!E215</f>
        <v>0</v>
      </c>
      <c r="F215" s="221">
        <f>[1]Sheet1!F215</f>
        <v>0</v>
      </c>
      <c r="G215" s="221">
        <f>[1]Sheet1!G215</f>
        <v>0</v>
      </c>
      <c r="H215" s="221">
        <f>[1]Sheet1!H215</f>
        <v>0</v>
      </c>
      <c r="I215" s="221">
        <f>[1]Sheet1!I215</f>
        <v>0</v>
      </c>
      <c r="J215" s="221">
        <f>[1]Sheet1!J215</f>
        <v>0</v>
      </c>
      <c r="K215" s="221">
        <f>[1]Sheet1!K215</f>
        <v>0</v>
      </c>
      <c r="L215" s="221">
        <f>[1]Sheet1!L215</f>
        <v>0</v>
      </c>
      <c r="M215" s="151">
        <f>[1]Sheet1!M215</f>
        <v>0</v>
      </c>
      <c r="N215" s="151">
        <f>[1]Sheet1!N215</f>
        <v>0</v>
      </c>
      <c r="O215" s="221">
        <f>[1]Sheet1!O215</f>
        <v>0</v>
      </c>
      <c r="P215" s="221">
        <f>[1]Sheet1!P215</f>
        <v>0</v>
      </c>
      <c r="Q215" s="221">
        <f>[1]Sheet1!Q215</f>
        <v>0</v>
      </c>
      <c r="R215" s="221">
        <f>[1]Sheet1!R215</f>
        <v>0</v>
      </c>
      <c r="S215" s="221">
        <f>[1]Sheet1!S215</f>
        <v>0</v>
      </c>
      <c r="T215" s="221">
        <f>[1]Sheet1!T215</f>
        <v>0</v>
      </c>
      <c r="U215" s="221">
        <f>[1]Sheet1!U215</f>
        <v>0</v>
      </c>
      <c r="V215" s="221">
        <f>[1]Sheet1!V215</f>
        <v>0</v>
      </c>
      <c r="W215" s="221">
        <f>[1]Sheet1!W215</f>
        <v>0</v>
      </c>
      <c r="X215" s="221">
        <f>[1]Sheet1!X215</f>
        <v>0</v>
      </c>
      <c r="Y215" s="221">
        <f>[1]Sheet1!Y215</f>
        <v>0</v>
      </c>
      <c r="Z215" s="59">
        <f>[1]Sheet1!Z215</f>
        <v>0</v>
      </c>
      <c r="AA215" s="59">
        <f>[1]Sheet1!AA215</f>
        <v>0</v>
      </c>
    </row>
    <row r="216" spans="1:27" ht="15" customHeight="1">
      <c r="A216" s="59">
        <f>[1]Sheet1!A216</f>
        <v>0</v>
      </c>
      <c r="B216" s="220">
        <f>[1]Sheet1!B216</f>
        <v>0</v>
      </c>
      <c r="C216" s="220">
        <f>[1]Sheet1!C216</f>
        <v>0</v>
      </c>
      <c r="D216" s="221">
        <f>[1]Sheet1!D216</f>
        <v>0</v>
      </c>
      <c r="E216" s="221">
        <f>[1]Sheet1!E216</f>
        <v>0</v>
      </c>
      <c r="F216" s="221">
        <f>[1]Sheet1!F216</f>
        <v>0</v>
      </c>
      <c r="G216" s="221">
        <f>[1]Sheet1!G216</f>
        <v>0</v>
      </c>
      <c r="H216" s="221">
        <f>[1]Sheet1!H216</f>
        <v>0</v>
      </c>
      <c r="I216" s="221">
        <f>[1]Sheet1!I216</f>
        <v>0</v>
      </c>
      <c r="J216" s="221">
        <f>[1]Sheet1!J216</f>
        <v>0</v>
      </c>
      <c r="K216" s="221">
        <f>[1]Sheet1!K216</f>
        <v>0</v>
      </c>
      <c r="L216" s="221">
        <f>[1]Sheet1!L216</f>
        <v>0</v>
      </c>
      <c r="M216" s="151">
        <f>[1]Sheet1!M216</f>
        <v>0</v>
      </c>
      <c r="N216" s="151">
        <f>[1]Sheet1!N216</f>
        <v>0</v>
      </c>
      <c r="O216" s="221">
        <f>[1]Sheet1!O216</f>
        <v>0</v>
      </c>
      <c r="P216" s="221">
        <f>[1]Sheet1!P216</f>
        <v>0</v>
      </c>
      <c r="Q216" s="221">
        <f>[1]Sheet1!Q216</f>
        <v>0</v>
      </c>
      <c r="R216" s="221">
        <f>[1]Sheet1!R216</f>
        <v>0</v>
      </c>
      <c r="S216" s="221">
        <f>[1]Sheet1!S216</f>
        <v>0</v>
      </c>
      <c r="T216" s="221">
        <f>[1]Sheet1!T216</f>
        <v>0</v>
      </c>
      <c r="U216" s="221">
        <f>[1]Sheet1!U216</f>
        <v>0</v>
      </c>
      <c r="V216" s="221">
        <f>[1]Sheet1!V216</f>
        <v>0</v>
      </c>
      <c r="W216" s="221">
        <f>[1]Sheet1!W216</f>
        <v>0</v>
      </c>
      <c r="X216" s="221">
        <f>[1]Sheet1!X216</f>
        <v>0</v>
      </c>
      <c r="Y216" s="221">
        <f>[1]Sheet1!Y216</f>
        <v>0</v>
      </c>
      <c r="Z216" s="59">
        <f>[1]Sheet1!Z216</f>
        <v>0</v>
      </c>
      <c r="AA216" s="59">
        <f>[1]Sheet1!AA216</f>
        <v>0</v>
      </c>
    </row>
    <row r="217" spans="1:27" ht="15" customHeight="1">
      <c r="A217" s="59">
        <f>[1]Sheet1!A217</f>
        <v>0</v>
      </c>
      <c r="B217" s="220">
        <f>[1]Sheet1!B217</f>
        <v>0</v>
      </c>
      <c r="C217" s="220">
        <f>[1]Sheet1!C217</f>
        <v>0</v>
      </c>
      <c r="D217" s="221">
        <f>[1]Sheet1!D217</f>
        <v>0</v>
      </c>
      <c r="E217" s="221">
        <f>[1]Sheet1!E217</f>
        <v>0</v>
      </c>
      <c r="F217" s="221">
        <f>[1]Sheet1!F217</f>
        <v>0</v>
      </c>
      <c r="G217" s="221">
        <f>[1]Sheet1!G217</f>
        <v>0</v>
      </c>
      <c r="H217" s="221">
        <f>[1]Sheet1!H217</f>
        <v>0</v>
      </c>
      <c r="I217" s="221">
        <f>[1]Sheet1!I217</f>
        <v>0</v>
      </c>
      <c r="J217" s="221">
        <f>[1]Sheet1!J217</f>
        <v>0</v>
      </c>
      <c r="K217" s="221">
        <f>[1]Sheet1!K217</f>
        <v>0</v>
      </c>
      <c r="L217" s="221">
        <f>[1]Sheet1!L217</f>
        <v>0</v>
      </c>
      <c r="M217" s="151">
        <f>[1]Sheet1!M217</f>
        <v>0</v>
      </c>
      <c r="N217" s="151">
        <f>[1]Sheet1!N217</f>
        <v>0</v>
      </c>
      <c r="O217" s="221">
        <f>[1]Sheet1!O217</f>
        <v>0</v>
      </c>
      <c r="P217" s="221">
        <f>[1]Sheet1!P217</f>
        <v>0</v>
      </c>
      <c r="Q217" s="221">
        <f>[1]Sheet1!Q217</f>
        <v>0</v>
      </c>
      <c r="R217" s="221">
        <f>[1]Sheet1!R217</f>
        <v>0</v>
      </c>
      <c r="S217" s="221">
        <f>[1]Sheet1!S217</f>
        <v>0</v>
      </c>
      <c r="T217" s="221">
        <f>[1]Sheet1!T217</f>
        <v>0</v>
      </c>
      <c r="U217" s="221">
        <f>[1]Sheet1!U217</f>
        <v>0</v>
      </c>
      <c r="V217" s="221">
        <f>[1]Sheet1!V217</f>
        <v>0</v>
      </c>
      <c r="W217" s="221">
        <f>[1]Sheet1!W217</f>
        <v>0</v>
      </c>
      <c r="X217" s="221">
        <f>[1]Sheet1!X217</f>
        <v>0</v>
      </c>
      <c r="Y217" s="221">
        <f>[1]Sheet1!Y217</f>
        <v>0</v>
      </c>
      <c r="Z217" s="59">
        <f>[1]Sheet1!Z217</f>
        <v>0</v>
      </c>
      <c r="AA217" s="59">
        <f>[1]Sheet1!AA217</f>
        <v>0</v>
      </c>
    </row>
    <row r="218" spans="1:27" ht="15" customHeight="1">
      <c r="A218" s="59">
        <f>[1]Sheet1!A218</f>
        <v>0</v>
      </c>
      <c r="B218" s="220">
        <f>[1]Sheet1!B218</f>
        <v>0</v>
      </c>
      <c r="C218" s="220">
        <f>[1]Sheet1!C218</f>
        <v>0</v>
      </c>
      <c r="D218" s="221">
        <f>[1]Sheet1!D218</f>
        <v>0</v>
      </c>
      <c r="E218" s="221">
        <f>[1]Sheet1!E218</f>
        <v>0</v>
      </c>
      <c r="F218" s="221">
        <f>[1]Sheet1!F218</f>
        <v>0</v>
      </c>
      <c r="G218" s="221">
        <f>[1]Sheet1!G218</f>
        <v>0</v>
      </c>
      <c r="H218" s="221">
        <f>[1]Sheet1!H218</f>
        <v>0</v>
      </c>
      <c r="I218" s="221">
        <f>[1]Sheet1!I218</f>
        <v>0</v>
      </c>
      <c r="J218" s="221">
        <f>[1]Sheet1!J218</f>
        <v>0</v>
      </c>
      <c r="K218" s="221">
        <f>[1]Sheet1!K218</f>
        <v>0</v>
      </c>
      <c r="L218" s="221">
        <f>[1]Sheet1!L218</f>
        <v>0</v>
      </c>
      <c r="M218" s="151">
        <f>[1]Sheet1!M218</f>
        <v>0</v>
      </c>
      <c r="N218" s="151">
        <f>[1]Sheet1!N218</f>
        <v>0</v>
      </c>
      <c r="O218" s="221">
        <f>[1]Sheet1!O218</f>
        <v>0</v>
      </c>
      <c r="P218" s="221">
        <f>[1]Sheet1!P218</f>
        <v>0</v>
      </c>
      <c r="Q218" s="221">
        <f>[1]Sheet1!Q218</f>
        <v>0</v>
      </c>
      <c r="R218" s="221">
        <f>[1]Sheet1!R218</f>
        <v>0</v>
      </c>
      <c r="S218" s="221">
        <f>[1]Sheet1!S218</f>
        <v>0</v>
      </c>
      <c r="T218" s="221">
        <f>[1]Sheet1!T218</f>
        <v>0</v>
      </c>
      <c r="U218" s="221">
        <f>[1]Sheet1!U218</f>
        <v>0</v>
      </c>
      <c r="V218" s="221">
        <f>[1]Sheet1!V218</f>
        <v>0</v>
      </c>
      <c r="W218" s="221">
        <f>[1]Sheet1!W218</f>
        <v>0</v>
      </c>
      <c r="X218" s="221">
        <f>[1]Sheet1!X218</f>
        <v>0</v>
      </c>
      <c r="Y218" s="221">
        <f>[1]Sheet1!Y218</f>
        <v>0</v>
      </c>
      <c r="Z218" s="59">
        <f>[1]Sheet1!Z218</f>
        <v>0</v>
      </c>
      <c r="AA218" s="59">
        <f>[1]Sheet1!AA218</f>
        <v>0</v>
      </c>
    </row>
    <row r="219" spans="1:27" ht="15" customHeight="1">
      <c r="A219" s="59">
        <f>[1]Sheet1!A219</f>
        <v>0</v>
      </c>
      <c r="B219" s="220">
        <f>[1]Sheet1!B219</f>
        <v>0</v>
      </c>
      <c r="C219" s="220">
        <f>[1]Sheet1!C219</f>
        <v>0</v>
      </c>
      <c r="D219" s="221">
        <f>[1]Sheet1!D219</f>
        <v>0</v>
      </c>
      <c r="E219" s="221">
        <f>[1]Sheet1!E219</f>
        <v>0</v>
      </c>
      <c r="F219" s="221">
        <f>[1]Sheet1!F219</f>
        <v>0</v>
      </c>
      <c r="G219" s="221">
        <f>[1]Sheet1!G219</f>
        <v>0</v>
      </c>
      <c r="H219" s="221">
        <f>[1]Sheet1!H219</f>
        <v>0</v>
      </c>
      <c r="I219" s="221">
        <f>[1]Sheet1!I219</f>
        <v>0</v>
      </c>
      <c r="J219" s="221">
        <f>[1]Sheet1!J219</f>
        <v>0</v>
      </c>
      <c r="K219" s="221">
        <f>[1]Sheet1!K219</f>
        <v>0</v>
      </c>
      <c r="L219" s="221">
        <f>[1]Sheet1!L219</f>
        <v>0</v>
      </c>
      <c r="M219" s="151">
        <f>[1]Sheet1!M219</f>
        <v>0</v>
      </c>
      <c r="N219" s="151">
        <f>[1]Sheet1!N219</f>
        <v>0</v>
      </c>
      <c r="O219" s="221">
        <f>[1]Sheet1!O219</f>
        <v>0</v>
      </c>
      <c r="P219" s="221">
        <f>[1]Sheet1!P219</f>
        <v>0</v>
      </c>
      <c r="Q219" s="221">
        <f>[1]Sheet1!Q219</f>
        <v>0</v>
      </c>
      <c r="R219" s="221">
        <f>[1]Sheet1!R219</f>
        <v>0</v>
      </c>
      <c r="S219" s="221">
        <f>[1]Sheet1!S219</f>
        <v>0</v>
      </c>
      <c r="T219" s="221">
        <f>[1]Sheet1!T219</f>
        <v>0</v>
      </c>
      <c r="U219" s="221">
        <f>[1]Sheet1!U219</f>
        <v>0</v>
      </c>
      <c r="V219" s="221">
        <f>[1]Sheet1!V219</f>
        <v>0</v>
      </c>
      <c r="W219" s="221">
        <f>[1]Sheet1!W219</f>
        <v>0</v>
      </c>
      <c r="X219" s="221">
        <f>[1]Sheet1!X219</f>
        <v>0</v>
      </c>
      <c r="Y219" s="221">
        <f>[1]Sheet1!Y219</f>
        <v>0</v>
      </c>
      <c r="Z219" s="59">
        <f>[1]Sheet1!Z219</f>
        <v>0</v>
      </c>
      <c r="AA219" s="59">
        <f>[1]Sheet1!AA219</f>
        <v>0</v>
      </c>
    </row>
    <row r="220" spans="1:27" ht="15" customHeight="1">
      <c r="A220" s="59">
        <f>[1]Sheet1!A220</f>
        <v>0</v>
      </c>
      <c r="B220" s="220">
        <f>[1]Sheet1!B220</f>
        <v>0</v>
      </c>
      <c r="C220" s="220">
        <f>[1]Sheet1!C220</f>
        <v>0</v>
      </c>
      <c r="D220" s="221">
        <f>[1]Sheet1!D220</f>
        <v>0</v>
      </c>
      <c r="E220" s="221">
        <f>[1]Sheet1!E220</f>
        <v>0</v>
      </c>
      <c r="F220" s="221">
        <f>[1]Sheet1!F220</f>
        <v>0</v>
      </c>
      <c r="G220" s="221">
        <f>[1]Sheet1!G220</f>
        <v>0</v>
      </c>
      <c r="H220" s="221">
        <f>[1]Sheet1!H220</f>
        <v>0</v>
      </c>
      <c r="I220" s="221">
        <f>[1]Sheet1!I220</f>
        <v>0</v>
      </c>
      <c r="J220" s="221">
        <f>[1]Sheet1!J220</f>
        <v>0</v>
      </c>
      <c r="K220" s="221">
        <f>[1]Sheet1!K220</f>
        <v>0</v>
      </c>
      <c r="L220" s="221">
        <f>[1]Sheet1!L220</f>
        <v>0</v>
      </c>
      <c r="M220" s="151">
        <f>[1]Sheet1!M220</f>
        <v>0</v>
      </c>
      <c r="N220" s="151">
        <f>[1]Sheet1!N220</f>
        <v>0</v>
      </c>
      <c r="O220" s="221">
        <f>[1]Sheet1!O220</f>
        <v>0</v>
      </c>
      <c r="P220" s="221">
        <f>[1]Sheet1!P220</f>
        <v>0</v>
      </c>
      <c r="Q220" s="221">
        <f>[1]Sheet1!Q220</f>
        <v>0</v>
      </c>
      <c r="R220" s="221">
        <f>[1]Sheet1!R220</f>
        <v>0</v>
      </c>
      <c r="S220" s="221">
        <f>[1]Sheet1!S220</f>
        <v>0</v>
      </c>
      <c r="T220" s="221">
        <f>[1]Sheet1!T220</f>
        <v>0</v>
      </c>
      <c r="U220" s="221">
        <f>[1]Sheet1!U220</f>
        <v>0</v>
      </c>
      <c r="V220" s="221">
        <f>[1]Sheet1!V220</f>
        <v>0</v>
      </c>
      <c r="W220" s="221">
        <f>[1]Sheet1!W220</f>
        <v>0</v>
      </c>
      <c r="X220" s="221">
        <f>[1]Sheet1!X220</f>
        <v>0</v>
      </c>
      <c r="Y220" s="221">
        <f>[1]Sheet1!Y220</f>
        <v>0</v>
      </c>
      <c r="Z220" s="59">
        <f>[1]Sheet1!Z220</f>
        <v>0</v>
      </c>
      <c r="AA220" s="59">
        <f>[1]Sheet1!AA220</f>
        <v>0</v>
      </c>
    </row>
    <row r="221" spans="1:27" ht="15" customHeight="1">
      <c r="A221" s="59">
        <f>[1]Sheet1!A221</f>
        <v>0</v>
      </c>
      <c r="B221" s="220">
        <f>[1]Sheet1!B221</f>
        <v>0</v>
      </c>
      <c r="C221" s="220">
        <f>[1]Sheet1!C221</f>
        <v>0</v>
      </c>
      <c r="D221" s="221">
        <f>[1]Sheet1!D221</f>
        <v>0</v>
      </c>
      <c r="E221" s="221">
        <f>[1]Sheet1!E221</f>
        <v>0</v>
      </c>
      <c r="F221" s="221">
        <f>[1]Sheet1!F221</f>
        <v>0</v>
      </c>
      <c r="G221" s="221">
        <f>[1]Sheet1!G221</f>
        <v>0</v>
      </c>
      <c r="H221" s="221">
        <f>[1]Sheet1!H221</f>
        <v>0</v>
      </c>
      <c r="I221" s="221">
        <f>[1]Sheet1!I221</f>
        <v>0</v>
      </c>
      <c r="J221" s="221">
        <f>[1]Sheet1!J221</f>
        <v>0</v>
      </c>
      <c r="K221" s="221">
        <f>[1]Sheet1!K221</f>
        <v>0</v>
      </c>
      <c r="L221" s="221">
        <f>[1]Sheet1!L221</f>
        <v>0</v>
      </c>
      <c r="M221" s="151">
        <f>[1]Sheet1!M221</f>
        <v>0</v>
      </c>
      <c r="N221" s="151">
        <f>[1]Sheet1!N221</f>
        <v>0</v>
      </c>
      <c r="O221" s="221">
        <f>[1]Sheet1!O221</f>
        <v>0</v>
      </c>
      <c r="P221" s="221">
        <f>[1]Sheet1!P221</f>
        <v>0</v>
      </c>
      <c r="Q221" s="221">
        <f>[1]Sheet1!Q221</f>
        <v>0</v>
      </c>
      <c r="R221" s="221">
        <f>[1]Sheet1!R221</f>
        <v>0</v>
      </c>
      <c r="S221" s="221">
        <f>[1]Sheet1!S221</f>
        <v>0</v>
      </c>
      <c r="T221" s="221">
        <f>[1]Sheet1!T221</f>
        <v>0</v>
      </c>
      <c r="U221" s="221">
        <f>[1]Sheet1!U221</f>
        <v>0</v>
      </c>
      <c r="V221" s="221">
        <f>[1]Sheet1!V221</f>
        <v>0</v>
      </c>
      <c r="W221" s="221">
        <f>[1]Sheet1!W221</f>
        <v>0</v>
      </c>
      <c r="X221" s="221">
        <f>[1]Sheet1!X221</f>
        <v>0</v>
      </c>
      <c r="Y221" s="221">
        <f>[1]Sheet1!Y221</f>
        <v>0</v>
      </c>
      <c r="Z221" s="59">
        <f>[1]Sheet1!Z221</f>
        <v>0</v>
      </c>
      <c r="AA221" s="59">
        <f>[1]Sheet1!AA221</f>
        <v>0</v>
      </c>
    </row>
    <row r="222" spans="1:27" ht="15" customHeight="1">
      <c r="A222" s="59">
        <f>[1]Sheet1!A222</f>
        <v>0</v>
      </c>
      <c r="B222" s="220">
        <f>[1]Sheet1!B222</f>
        <v>0</v>
      </c>
      <c r="C222" s="220">
        <f>[1]Sheet1!C222</f>
        <v>0</v>
      </c>
      <c r="D222" s="221">
        <f>[1]Sheet1!D222</f>
        <v>0</v>
      </c>
      <c r="E222" s="221">
        <f>[1]Sheet1!E222</f>
        <v>0</v>
      </c>
      <c r="F222" s="221">
        <f>[1]Sheet1!F222</f>
        <v>0</v>
      </c>
      <c r="G222" s="221">
        <f>[1]Sheet1!G222</f>
        <v>0</v>
      </c>
      <c r="H222" s="221">
        <f>[1]Sheet1!H222</f>
        <v>0</v>
      </c>
      <c r="I222" s="221">
        <f>[1]Sheet1!I222</f>
        <v>0</v>
      </c>
      <c r="J222" s="221">
        <f>[1]Sheet1!J222</f>
        <v>0</v>
      </c>
      <c r="K222" s="221">
        <f>[1]Sheet1!K222</f>
        <v>0</v>
      </c>
      <c r="L222" s="221">
        <f>[1]Sheet1!L222</f>
        <v>0</v>
      </c>
      <c r="M222" s="151">
        <f>[1]Sheet1!M222</f>
        <v>0</v>
      </c>
      <c r="N222" s="151">
        <f>[1]Sheet1!N222</f>
        <v>0</v>
      </c>
      <c r="O222" s="221">
        <f>[1]Sheet1!O222</f>
        <v>0</v>
      </c>
      <c r="P222" s="221">
        <f>[1]Sheet1!P222</f>
        <v>0</v>
      </c>
      <c r="Q222" s="221">
        <f>[1]Sheet1!Q222</f>
        <v>0</v>
      </c>
      <c r="R222" s="221">
        <f>[1]Sheet1!R222</f>
        <v>0</v>
      </c>
      <c r="S222" s="221">
        <f>[1]Sheet1!S222</f>
        <v>0</v>
      </c>
      <c r="T222" s="221">
        <f>[1]Sheet1!T222</f>
        <v>0</v>
      </c>
      <c r="U222" s="221">
        <f>[1]Sheet1!U222</f>
        <v>0</v>
      </c>
      <c r="V222" s="221">
        <f>[1]Sheet1!V222</f>
        <v>0</v>
      </c>
      <c r="W222" s="221">
        <f>[1]Sheet1!W222</f>
        <v>0</v>
      </c>
      <c r="X222" s="221">
        <f>[1]Sheet1!X222</f>
        <v>0</v>
      </c>
      <c r="Y222" s="221">
        <f>[1]Sheet1!Y222</f>
        <v>0</v>
      </c>
      <c r="Z222" s="59">
        <f>[1]Sheet1!Z222</f>
        <v>0</v>
      </c>
      <c r="AA222" s="59">
        <f>[1]Sheet1!AA222</f>
        <v>0</v>
      </c>
    </row>
    <row r="223" spans="1:27" ht="15" customHeight="1">
      <c r="A223" s="59">
        <f>[1]Sheet1!A223</f>
        <v>0</v>
      </c>
      <c r="B223" s="220">
        <f>[1]Sheet1!B223</f>
        <v>0</v>
      </c>
      <c r="C223" s="220">
        <f>[1]Sheet1!C223</f>
        <v>0</v>
      </c>
      <c r="D223" s="221">
        <f>[1]Sheet1!D223</f>
        <v>0</v>
      </c>
      <c r="E223" s="221">
        <f>[1]Sheet1!E223</f>
        <v>0</v>
      </c>
      <c r="F223" s="221">
        <f>[1]Sheet1!F223</f>
        <v>0</v>
      </c>
      <c r="G223" s="221">
        <f>[1]Sheet1!G223</f>
        <v>0</v>
      </c>
      <c r="H223" s="221">
        <f>[1]Sheet1!H223</f>
        <v>0</v>
      </c>
      <c r="I223" s="221">
        <f>[1]Sheet1!I223</f>
        <v>0</v>
      </c>
      <c r="J223" s="221">
        <f>[1]Sheet1!J223</f>
        <v>0</v>
      </c>
      <c r="K223" s="221">
        <f>[1]Sheet1!K223</f>
        <v>0</v>
      </c>
      <c r="L223" s="221">
        <f>[1]Sheet1!L223</f>
        <v>0</v>
      </c>
      <c r="M223" s="151">
        <f>[1]Sheet1!M223</f>
        <v>0</v>
      </c>
      <c r="N223" s="151">
        <f>[1]Sheet1!N223</f>
        <v>0</v>
      </c>
      <c r="O223" s="221">
        <f>[1]Sheet1!O223</f>
        <v>0</v>
      </c>
      <c r="P223" s="221">
        <f>[1]Sheet1!P223</f>
        <v>0</v>
      </c>
      <c r="Q223" s="221">
        <f>[1]Sheet1!Q223</f>
        <v>0</v>
      </c>
      <c r="R223" s="221">
        <f>[1]Sheet1!R223</f>
        <v>0</v>
      </c>
      <c r="S223" s="221">
        <f>[1]Sheet1!S223</f>
        <v>0</v>
      </c>
      <c r="T223" s="221">
        <f>[1]Sheet1!T223</f>
        <v>0</v>
      </c>
      <c r="U223" s="221">
        <f>[1]Sheet1!U223</f>
        <v>0</v>
      </c>
      <c r="V223" s="221">
        <f>[1]Sheet1!V223</f>
        <v>0</v>
      </c>
      <c r="W223" s="221">
        <f>[1]Sheet1!W223</f>
        <v>0</v>
      </c>
      <c r="X223" s="221">
        <f>[1]Sheet1!X223</f>
        <v>0</v>
      </c>
      <c r="Y223" s="221">
        <f>[1]Sheet1!Y223</f>
        <v>0</v>
      </c>
      <c r="Z223" s="59">
        <f>[1]Sheet1!Z223</f>
        <v>0</v>
      </c>
      <c r="AA223" s="59">
        <f>[1]Sheet1!AA223</f>
        <v>0</v>
      </c>
    </row>
    <row r="224" spans="1:27" ht="15" customHeight="1">
      <c r="A224" s="59">
        <f>[1]Sheet1!A224</f>
        <v>0</v>
      </c>
      <c r="B224" s="220">
        <f>[1]Sheet1!B224</f>
        <v>0</v>
      </c>
      <c r="C224" s="220">
        <f>[1]Sheet1!C224</f>
        <v>0</v>
      </c>
      <c r="D224" s="221">
        <f>[1]Sheet1!D224</f>
        <v>0</v>
      </c>
      <c r="E224" s="221">
        <f>[1]Sheet1!E224</f>
        <v>0</v>
      </c>
      <c r="F224" s="221">
        <f>[1]Sheet1!F224</f>
        <v>0</v>
      </c>
      <c r="G224" s="221">
        <f>[1]Sheet1!G224</f>
        <v>0</v>
      </c>
      <c r="H224" s="221">
        <f>[1]Sheet1!H224</f>
        <v>0</v>
      </c>
      <c r="I224" s="221">
        <f>[1]Sheet1!I224</f>
        <v>0</v>
      </c>
      <c r="J224" s="221">
        <f>[1]Sheet1!J224</f>
        <v>0</v>
      </c>
      <c r="K224" s="221">
        <f>[1]Sheet1!K224</f>
        <v>0</v>
      </c>
      <c r="L224" s="221">
        <f>[1]Sheet1!L224</f>
        <v>0</v>
      </c>
      <c r="M224" s="151">
        <f>[1]Sheet1!M224</f>
        <v>0</v>
      </c>
      <c r="N224" s="151">
        <f>[1]Sheet1!N224</f>
        <v>0</v>
      </c>
      <c r="O224" s="221">
        <f>[1]Sheet1!O224</f>
        <v>0</v>
      </c>
      <c r="P224" s="221">
        <f>[1]Sheet1!P224</f>
        <v>0</v>
      </c>
      <c r="Q224" s="221">
        <f>[1]Sheet1!Q224</f>
        <v>0</v>
      </c>
      <c r="R224" s="221">
        <f>[1]Sheet1!R224</f>
        <v>0</v>
      </c>
      <c r="S224" s="221">
        <f>[1]Sheet1!S224</f>
        <v>0</v>
      </c>
      <c r="T224" s="221">
        <f>[1]Sheet1!T224</f>
        <v>0</v>
      </c>
      <c r="U224" s="221">
        <f>[1]Sheet1!U224</f>
        <v>0</v>
      </c>
      <c r="V224" s="221">
        <f>[1]Sheet1!V224</f>
        <v>0</v>
      </c>
      <c r="W224" s="221">
        <f>[1]Sheet1!W224</f>
        <v>0</v>
      </c>
      <c r="X224" s="221">
        <f>[1]Sheet1!X224</f>
        <v>0</v>
      </c>
      <c r="Y224" s="221">
        <f>[1]Sheet1!Y224</f>
        <v>0</v>
      </c>
      <c r="Z224" s="59">
        <f>[1]Sheet1!Z224</f>
        <v>0</v>
      </c>
      <c r="AA224" s="59">
        <f>[1]Sheet1!AA224</f>
        <v>0</v>
      </c>
    </row>
    <row r="225" ht="177.75" customHeight="1"/>
    <row r="226" ht="177.75" customHeight="1"/>
    <row r="227" ht="177.75" customHeight="1"/>
    <row r="228" ht="177.75" customHeight="1"/>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100"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14"/>
  <sheetViews>
    <sheetView zoomScale="70" zoomScaleNormal="70" workbookViewId="0">
      <pane xSplit="6" ySplit="1" topLeftCell="AM2" activePane="bottomRight" state="frozen"/>
      <selection pane="bottomRight" activeCell="AL13" sqref="AL13"/>
      <selection pane="bottomLeft" activeCell="A2" sqref="A2"/>
      <selection pane="topRight" activeCell="G1" sqref="G1"/>
    </sheetView>
  </sheetViews>
  <sheetFormatPr defaultColWidth="10.85546875" defaultRowHeight="15" customHeight="1"/>
  <cols>
    <col min="1" max="1" width="7.140625" style="8" customWidth="1"/>
    <col min="2" max="2" width="15.7109375" style="224" hidden="1" customWidth="1"/>
    <col min="3" max="3" width="16.140625" style="224" hidden="1" customWidth="1"/>
    <col min="4" max="4" width="16.42578125" style="8" hidden="1" customWidth="1"/>
    <col min="5" max="5" width="22.5703125" style="8" customWidth="1"/>
    <col min="6" max="6" width="54" style="8" customWidth="1"/>
    <col min="7" max="7" width="53.85546875" style="8" customWidth="1"/>
    <col min="8" max="8" width="11.42578125" style="8" customWidth="1"/>
    <col min="9" max="9" width="28.140625" style="8" customWidth="1"/>
    <col min="10" max="10" width="33.140625" style="8" customWidth="1"/>
    <col min="11" max="11" width="29.85546875" style="8" customWidth="1"/>
    <col min="12" max="12" width="13" style="8" customWidth="1"/>
    <col min="13" max="13" width="17" style="8" customWidth="1"/>
    <col min="14" max="14" width="13.42578125" style="8" customWidth="1"/>
    <col min="15" max="15" width="15" style="224" customWidth="1"/>
    <col min="16" max="16" width="9.140625" style="8" bestFit="1" customWidth="1"/>
    <col min="17" max="17" width="14" style="8" customWidth="1"/>
    <col min="18" max="18" width="65.7109375" style="8" customWidth="1"/>
    <col min="19" max="19" width="46.7109375" style="8" customWidth="1"/>
    <col min="20" max="20" width="22.85546875" style="8" customWidth="1"/>
    <col min="21" max="21" width="18" style="8" customWidth="1"/>
    <col min="22" max="22" width="29.42578125" style="8" customWidth="1"/>
    <col min="23" max="23" width="22.42578125" style="8" customWidth="1"/>
    <col min="24" max="24" width="24.42578125" style="8" customWidth="1"/>
    <col min="25" max="25" width="37.42578125" style="8" customWidth="1"/>
    <col min="26" max="26" width="32.85546875" style="8" customWidth="1"/>
    <col min="27" max="27" width="23" style="8" customWidth="1"/>
    <col min="28" max="28" width="31.42578125" style="59" customWidth="1"/>
    <col min="29" max="29" width="22" style="8" customWidth="1"/>
    <col min="30" max="30" width="18.28515625" style="8" customWidth="1"/>
    <col min="31" max="31" width="16" style="8" customWidth="1"/>
    <col min="32" max="32" width="14.140625" style="8" customWidth="1"/>
    <col min="33" max="33" width="15.140625" style="8" customWidth="1"/>
    <col min="34" max="37" width="9.140625" style="8" bestFit="1" customWidth="1"/>
    <col min="38" max="40" width="12" style="8" customWidth="1"/>
    <col min="41" max="41" width="26.28515625" style="351" customWidth="1"/>
    <col min="42" max="42" width="43.140625" style="8" customWidth="1"/>
    <col min="43" max="43" width="55.42578125" style="187" customWidth="1"/>
    <col min="44" max="54" width="10.85546875" style="8"/>
    <col min="55" max="16384" width="10.85546875" style="4"/>
  </cols>
  <sheetData>
    <row r="1" spans="1:157" ht="30.75" customHeight="1">
      <c r="A1" s="227" t="s">
        <v>5</v>
      </c>
      <c r="B1" s="228" t="s">
        <v>6</v>
      </c>
      <c r="C1" s="228" t="s">
        <v>7</v>
      </c>
      <c r="D1" s="228" t="s">
        <v>8</v>
      </c>
      <c r="E1" s="228" t="s">
        <v>9</v>
      </c>
      <c r="F1" s="228" t="s">
        <v>10</v>
      </c>
      <c r="G1" s="228" t="s">
        <v>11</v>
      </c>
      <c r="H1" s="228" t="s">
        <v>12</v>
      </c>
      <c r="I1" s="228" t="s">
        <v>13</v>
      </c>
      <c r="J1" s="228" t="s">
        <v>14</v>
      </c>
      <c r="K1" s="228" t="s">
        <v>15</v>
      </c>
      <c r="L1" s="228" t="s">
        <v>16</v>
      </c>
      <c r="M1" s="228" t="s">
        <v>17</v>
      </c>
      <c r="N1" s="228" t="s">
        <v>18</v>
      </c>
      <c r="O1" s="228" t="s">
        <v>19</v>
      </c>
      <c r="P1" s="228" t="s">
        <v>20</v>
      </c>
      <c r="Q1" s="228" t="s">
        <v>21</v>
      </c>
      <c r="R1" s="228" t="s">
        <v>22</v>
      </c>
      <c r="S1" s="228" t="s">
        <v>23</v>
      </c>
      <c r="T1" s="228" t="s">
        <v>24</v>
      </c>
      <c r="U1" s="228" t="s">
        <v>25</v>
      </c>
      <c r="V1" s="228" t="s">
        <v>26</v>
      </c>
      <c r="W1" s="228" t="s">
        <v>27</v>
      </c>
      <c r="X1" s="228" t="s">
        <v>28</v>
      </c>
      <c r="Y1" s="228" t="s">
        <v>29</v>
      </c>
      <c r="Z1" s="229" t="s">
        <v>30</v>
      </c>
      <c r="AA1" s="309" t="s">
        <v>32</v>
      </c>
      <c r="AB1" s="175" t="s">
        <v>33</v>
      </c>
      <c r="AC1" s="175" t="s">
        <v>34</v>
      </c>
      <c r="AD1" s="225" t="s">
        <v>35</v>
      </c>
      <c r="AE1" s="166" t="s">
        <v>36</v>
      </c>
      <c r="AF1" s="176" t="s">
        <v>37</v>
      </c>
      <c r="AG1" s="176" t="s">
        <v>38</v>
      </c>
      <c r="AH1" s="166" t="s">
        <v>39</v>
      </c>
      <c r="AI1" s="170" t="s">
        <v>40</v>
      </c>
      <c r="AJ1" s="171" t="s">
        <v>41</v>
      </c>
      <c r="AK1" s="166" t="s">
        <v>42</v>
      </c>
      <c r="AL1" s="166" t="s">
        <v>43</v>
      </c>
      <c r="AM1" s="166" t="s">
        <v>44</v>
      </c>
      <c r="AN1" s="166" t="s">
        <v>45</v>
      </c>
      <c r="AO1" s="350" t="s">
        <v>46</v>
      </c>
      <c r="AP1" s="313" t="s">
        <v>47</v>
      </c>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row>
    <row r="2" spans="1:157" ht="71.25" customHeight="1">
      <c r="A2" s="328">
        <v>184</v>
      </c>
      <c r="B2" s="224">
        <v>46169.528136574103</v>
      </c>
      <c r="C2" s="224">
        <v>46169.529490740701</v>
      </c>
      <c r="D2" s="8" t="s">
        <v>48</v>
      </c>
      <c r="E2" s="8" t="s">
        <v>49</v>
      </c>
      <c r="F2" s="8" t="s">
        <v>50</v>
      </c>
      <c r="G2" s="8" t="s">
        <v>51</v>
      </c>
      <c r="H2" s="8" t="s">
        <v>52</v>
      </c>
      <c r="I2" s="8" t="s">
        <v>53</v>
      </c>
      <c r="J2" s="8" t="s">
        <v>54</v>
      </c>
      <c r="K2" s="8" t="s">
        <v>55</v>
      </c>
      <c r="L2" s="8" t="s">
        <v>56</v>
      </c>
      <c r="M2" s="224">
        <v>46356</v>
      </c>
      <c r="N2" s="8" t="s">
        <v>57</v>
      </c>
      <c r="O2" s="224">
        <v>0</v>
      </c>
      <c r="P2" s="8">
        <v>0</v>
      </c>
      <c r="Q2" s="8" t="s">
        <v>58</v>
      </c>
      <c r="R2" s="8" t="s">
        <v>59</v>
      </c>
      <c r="S2" s="8" t="s">
        <v>60</v>
      </c>
      <c r="T2" s="8" t="s">
        <v>61</v>
      </c>
      <c r="U2" s="8" t="s">
        <v>62</v>
      </c>
      <c r="V2" s="8" t="s">
        <v>63</v>
      </c>
      <c r="W2" s="8" t="s">
        <v>57</v>
      </c>
      <c r="X2" s="8" t="s">
        <v>64</v>
      </c>
      <c r="Y2" s="8" t="s">
        <v>65</v>
      </c>
      <c r="Z2" s="8" t="s">
        <v>66</v>
      </c>
      <c r="AA2" s="8">
        <v>1.8</v>
      </c>
      <c r="AB2" s="59" t="s">
        <v>67</v>
      </c>
      <c r="AC2" s="8" t="s">
        <v>68</v>
      </c>
      <c r="AD2" s="224">
        <v>46169</v>
      </c>
      <c r="AE2" s="8" t="s">
        <v>2</v>
      </c>
      <c r="AF2" s="224">
        <v>46174</v>
      </c>
      <c r="AG2" s="224">
        <v>46192</v>
      </c>
      <c r="AO2" s="351" t="s">
        <v>69</v>
      </c>
      <c r="AP2" s="59" t="s">
        <v>70</v>
      </c>
    </row>
    <row r="3" spans="1:157" ht="55.5" customHeight="1">
      <c r="A3" s="8">
        <v>189</v>
      </c>
      <c r="B3" s="224">
        <v>46169.635381944398</v>
      </c>
      <c r="C3" s="224">
        <v>46169.641215277799</v>
      </c>
      <c r="D3" s="8" t="s">
        <v>71</v>
      </c>
      <c r="E3" s="8" t="s">
        <v>72</v>
      </c>
      <c r="F3" s="8" t="s">
        <v>73</v>
      </c>
      <c r="G3" s="8" t="s">
        <v>74</v>
      </c>
      <c r="H3" s="8" t="s">
        <v>75</v>
      </c>
      <c r="I3" s="8" t="s">
        <v>76</v>
      </c>
      <c r="J3" s="8" t="s">
        <v>77</v>
      </c>
      <c r="K3" s="8" t="s">
        <v>78</v>
      </c>
      <c r="L3" s="8" t="s">
        <v>56</v>
      </c>
      <c r="M3" s="224">
        <v>46235</v>
      </c>
      <c r="N3" s="8" t="s">
        <v>57</v>
      </c>
      <c r="O3" s="224">
        <v>0</v>
      </c>
      <c r="P3" s="8">
        <v>0</v>
      </c>
      <c r="Q3" s="8" t="s">
        <v>79</v>
      </c>
      <c r="R3" s="8" t="s">
        <v>80</v>
      </c>
      <c r="S3" s="8" t="s">
        <v>81</v>
      </c>
      <c r="T3" s="8" t="s">
        <v>81</v>
      </c>
      <c r="U3" s="8" t="s">
        <v>82</v>
      </c>
      <c r="V3" s="8" t="s">
        <v>63</v>
      </c>
      <c r="W3" s="8" t="s">
        <v>83</v>
      </c>
      <c r="X3" s="8" t="s">
        <v>84</v>
      </c>
      <c r="Y3" s="8" t="s">
        <v>85</v>
      </c>
      <c r="Z3" s="8" t="s">
        <v>86</v>
      </c>
      <c r="AA3" s="8">
        <v>1.2</v>
      </c>
      <c r="AB3" s="59" t="s">
        <v>67</v>
      </c>
      <c r="AC3" s="8" t="s">
        <v>68</v>
      </c>
      <c r="AD3" s="224">
        <v>46174</v>
      </c>
      <c r="AG3" s="224">
        <v>46181</v>
      </c>
      <c r="AO3" s="351" t="s">
        <v>69</v>
      </c>
      <c r="AP3" s="8" t="s">
        <v>87</v>
      </c>
    </row>
    <row r="4" spans="1:157" ht="70.5" customHeight="1">
      <c r="A4" s="8">
        <v>190</v>
      </c>
      <c r="B4" s="224">
        <v>46169.652569444399</v>
      </c>
      <c r="C4" s="224">
        <v>46169.658240740697</v>
      </c>
      <c r="D4" s="8" t="s">
        <v>88</v>
      </c>
      <c r="E4" s="8" t="s">
        <v>89</v>
      </c>
      <c r="F4" s="8" t="s">
        <v>90</v>
      </c>
      <c r="G4" s="8" t="s">
        <v>74</v>
      </c>
      <c r="H4" s="8" t="s">
        <v>75</v>
      </c>
      <c r="I4" s="8" t="s">
        <v>91</v>
      </c>
      <c r="J4" s="8" t="s">
        <v>92</v>
      </c>
      <c r="K4" s="8" t="s">
        <v>93</v>
      </c>
      <c r="L4" s="8" t="s">
        <v>56</v>
      </c>
      <c r="M4" s="224">
        <v>46234</v>
      </c>
      <c r="N4" s="8" t="s">
        <v>57</v>
      </c>
      <c r="O4" s="224">
        <v>0</v>
      </c>
      <c r="P4" s="8">
        <v>0</v>
      </c>
      <c r="Q4" s="8" t="s">
        <v>79</v>
      </c>
      <c r="R4" s="8" t="s">
        <v>94</v>
      </c>
      <c r="S4" s="8" t="s">
        <v>81</v>
      </c>
      <c r="T4" s="8" t="s">
        <v>95</v>
      </c>
      <c r="U4" s="8" t="s">
        <v>82</v>
      </c>
      <c r="V4" s="8" t="s">
        <v>63</v>
      </c>
      <c r="W4" s="8" t="s">
        <v>83</v>
      </c>
      <c r="X4" s="8" t="s">
        <v>84</v>
      </c>
      <c r="Y4" s="8" t="s">
        <v>85</v>
      </c>
      <c r="Z4" s="8" t="s">
        <v>96</v>
      </c>
      <c r="AA4" s="8">
        <v>1.2</v>
      </c>
      <c r="AB4" s="59" t="s">
        <v>97</v>
      </c>
      <c r="AC4" s="8" t="s">
        <v>68</v>
      </c>
      <c r="AD4" s="224">
        <v>46169</v>
      </c>
      <c r="AG4" s="224">
        <v>46176</v>
      </c>
      <c r="AO4" s="351" t="s">
        <v>69</v>
      </c>
      <c r="AP4" s="8" t="s">
        <v>98</v>
      </c>
    </row>
    <row r="5" spans="1:157" ht="57.75" customHeight="1">
      <c r="A5" s="8">
        <v>191</v>
      </c>
      <c r="B5" s="224">
        <v>46169.658587963</v>
      </c>
      <c r="C5" s="224">
        <v>46169.661851851903</v>
      </c>
      <c r="D5" s="8" t="s">
        <v>88</v>
      </c>
      <c r="E5" s="8" t="s">
        <v>89</v>
      </c>
      <c r="F5" s="8" t="s">
        <v>99</v>
      </c>
      <c r="G5" s="8" t="s">
        <v>100</v>
      </c>
      <c r="H5" s="8" t="s">
        <v>75</v>
      </c>
      <c r="I5" s="8" t="s">
        <v>91</v>
      </c>
      <c r="J5" s="8" t="s">
        <v>92</v>
      </c>
      <c r="K5" s="8" t="s">
        <v>101</v>
      </c>
      <c r="L5" s="8" t="s">
        <v>56</v>
      </c>
      <c r="M5" s="224">
        <v>46234</v>
      </c>
      <c r="N5" s="8" t="s">
        <v>57</v>
      </c>
      <c r="O5" s="224">
        <v>0</v>
      </c>
      <c r="P5" s="8">
        <v>0</v>
      </c>
      <c r="Q5" s="8" t="s">
        <v>79</v>
      </c>
      <c r="R5" s="8" t="s">
        <v>94</v>
      </c>
      <c r="S5" s="8" t="s">
        <v>81</v>
      </c>
      <c r="T5" s="8" t="s">
        <v>102</v>
      </c>
      <c r="U5" s="8" t="s">
        <v>82</v>
      </c>
      <c r="V5" s="8" t="s">
        <v>63</v>
      </c>
      <c r="W5" s="8" t="s">
        <v>83</v>
      </c>
      <c r="X5" s="8" t="s">
        <v>84</v>
      </c>
      <c r="Y5" s="8" t="s">
        <v>103</v>
      </c>
      <c r="Z5" s="8" t="s">
        <v>104</v>
      </c>
      <c r="AA5" s="8">
        <v>1.2</v>
      </c>
      <c r="AB5" s="59" t="s">
        <v>97</v>
      </c>
      <c r="AC5" s="8" t="s">
        <v>68</v>
      </c>
      <c r="AD5" s="224">
        <v>46169</v>
      </c>
      <c r="AG5" s="224">
        <v>46176</v>
      </c>
      <c r="AO5" s="351" t="s">
        <v>69</v>
      </c>
      <c r="AP5" s="8" t="s">
        <v>98</v>
      </c>
    </row>
    <row r="6" spans="1:157" ht="30" customHeight="1">
      <c r="A6" s="8">
        <v>192</v>
      </c>
      <c r="B6" s="224">
        <v>46169.662511574097</v>
      </c>
      <c r="C6" s="224">
        <v>46169.665196759299</v>
      </c>
      <c r="D6" s="8" t="s">
        <v>88</v>
      </c>
      <c r="E6" s="8" t="s">
        <v>89</v>
      </c>
      <c r="F6" s="8" t="s">
        <v>105</v>
      </c>
      <c r="G6" s="8" t="s">
        <v>100</v>
      </c>
      <c r="H6" s="8" t="s">
        <v>75</v>
      </c>
      <c r="I6" s="8" t="s">
        <v>91</v>
      </c>
      <c r="J6" s="8" t="s">
        <v>92</v>
      </c>
      <c r="K6" s="8" t="s">
        <v>106</v>
      </c>
      <c r="L6" s="8" t="s">
        <v>56</v>
      </c>
      <c r="M6" s="224">
        <v>46234</v>
      </c>
      <c r="N6" s="8" t="s">
        <v>57</v>
      </c>
      <c r="O6" s="224">
        <v>0</v>
      </c>
      <c r="P6" s="8">
        <v>0</v>
      </c>
      <c r="Q6" s="8" t="s">
        <v>79</v>
      </c>
      <c r="R6" s="8" t="s">
        <v>94</v>
      </c>
      <c r="S6" s="8" t="s">
        <v>81</v>
      </c>
      <c r="T6" s="8" t="s">
        <v>107</v>
      </c>
      <c r="U6" s="8" t="s">
        <v>82</v>
      </c>
      <c r="V6" s="8" t="s">
        <v>63</v>
      </c>
      <c r="W6" s="8" t="s">
        <v>83</v>
      </c>
      <c r="X6" s="8" t="s">
        <v>84</v>
      </c>
      <c r="Y6" s="8" t="s">
        <v>103</v>
      </c>
      <c r="Z6" s="8" t="s">
        <v>108</v>
      </c>
      <c r="AA6" s="8">
        <v>1.2</v>
      </c>
      <c r="AB6" s="59" t="s">
        <v>97</v>
      </c>
      <c r="AC6" s="8" t="s">
        <v>68</v>
      </c>
      <c r="AD6" s="224">
        <v>46169</v>
      </c>
      <c r="AG6" s="224">
        <v>46176</v>
      </c>
      <c r="AO6" s="351" t="s">
        <v>69</v>
      </c>
      <c r="AP6" s="8" t="s">
        <v>98</v>
      </c>
    </row>
    <row r="7" spans="1:157" ht="39" customHeight="1">
      <c r="A7" s="8">
        <v>193</v>
      </c>
      <c r="B7" s="224">
        <v>46169.665486111102</v>
      </c>
      <c r="C7" s="224">
        <v>46169.667557870402</v>
      </c>
      <c r="D7" s="8" t="s">
        <v>88</v>
      </c>
      <c r="E7" s="8" t="s">
        <v>89</v>
      </c>
      <c r="F7" s="8" t="s">
        <v>109</v>
      </c>
      <c r="G7" s="8" t="s">
        <v>100</v>
      </c>
      <c r="H7" s="8" t="s">
        <v>75</v>
      </c>
      <c r="I7" s="8" t="s">
        <v>91</v>
      </c>
      <c r="J7" s="8" t="s">
        <v>92</v>
      </c>
      <c r="K7" s="8" t="s">
        <v>110</v>
      </c>
      <c r="L7" s="8" t="s">
        <v>56</v>
      </c>
      <c r="M7" s="224">
        <v>46234</v>
      </c>
      <c r="N7" s="8" t="s">
        <v>57</v>
      </c>
      <c r="O7" s="224">
        <v>0</v>
      </c>
      <c r="P7" s="8">
        <v>0</v>
      </c>
      <c r="Q7" s="8" t="s">
        <v>79</v>
      </c>
      <c r="R7" s="8" t="s">
        <v>94</v>
      </c>
      <c r="S7" s="8" t="s">
        <v>81</v>
      </c>
      <c r="T7" s="8" t="s">
        <v>111</v>
      </c>
      <c r="U7" s="8" t="s">
        <v>82</v>
      </c>
      <c r="V7" s="8" t="s">
        <v>63</v>
      </c>
      <c r="W7" s="8" t="s">
        <v>83</v>
      </c>
      <c r="X7" s="8" t="s">
        <v>84</v>
      </c>
      <c r="Y7" s="8" t="s">
        <v>103</v>
      </c>
      <c r="Z7" s="8" t="s">
        <v>112</v>
      </c>
      <c r="AA7" s="8">
        <v>1.2</v>
      </c>
      <c r="AB7" s="59" t="s">
        <v>97</v>
      </c>
      <c r="AC7" s="8" t="s">
        <v>68</v>
      </c>
      <c r="AD7" s="224">
        <v>46169</v>
      </c>
      <c r="AG7" s="224">
        <v>46176</v>
      </c>
      <c r="AO7" s="351" t="s">
        <v>69</v>
      </c>
      <c r="AP7" s="8" t="s">
        <v>98</v>
      </c>
    </row>
    <row r="8" spans="1:157" ht="41.25" customHeight="1">
      <c r="A8" s="8">
        <v>195</v>
      </c>
      <c r="B8" s="224">
        <v>46169.671412037002</v>
      </c>
      <c r="C8" s="224">
        <v>46169.673622685201</v>
      </c>
      <c r="D8" s="8" t="s">
        <v>88</v>
      </c>
      <c r="E8" s="8" t="s">
        <v>89</v>
      </c>
      <c r="F8" s="8" t="s">
        <v>113</v>
      </c>
      <c r="G8" s="8" t="s">
        <v>100</v>
      </c>
      <c r="H8" s="8" t="s">
        <v>75</v>
      </c>
      <c r="I8" s="8" t="s">
        <v>91</v>
      </c>
      <c r="J8" s="8" t="s">
        <v>92</v>
      </c>
      <c r="K8" s="8" t="s">
        <v>114</v>
      </c>
      <c r="L8" s="8" t="s">
        <v>56</v>
      </c>
      <c r="M8" s="224">
        <v>46234</v>
      </c>
      <c r="N8" s="8" t="s">
        <v>57</v>
      </c>
      <c r="O8" s="224">
        <v>0</v>
      </c>
      <c r="P8" s="8">
        <v>0</v>
      </c>
      <c r="Q8" s="8" t="s">
        <v>79</v>
      </c>
      <c r="R8" s="8" t="s">
        <v>94</v>
      </c>
      <c r="S8" s="8" t="s">
        <v>81</v>
      </c>
      <c r="T8" s="8" t="s">
        <v>115</v>
      </c>
      <c r="U8" s="8" t="s">
        <v>82</v>
      </c>
      <c r="V8" s="8" t="s">
        <v>63</v>
      </c>
      <c r="W8" s="8" t="s">
        <v>83</v>
      </c>
      <c r="X8" s="8" t="s">
        <v>84</v>
      </c>
      <c r="Y8" s="8" t="s">
        <v>103</v>
      </c>
      <c r="Z8" s="8" t="s">
        <v>116</v>
      </c>
      <c r="AA8" s="8">
        <v>1.2</v>
      </c>
      <c r="AB8" s="59" t="s">
        <v>97</v>
      </c>
      <c r="AC8" s="8" t="s">
        <v>68</v>
      </c>
      <c r="AD8" s="224">
        <v>46169</v>
      </c>
      <c r="AG8" s="224">
        <v>46176</v>
      </c>
      <c r="AO8" s="351" t="s">
        <v>69</v>
      </c>
      <c r="AP8" s="8" t="s">
        <v>98</v>
      </c>
    </row>
    <row r="9" spans="1:157" ht="145.5" customHeight="1">
      <c r="A9" s="8">
        <v>200</v>
      </c>
      <c r="B9" s="224">
        <v>46169.686944444402</v>
      </c>
      <c r="C9" s="224">
        <v>46169.690324074101</v>
      </c>
      <c r="D9" s="8" t="s">
        <v>88</v>
      </c>
      <c r="E9" s="8" t="s">
        <v>89</v>
      </c>
      <c r="F9" s="8" t="s">
        <v>117</v>
      </c>
      <c r="G9" s="8" t="s">
        <v>100</v>
      </c>
      <c r="H9" s="8" t="s">
        <v>75</v>
      </c>
      <c r="I9" s="8" t="s">
        <v>76</v>
      </c>
      <c r="J9" s="8" t="s">
        <v>118</v>
      </c>
      <c r="K9" s="8" t="s">
        <v>119</v>
      </c>
      <c r="L9" s="8" t="s">
        <v>56</v>
      </c>
      <c r="M9" s="224">
        <v>46387</v>
      </c>
      <c r="N9" s="8" t="s">
        <v>57</v>
      </c>
      <c r="O9" s="224">
        <v>0</v>
      </c>
      <c r="P9" s="8">
        <v>0</v>
      </c>
      <c r="Q9" s="8" t="s">
        <v>79</v>
      </c>
      <c r="R9" s="8" t="s">
        <v>94</v>
      </c>
      <c r="S9" s="8" t="s">
        <v>81</v>
      </c>
      <c r="T9" s="8" t="s">
        <v>120</v>
      </c>
      <c r="U9" s="8" t="s">
        <v>82</v>
      </c>
      <c r="V9" s="8" t="s">
        <v>63</v>
      </c>
      <c r="W9" s="8" t="s">
        <v>83</v>
      </c>
      <c r="X9" s="8" t="s">
        <v>84</v>
      </c>
      <c r="Y9" s="8" t="s">
        <v>103</v>
      </c>
      <c r="Z9" s="8" t="s">
        <v>121</v>
      </c>
      <c r="AA9" s="8">
        <v>1.2</v>
      </c>
      <c r="AB9" s="59" t="s">
        <v>122</v>
      </c>
      <c r="AC9" s="8" t="s">
        <v>68</v>
      </c>
      <c r="AD9" s="224">
        <v>46169</v>
      </c>
      <c r="AE9" s="8" t="s">
        <v>3</v>
      </c>
      <c r="AF9" s="224">
        <v>46174</v>
      </c>
      <c r="AG9" s="224">
        <v>46191</v>
      </c>
      <c r="AO9" s="351" t="s">
        <v>69</v>
      </c>
      <c r="AP9" s="8" t="s">
        <v>123</v>
      </c>
    </row>
    <row r="10" spans="1:157" ht="42.75" customHeight="1">
      <c r="A10" s="8">
        <v>217</v>
      </c>
      <c r="B10" s="224">
        <v>46170.000833333303</v>
      </c>
      <c r="C10" s="224">
        <v>46170.001875000002</v>
      </c>
      <c r="D10" s="8" t="s">
        <v>124</v>
      </c>
      <c r="E10" s="8" t="s">
        <v>125</v>
      </c>
      <c r="F10" s="8" t="s">
        <v>126</v>
      </c>
      <c r="G10" s="8" t="s">
        <v>74</v>
      </c>
      <c r="H10" s="8" t="s">
        <v>75</v>
      </c>
      <c r="I10" s="8" t="s">
        <v>76</v>
      </c>
      <c r="J10" s="8" t="s">
        <v>127</v>
      </c>
      <c r="K10" s="8" t="s">
        <v>128</v>
      </c>
      <c r="L10" s="8" t="s">
        <v>56</v>
      </c>
      <c r="M10" s="224">
        <v>46207</v>
      </c>
      <c r="N10" s="8" t="s">
        <v>57</v>
      </c>
      <c r="O10" s="224">
        <v>0</v>
      </c>
      <c r="P10" s="8">
        <v>0</v>
      </c>
      <c r="Q10" s="8" t="s">
        <v>79</v>
      </c>
      <c r="R10" s="8" t="s">
        <v>80</v>
      </c>
      <c r="S10" s="8" t="s">
        <v>81</v>
      </c>
      <c r="T10" s="8" t="s">
        <v>129</v>
      </c>
      <c r="U10" s="8" t="s">
        <v>130</v>
      </c>
      <c r="V10" s="8" t="s">
        <v>63</v>
      </c>
      <c r="W10" s="8" t="s">
        <v>83</v>
      </c>
      <c r="X10" s="8" t="s">
        <v>84</v>
      </c>
      <c r="Y10" s="8" t="s">
        <v>131</v>
      </c>
      <c r="Z10" s="8" t="s">
        <v>132</v>
      </c>
      <c r="AA10" s="8">
        <v>0.6</v>
      </c>
      <c r="AB10" s="59" t="s">
        <v>133</v>
      </c>
      <c r="AC10" s="8" t="s">
        <v>68</v>
      </c>
      <c r="AD10" s="224">
        <v>46170</v>
      </c>
      <c r="AG10" s="224">
        <v>46177</v>
      </c>
      <c r="AO10" s="351" t="s">
        <v>69</v>
      </c>
      <c r="AP10" s="8" t="s">
        <v>134</v>
      </c>
    </row>
    <row r="11" spans="1:157" ht="35.25" customHeight="1">
      <c r="A11" s="8">
        <v>219</v>
      </c>
      <c r="B11" s="224">
        <v>46170.004328703697</v>
      </c>
      <c r="C11" s="224">
        <v>46170.005775463003</v>
      </c>
      <c r="D11" s="8" t="s">
        <v>124</v>
      </c>
      <c r="E11" s="8" t="s">
        <v>125</v>
      </c>
      <c r="F11" s="8" t="s">
        <v>135</v>
      </c>
      <c r="G11" s="8" t="s">
        <v>74</v>
      </c>
      <c r="H11" s="8" t="s">
        <v>75</v>
      </c>
      <c r="I11" s="8" t="s">
        <v>76</v>
      </c>
      <c r="J11" s="8" t="s">
        <v>127</v>
      </c>
      <c r="K11" s="8" t="s">
        <v>136</v>
      </c>
      <c r="L11" s="8" t="s">
        <v>56</v>
      </c>
      <c r="M11" s="224">
        <v>46209</v>
      </c>
      <c r="N11" s="8" t="s">
        <v>57</v>
      </c>
      <c r="O11" s="224">
        <v>0</v>
      </c>
      <c r="P11" s="8">
        <v>0</v>
      </c>
      <c r="Q11" s="8" t="s">
        <v>79</v>
      </c>
      <c r="R11" s="8" t="s">
        <v>80</v>
      </c>
      <c r="S11" s="8" t="s">
        <v>81</v>
      </c>
      <c r="T11" s="8" t="s">
        <v>81</v>
      </c>
      <c r="U11" s="8" t="s">
        <v>82</v>
      </c>
      <c r="V11" s="8" t="s">
        <v>63</v>
      </c>
      <c r="W11" s="8" t="s">
        <v>83</v>
      </c>
      <c r="X11" s="8" t="s">
        <v>84</v>
      </c>
      <c r="Y11" s="8" t="s">
        <v>131</v>
      </c>
      <c r="Z11" s="8" t="s">
        <v>137</v>
      </c>
      <c r="AA11" s="8">
        <v>1.2</v>
      </c>
      <c r="AB11" s="59" t="s">
        <v>133</v>
      </c>
      <c r="AC11" s="8" t="s">
        <v>68</v>
      </c>
      <c r="AD11" s="224">
        <v>46170</v>
      </c>
      <c r="AG11" s="224">
        <v>46177</v>
      </c>
      <c r="AO11" s="351" t="s">
        <v>69</v>
      </c>
      <c r="AP11" s="8" t="s">
        <v>138</v>
      </c>
    </row>
    <row r="12" spans="1:157" ht="64.5" customHeight="1">
      <c r="A12" s="237">
        <v>225</v>
      </c>
      <c r="B12" s="235">
        <v>46181.983622685198</v>
      </c>
      <c r="C12" s="235">
        <v>46181.992662037002</v>
      </c>
      <c r="D12" s="237" t="s">
        <v>139</v>
      </c>
      <c r="E12" s="237" t="s">
        <v>140</v>
      </c>
      <c r="F12" s="234" t="s">
        <v>141</v>
      </c>
      <c r="G12" s="234" t="s">
        <v>142</v>
      </c>
      <c r="H12" s="237" t="s">
        <v>75</v>
      </c>
      <c r="I12" s="234" t="s">
        <v>76</v>
      </c>
      <c r="J12" s="234" t="s">
        <v>143</v>
      </c>
      <c r="K12" s="236" t="s">
        <v>144</v>
      </c>
      <c r="L12" s="237" t="s">
        <v>56</v>
      </c>
      <c r="M12" s="235">
        <v>46387</v>
      </c>
      <c r="N12" s="237" t="s">
        <v>83</v>
      </c>
      <c r="O12" s="237" t="s">
        <v>145</v>
      </c>
      <c r="P12" s="237">
        <v>77544</v>
      </c>
      <c r="Q12" s="238" t="s">
        <v>79</v>
      </c>
      <c r="R12" s="234" t="s">
        <v>146</v>
      </c>
      <c r="S12" s="343" t="s">
        <v>147</v>
      </c>
      <c r="T12" s="234" t="s">
        <v>148</v>
      </c>
      <c r="U12" s="234" t="s">
        <v>82</v>
      </c>
      <c r="V12" s="239" t="s">
        <v>63</v>
      </c>
      <c r="W12" s="237" t="s">
        <v>57</v>
      </c>
      <c r="X12" s="231" t="s">
        <v>149</v>
      </c>
      <c r="Y12" s="231" t="s">
        <v>150</v>
      </c>
      <c r="Z12" s="242" t="s">
        <v>151</v>
      </c>
      <c r="AA12" s="314">
        <v>2.85</v>
      </c>
      <c r="AB12" s="322" t="s">
        <v>152</v>
      </c>
      <c r="AC12" s="325" t="s">
        <v>68</v>
      </c>
      <c r="AD12" s="324">
        <v>46184</v>
      </c>
      <c r="AE12" s="167"/>
      <c r="AF12" s="178"/>
      <c r="AG12" s="318"/>
      <c r="AH12" s="167"/>
      <c r="AI12" s="183"/>
      <c r="AJ12" s="182"/>
      <c r="AK12" s="329"/>
      <c r="AL12" s="333"/>
      <c r="AM12" s="334"/>
      <c r="AN12" s="334"/>
      <c r="AO12" s="352" t="s">
        <v>69</v>
      </c>
      <c r="AP12" s="334" t="s">
        <v>153</v>
      </c>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row>
    <row r="13" spans="1:157" ht="110.25" customHeight="1">
      <c r="A13" s="237">
        <v>121</v>
      </c>
      <c r="B13" s="235">
        <v>46140</v>
      </c>
      <c r="C13" s="235">
        <v>46140</v>
      </c>
      <c r="D13" s="237" t="s">
        <v>154</v>
      </c>
      <c r="E13" s="237" t="s">
        <v>155</v>
      </c>
      <c r="F13" s="234" t="s">
        <v>156</v>
      </c>
      <c r="G13" s="234" t="s">
        <v>157</v>
      </c>
      <c r="H13" s="237" t="s">
        <v>158</v>
      </c>
      <c r="I13" s="234" t="s">
        <v>159</v>
      </c>
      <c r="J13" s="234" t="s">
        <v>160</v>
      </c>
      <c r="K13" s="236"/>
      <c r="L13" s="234" t="s">
        <v>161</v>
      </c>
      <c r="M13" s="235">
        <v>46157</v>
      </c>
      <c r="N13" s="237" t="s">
        <v>57</v>
      </c>
      <c r="O13" s="237"/>
      <c r="P13" s="237"/>
      <c r="Q13" s="238" t="s">
        <v>79</v>
      </c>
      <c r="R13" s="234" t="s">
        <v>162</v>
      </c>
      <c r="S13" s="343" t="s">
        <v>163</v>
      </c>
      <c r="T13" s="234" t="s">
        <v>164</v>
      </c>
      <c r="U13" s="234" t="s">
        <v>82</v>
      </c>
      <c r="V13" s="239" t="s">
        <v>165</v>
      </c>
      <c r="W13" s="237" t="s">
        <v>57</v>
      </c>
      <c r="X13" s="231" t="s">
        <v>166</v>
      </c>
      <c r="Y13" s="231" t="s">
        <v>167</v>
      </c>
      <c r="Z13" s="242"/>
      <c r="AA13" s="314" t="s">
        <v>168</v>
      </c>
      <c r="AB13" s="322" t="s">
        <v>133</v>
      </c>
      <c r="AC13" s="325" t="s">
        <v>68</v>
      </c>
      <c r="AD13" s="324">
        <v>46184</v>
      </c>
      <c r="AE13" s="167"/>
      <c r="AF13" s="178"/>
      <c r="AG13" s="318"/>
      <c r="AH13" s="167"/>
      <c r="AI13" s="183"/>
      <c r="AJ13" s="182"/>
      <c r="AK13" s="329"/>
      <c r="AL13" s="333"/>
      <c r="AM13" s="334"/>
      <c r="AN13" s="334"/>
      <c r="AO13" s="353" t="s">
        <v>69</v>
      </c>
      <c r="AP13" s="334" t="s">
        <v>169</v>
      </c>
    </row>
    <row r="14" spans="1:157" ht="15" customHeight="1">
      <c r="A14" s="237"/>
      <c r="B14" s="235"/>
      <c r="C14" s="235"/>
      <c r="D14" s="237"/>
      <c r="E14" s="237"/>
      <c r="F14" s="234"/>
      <c r="G14" s="234"/>
      <c r="H14" s="237"/>
      <c r="I14" s="234"/>
      <c r="J14" s="234"/>
      <c r="K14" s="236"/>
      <c r="L14" s="234"/>
      <c r="M14" s="235"/>
      <c r="N14" s="237"/>
      <c r="O14" s="237"/>
      <c r="P14" s="237"/>
      <c r="Q14" s="238"/>
      <c r="R14" s="234"/>
      <c r="S14" s="343"/>
      <c r="T14" s="234"/>
      <c r="U14" s="234"/>
      <c r="V14" s="239"/>
      <c r="W14" s="237"/>
      <c r="X14" s="231"/>
      <c r="Y14" s="231"/>
      <c r="Z14" s="242"/>
      <c r="AA14" s="314"/>
      <c r="AB14" s="322"/>
      <c r="AC14" s="325"/>
      <c r="AD14" s="324"/>
      <c r="AE14" s="167"/>
      <c r="AF14" s="178"/>
      <c r="AG14" s="318"/>
      <c r="AH14" s="167"/>
      <c r="AI14" s="183"/>
      <c r="AJ14" s="182"/>
      <c r="AK14" s="329"/>
      <c r="AL14" s="333"/>
      <c r="AM14" s="334"/>
      <c r="AN14" s="334"/>
      <c r="AO14" s="353"/>
      <c r="AP14" s="334"/>
    </row>
  </sheetData>
  <sheetProtection algorithmName="SHA-512" hashValue="G/rmYCy8SiDPo1RU9tPh2YLAEEoj7VGzXwOXFXAl13pnVxcAfwq3R4pHoul97BLvbtSFJIsmSqcF20QLZyGTDA==" saltValue="YqE0uZvbI/u9TC86NW7MbQ==" spinCount="100000" sheet="1" objects="1" scenarios="1"/>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pageMargins left="0.7" right="0.7" top="0.75" bottom="0.75" header="0.3" footer="0.3"/>
  <headerFooter>
    <oddFooter>&amp;C_x000D_&amp;1#&amp;"Aptos"&amp;7&amp;K000000 Uso Público de Laureate Perú — Se compartir externamente, información no sensible.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tabColor theme="5" tint="-0.249977111117893"/>
  </sheetPr>
  <dimension ref="A1:FA41"/>
  <sheetViews>
    <sheetView zoomScaleNormal="100" workbookViewId="0">
      <pane xSplit="6" ySplit="1" topLeftCell="AO12" activePane="bottomRight" state="frozen"/>
      <selection pane="bottomRight" activeCell="AO13" sqref="AO13"/>
      <selection pane="bottomLeft" activeCell="A8" sqref="A8"/>
      <selection pane="topRight" activeCell="H1" sqref="H1"/>
    </sheetView>
  </sheetViews>
  <sheetFormatPr defaultColWidth="9.140625" defaultRowHeight="15" customHeight="1"/>
  <cols>
    <col min="1" max="1" width="16.140625" style="162" customWidth="1"/>
    <col min="2" max="3" width="16.140625" style="163" hidden="1" customWidth="1"/>
    <col min="4" max="4" width="16.140625" style="349" hidden="1" customWidth="1"/>
    <col min="5" max="5" width="16.140625" style="349" customWidth="1"/>
    <col min="6" max="6" width="34.42578125" style="349" customWidth="1"/>
    <col min="7" max="7" width="62.140625" style="162" customWidth="1"/>
    <col min="8" max="9" width="40.42578125" style="162" customWidth="1"/>
    <col min="10" max="10" width="56.140625" style="162" customWidth="1"/>
    <col min="11" max="12" width="40.42578125" style="162" customWidth="1"/>
    <col min="13" max="13" width="40.42578125" style="163" customWidth="1"/>
    <col min="14" max="15" width="40.42578125" style="162" customWidth="1"/>
    <col min="16" max="16" width="12" style="162" customWidth="1"/>
    <col min="17" max="17" width="30" style="162" customWidth="1"/>
    <col min="18" max="18" width="38" style="162" customWidth="1"/>
    <col min="19" max="19" width="44.5703125" style="306" customWidth="1"/>
    <col min="20" max="22" width="30" style="162" customWidth="1"/>
    <col min="23" max="23" width="11.85546875" style="162" customWidth="1"/>
    <col min="24" max="24" width="28.28515625" style="162" customWidth="1"/>
    <col min="25" max="25" width="65.140625" style="162" customWidth="1"/>
    <col min="26" max="26" width="30" style="169" customWidth="1"/>
    <col min="27" max="27" width="9.140625" style="316" customWidth="1"/>
    <col min="28" max="28" width="16" style="327" customWidth="1"/>
    <col min="29" max="29" width="26.42578125" style="162" customWidth="1"/>
    <col min="30" max="30" width="33.140625" style="162" customWidth="1"/>
    <col min="31" max="31" width="33.140625" style="169" customWidth="1"/>
    <col min="32" max="32" width="33.140625" style="165" customWidth="1"/>
    <col min="33" max="33" width="33.140625" style="163" customWidth="1"/>
    <col min="34" max="34" width="33.140625" style="169" customWidth="1"/>
    <col min="35" max="35" width="33.140625" style="172" customWidth="1"/>
    <col min="36" max="36" width="33.140625" style="173" customWidth="1"/>
    <col min="37" max="37" width="33.140625" style="174" customWidth="1"/>
    <col min="38" max="38" width="33.140625" style="169" customWidth="1"/>
    <col min="39" max="40" width="33.140625" style="174" customWidth="1"/>
    <col min="41" max="41" width="24.140625" style="169" customWidth="1"/>
    <col min="42" max="42" width="56.85546875" style="174" customWidth="1"/>
    <col min="43" max="43" width="9.140625" style="10" customWidth="1"/>
    <col min="44" max="16382" width="9.140625" style="10"/>
    <col min="16383" max="16383" width="9.140625" style="10" bestFit="1" customWidth="1"/>
    <col min="16384" max="16384" width="9.140625" style="10"/>
  </cols>
  <sheetData>
    <row r="1" spans="1:42" s="59" customFormat="1" ht="31.5" customHeight="1">
      <c r="A1" s="159" t="s">
        <v>5</v>
      </c>
      <c r="B1" s="160" t="s">
        <v>6</v>
      </c>
      <c r="C1" s="160" t="s">
        <v>7</v>
      </c>
      <c r="D1" s="159" t="s">
        <v>8</v>
      </c>
      <c r="E1" s="159" t="s">
        <v>9</v>
      </c>
      <c r="F1" s="159" t="s">
        <v>10</v>
      </c>
      <c r="G1" s="159" t="s">
        <v>11</v>
      </c>
      <c r="H1" s="159" t="s">
        <v>12</v>
      </c>
      <c r="I1" s="159" t="s">
        <v>13</v>
      </c>
      <c r="J1" s="159" t="s">
        <v>14</v>
      </c>
      <c r="K1" s="159" t="s">
        <v>170</v>
      </c>
      <c r="L1" s="159" t="s">
        <v>16</v>
      </c>
      <c r="M1" s="159" t="s">
        <v>17</v>
      </c>
      <c r="N1" s="159" t="s">
        <v>18</v>
      </c>
      <c r="O1" s="159" t="s">
        <v>171</v>
      </c>
      <c r="P1" s="159" t="s">
        <v>20</v>
      </c>
      <c r="Q1" s="159" t="s">
        <v>21</v>
      </c>
      <c r="R1" s="159" t="s">
        <v>22</v>
      </c>
      <c r="S1" s="307" t="s">
        <v>23</v>
      </c>
      <c r="T1" s="159" t="s">
        <v>24</v>
      </c>
      <c r="U1" s="159" t="s">
        <v>172</v>
      </c>
      <c r="V1" s="159" t="s">
        <v>26</v>
      </c>
      <c r="W1" s="159" t="s">
        <v>173</v>
      </c>
      <c r="X1" s="233" t="s">
        <v>28</v>
      </c>
      <c r="Y1" s="159" t="s">
        <v>29</v>
      </c>
      <c r="Z1" s="177" t="s">
        <v>174</v>
      </c>
      <c r="AA1" s="315" t="s">
        <v>32</v>
      </c>
      <c r="AB1" s="319" t="s">
        <v>33</v>
      </c>
      <c r="AC1" s="320" t="s">
        <v>34</v>
      </c>
      <c r="AD1" s="321" t="s">
        <v>35</v>
      </c>
      <c r="AE1" s="166" t="s">
        <v>36</v>
      </c>
      <c r="AF1" s="176" t="s">
        <v>37</v>
      </c>
      <c r="AG1" s="209" t="s">
        <v>38</v>
      </c>
      <c r="AH1" s="166" t="s">
        <v>39</v>
      </c>
      <c r="AI1" s="170" t="s">
        <v>175</v>
      </c>
      <c r="AJ1" s="171" t="s">
        <v>176</v>
      </c>
      <c r="AK1" s="166" t="s">
        <v>177</v>
      </c>
      <c r="AL1" s="166" t="s">
        <v>43</v>
      </c>
      <c r="AM1" s="166" t="s">
        <v>44</v>
      </c>
      <c r="AN1" s="166" t="s">
        <v>178</v>
      </c>
      <c r="AO1" s="166" t="s">
        <v>45</v>
      </c>
      <c r="AP1" s="166" t="s">
        <v>46</v>
      </c>
    </row>
    <row r="2" spans="1:42" ht="54" customHeight="1">
      <c r="A2" s="237">
        <v>111</v>
      </c>
      <c r="B2" s="235">
        <v>46134.395162036999</v>
      </c>
      <c r="C2" s="235">
        <v>46134.427453703698</v>
      </c>
      <c r="D2" s="244" t="s">
        <v>179</v>
      </c>
      <c r="E2" s="244" t="s">
        <v>180</v>
      </c>
      <c r="F2" s="234" t="s">
        <v>181</v>
      </c>
      <c r="G2" s="234" t="s">
        <v>182</v>
      </c>
      <c r="H2" s="234" t="s">
        <v>158</v>
      </c>
      <c r="I2" s="234" t="s">
        <v>159</v>
      </c>
      <c r="J2" s="234" t="s">
        <v>183</v>
      </c>
      <c r="K2" s="234"/>
      <c r="L2" s="234" t="s">
        <v>184</v>
      </c>
      <c r="M2" s="240">
        <v>46234</v>
      </c>
      <c r="N2" s="234" t="s">
        <v>57</v>
      </c>
      <c r="O2" s="234">
        <v>0</v>
      </c>
      <c r="P2" s="234"/>
      <c r="Q2" s="238" t="s">
        <v>79</v>
      </c>
      <c r="R2" s="234" t="s">
        <v>185</v>
      </c>
      <c r="S2" s="342" t="s">
        <v>186</v>
      </c>
      <c r="T2" s="234" t="s">
        <v>187</v>
      </c>
      <c r="U2" s="238" t="s">
        <v>130</v>
      </c>
      <c r="V2" s="234" t="s">
        <v>63</v>
      </c>
      <c r="W2" s="234" t="s">
        <v>188</v>
      </c>
      <c r="X2" s="246" t="s">
        <v>149</v>
      </c>
      <c r="Y2" s="234" t="s">
        <v>189</v>
      </c>
      <c r="Z2" s="236" t="s">
        <v>190</v>
      </c>
      <c r="AA2" s="314">
        <v>0.75</v>
      </c>
      <c r="AB2" s="322" t="s">
        <v>152</v>
      </c>
      <c r="AC2" s="323" t="s">
        <v>68</v>
      </c>
      <c r="AD2" s="324">
        <v>46135</v>
      </c>
      <c r="AE2" s="167" t="s">
        <v>3</v>
      </c>
      <c r="AF2" s="178">
        <v>46167</v>
      </c>
      <c r="AG2" s="317">
        <v>46181</v>
      </c>
      <c r="AH2" s="167"/>
      <c r="AI2" s="183"/>
      <c r="AJ2" s="182"/>
      <c r="AK2" s="168"/>
      <c r="AL2" s="167"/>
      <c r="AM2" s="168"/>
      <c r="AN2" s="168"/>
      <c r="AO2" s="167" t="s">
        <v>191</v>
      </c>
      <c r="AP2" s="168" t="s">
        <v>192</v>
      </c>
    </row>
    <row r="3" spans="1:42" ht="39" customHeight="1">
      <c r="A3" s="234">
        <v>126</v>
      </c>
      <c r="B3" s="235">
        <v>46141.590185185203</v>
      </c>
      <c r="C3" s="235">
        <v>46141.600729166697</v>
      </c>
      <c r="D3" s="234" t="s">
        <v>193</v>
      </c>
      <c r="E3" s="234" t="s">
        <v>194</v>
      </c>
      <c r="F3" s="234" t="s">
        <v>195</v>
      </c>
      <c r="G3" s="234" t="s">
        <v>196</v>
      </c>
      <c r="H3" s="234" t="s">
        <v>158</v>
      </c>
      <c r="I3" s="234" t="s">
        <v>197</v>
      </c>
      <c r="J3" s="237" t="s">
        <v>198</v>
      </c>
      <c r="K3" s="237"/>
      <c r="L3" s="237" t="s">
        <v>199</v>
      </c>
      <c r="M3" s="235">
        <v>46326</v>
      </c>
      <c r="N3" s="237" t="s">
        <v>57</v>
      </c>
      <c r="O3" s="237">
        <v>0</v>
      </c>
      <c r="P3" s="237"/>
      <c r="Q3" s="239" t="s">
        <v>79</v>
      </c>
      <c r="R3" s="234" t="s">
        <v>200</v>
      </c>
      <c r="S3" s="342" t="s">
        <v>201</v>
      </c>
      <c r="T3" s="234" t="s">
        <v>202</v>
      </c>
      <c r="U3" s="238" t="s">
        <v>56</v>
      </c>
      <c r="V3" s="237" t="s">
        <v>63</v>
      </c>
      <c r="W3" s="237" t="s">
        <v>188</v>
      </c>
      <c r="X3" s="247" t="s">
        <v>166</v>
      </c>
      <c r="Y3" s="234" t="s">
        <v>203</v>
      </c>
      <c r="Z3" s="236">
        <v>0</v>
      </c>
      <c r="AA3" s="314">
        <v>0.3</v>
      </c>
      <c r="AB3" s="322" t="s">
        <v>204</v>
      </c>
      <c r="AC3" s="325" t="s">
        <v>205</v>
      </c>
      <c r="AD3" s="324">
        <v>46142</v>
      </c>
      <c r="AE3" s="167" t="s">
        <v>2</v>
      </c>
      <c r="AF3" s="178">
        <v>46150</v>
      </c>
      <c r="AG3" s="317">
        <v>46181</v>
      </c>
      <c r="AH3" s="167">
        <v>5</v>
      </c>
      <c r="AI3" s="167"/>
      <c r="AJ3" s="182">
        <v>94000</v>
      </c>
      <c r="AK3" s="226" t="s">
        <v>206</v>
      </c>
      <c r="AL3" s="167" t="s">
        <v>207</v>
      </c>
      <c r="AM3" s="167" t="s">
        <v>208</v>
      </c>
      <c r="AN3" s="167" t="s">
        <v>188</v>
      </c>
      <c r="AO3" s="167" t="s">
        <v>191</v>
      </c>
      <c r="AP3" s="168" t="s">
        <v>209</v>
      </c>
    </row>
    <row r="4" spans="1:42" ht="51" customHeight="1">
      <c r="A4" s="234">
        <v>134</v>
      </c>
      <c r="B4" s="235">
        <v>46146.699976851902</v>
      </c>
      <c r="C4" s="235">
        <v>46146.714398148099</v>
      </c>
      <c r="D4" s="234" t="s">
        <v>210</v>
      </c>
      <c r="E4" s="234" t="s">
        <v>211</v>
      </c>
      <c r="F4" s="234" t="s">
        <v>212</v>
      </c>
      <c r="G4" s="234" t="s">
        <v>213</v>
      </c>
      <c r="H4" s="234" t="s">
        <v>214</v>
      </c>
      <c r="I4" s="234" t="s">
        <v>215</v>
      </c>
      <c r="J4" s="234" t="s">
        <v>216</v>
      </c>
      <c r="K4" s="234" t="s">
        <v>217</v>
      </c>
      <c r="L4" s="237" t="s">
        <v>198</v>
      </c>
      <c r="M4" s="235">
        <v>46238</v>
      </c>
      <c r="N4" s="237" t="s">
        <v>57</v>
      </c>
      <c r="O4" s="237">
        <v>0</v>
      </c>
      <c r="P4" s="237"/>
      <c r="Q4" s="238" t="s">
        <v>79</v>
      </c>
      <c r="R4" s="234" t="s">
        <v>218</v>
      </c>
      <c r="S4" s="342" t="s">
        <v>219</v>
      </c>
      <c r="T4" s="234" t="s">
        <v>220</v>
      </c>
      <c r="U4" s="238" t="s">
        <v>130</v>
      </c>
      <c r="V4" s="237" t="s">
        <v>63</v>
      </c>
      <c r="W4" s="237" t="s">
        <v>188</v>
      </c>
      <c r="X4" s="231" t="s">
        <v>166</v>
      </c>
      <c r="Y4" s="234" t="s">
        <v>221</v>
      </c>
      <c r="Z4" s="236" t="s">
        <v>222</v>
      </c>
      <c r="AA4" s="314">
        <v>0.75</v>
      </c>
      <c r="AB4" s="326" t="s">
        <v>67</v>
      </c>
      <c r="AC4" s="325" t="s">
        <v>68</v>
      </c>
      <c r="AD4" s="324">
        <v>46147</v>
      </c>
      <c r="AE4" s="167" t="s">
        <v>3</v>
      </c>
      <c r="AF4" s="178">
        <v>46156</v>
      </c>
      <c r="AG4" s="317">
        <v>46169</v>
      </c>
      <c r="AH4" s="167"/>
      <c r="AI4" s="167"/>
      <c r="AJ4" s="248"/>
      <c r="AK4" s="167"/>
      <c r="AL4" s="167" t="s">
        <v>223</v>
      </c>
      <c r="AM4" s="167" t="s">
        <v>208</v>
      </c>
      <c r="AN4" s="167" t="s">
        <v>224</v>
      </c>
      <c r="AO4" s="167" t="s">
        <v>191</v>
      </c>
      <c r="AP4" s="168" t="s">
        <v>225</v>
      </c>
    </row>
    <row r="5" spans="1:42" ht="55.5" customHeight="1">
      <c r="A5" s="234">
        <v>135</v>
      </c>
      <c r="B5" s="235">
        <v>46148.721481481502</v>
      </c>
      <c r="C5" s="235">
        <v>46148.761435185203</v>
      </c>
      <c r="D5" s="234" t="s">
        <v>226</v>
      </c>
      <c r="E5" s="234" t="s">
        <v>227</v>
      </c>
      <c r="F5" s="234" t="s">
        <v>228</v>
      </c>
      <c r="G5" s="234" t="s">
        <v>229</v>
      </c>
      <c r="H5" s="234" t="s">
        <v>214</v>
      </c>
      <c r="I5" s="234" t="s">
        <v>197</v>
      </c>
      <c r="J5" s="234" t="s">
        <v>230</v>
      </c>
      <c r="K5" s="234" t="s">
        <v>231</v>
      </c>
      <c r="L5" s="237" t="s">
        <v>198</v>
      </c>
      <c r="M5" s="235">
        <v>46203</v>
      </c>
      <c r="N5" s="237" t="s">
        <v>57</v>
      </c>
      <c r="O5" s="237">
        <v>0</v>
      </c>
      <c r="P5" s="237"/>
      <c r="Q5" s="239" t="s">
        <v>79</v>
      </c>
      <c r="R5" s="234" t="s">
        <v>232</v>
      </c>
      <c r="S5" s="342" t="s">
        <v>233</v>
      </c>
      <c r="T5" s="234" t="s">
        <v>234</v>
      </c>
      <c r="U5" s="239" t="s">
        <v>56</v>
      </c>
      <c r="V5" s="237" t="s">
        <v>63</v>
      </c>
      <c r="W5" s="237" t="s">
        <v>188</v>
      </c>
      <c r="X5" s="230" t="s">
        <v>166</v>
      </c>
      <c r="Y5" s="234" t="s">
        <v>235</v>
      </c>
      <c r="Z5" s="236" t="s">
        <v>236</v>
      </c>
      <c r="AA5" s="314">
        <v>0.45</v>
      </c>
      <c r="AB5" s="322" t="s">
        <v>152</v>
      </c>
      <c r="AC5" s="325" t="s">
        <v>68</v>
      </c>
      <c r="AD5" s="324">
        <v>46149</v>
      </c>
      <c r="AE5" s="167" t="s">
        <v>2</v>
      </c>
      <c r="AF5" s="178">
        <v>46163</v>
      </c>
      <c r="AG5" s="317">
        <v>46194</v>
      </c>
      <c r="AH5" s="167"/>
      <c r="AI5" s="167"/>
      <c r="AJ5" s="167"/>
      <c r="AK5" s="167"/>
      <c r="AL5" s="167"/>
      <c r="AM5" s="167"/>
      <c r="AN5" s="167"/>
      <c r="AO5" s="167" t="s">
        <v>191</v>
      </c>
      <c r="AP5" s="168"/>
    </row>
    <row r="6" spans="1:42" ht="55.5" customHeight="1">
      <c r="A6" s="237">
        <v>136</v>
      </c>
      <c r="B6" s="235">
        <v>46148.807418981502</v>
      </c>
      <c r="C6" s="235">
        <v>46148.817395833299</v>
      </c>
      <c r="D6" s="234" t="s">
        <v>237</v>
      </c>
      <c r="E6" s="234" t="s">
        <v>238</v>
      </c>
      <c r="F6" s="234" t="s">
        <v>239</v>
      </c>
      <c r="G6" s="234" t="s">
        <v>240</v>
      </c>
      <c r="H6" s="237" t="s">
        <v>158</v>
      </c>
      <c r="I6" s="234" t="s">
        <v>241</v>
      </c>
      <c r="J6" s="234" t="s">
        <v>242</v>
      </c>
      <c r="K6" s="234" t="s">
        <v>243</v>
      </c>
      <c r="L6" s="237" t="s">
        <v>199</v>
      </c>
      <c r="M6" s="235">
        <v>46234</v>
      </c>
      <c r="N6" s="237" t="s">
        <v>83</v>
      </c>
      <c r="O6" s="237" t="s">
        <v>244</v>
      </c>
      <c r="P6" s="237"/>
      <c r="Q6" s="238" t="s">
        <v>79</v>
      </c>
      <c r="R6" s="234" t="s">
        <v>245</v>
      </c>
      <c r="S6" s="342" t="s">
        <v>246</v>
      </c>
      <c r="T6" s="237" t="s">
        <v>247</v>
      </c>
      <c r="U6" s="238" t="s">
        <v>130</v>
      </c>
      <c r="V6" s="237" t="s">
        <v>248</v>
      </c>
      <c r="W6" s="237" t="s">
        <v>188</v>
      </c>
      <c r="X6" s="246" t="s">
        <v>166</v>
      </c>
      <c r="Y6" s="234" t="s">
        <v>249</v>
      </c>
      <c r="Z6" s="242" t="s">
        <v>250</v>
      </c>
      <c r="AA6" s="314">
        <v>0.3</v>
      </c>
      <c r="AB6" s="322" t="s">
        <v>251</v>
      </c>
      <c r="AC6" s="325" t="s">
        <v>68</v>
      </c>
      <c r="AD6" s="324">
        <v>46149</v>
      </c>
      <c r="AE6" s="167" t="s">
        <v>2</v>
      </c>
      <c r="AF6" s="178">
        <v>46195</v>
      </c>
      <c r="AG6" s="317">
        <v>46251</v>
      </c>
      <c r="AH6" s="167"/>
      <c r="AI6" s="183"/>
      <c r="AJ6" s="182"/>
      <c r="AK6" s="168" t="s">
        <v>252</v>
      </c>
      <c r="AL6" s="331"/>
      <c r="AM6" s="332"/>
      <c r="AN6" s="332"/>
      <c r="AO6" s="331" t="s">
        <v>253</v>
      </c>
      <c r="AP6" s="332"/>
    </row>
    <row r="7" spans="1:42" ht="83.25" customHeight="1">
      <c r="A7" s="234">
        <v>141</v>
      </c>
      <c r="B7" s="235">
        <v>46153.3528703704</v>
      </c>
      <c r="C7" s="235">
        <v>46153.391863425903</v>
      </c>
      <c r="D7" s="234" t="s">
        <v>179</v>
      </c>
      <c r="E7" s="234" t="s">
        <v>180</v>
      </c>
      <c r="F7" s="234" t="s">
        <v>254</v>
      </c>
      <c r="G7" s="234" t="s">
        <v>255</v>
      </c>
      <c r="H7" s="234" t="s">
        <v>75</v>
      </c>
      <c r="I7" s="234" t="s">
        <v>76</v>
      </c>
      <c r="J7" s="234" t="s">
        <v>256</v>
      </c>
      <c r="K7" s="236" t="s">
        <v>257</v>
      </c>
      <c r="L7" s="237" t="s">
        <v>258</v>
      </c>
      <c r="M7" s="235">
        <v>46234</v>
      </c>
      <c r="N7" s="237" t="s">
        <v>57</v>
      </c>
      <c r="O7" s="237">
        <v>0</v>
      </c>
      <c r="P7" s="237"/>
      <c r="Q7" s="239" t="s">
        <v>79</v>
      </c>
      <c r="R7" s="234" t="s">
        <v>259</v>
      </c>
      <c r="S7" s="342" t="s">
        <v>260</v>
      </c>
      <c r="T7" s="234" t="s">
        <v>261</v>
      </c>
      <c r="U7" s="238" t="s">
        <v>56</v>
      </c>
      <c r="V7" s="237" t="s">
        <v>63</v>
      </c>
      <c r="W7" s="237" t="s">
        <v>188</v>
      </c>
      <c r="X7" s="247" t="s">
        <v>166</v>
      </c>
      <c r="Y7" s="234" t="s">
        <v>262</v>
      </c>
      <c r="Z7" s="236" t="s">
        <v>263</v>
      </c>
      <c r="AA7" s="314">
        <v>0.3</v>
      </c>
      <c r="AB7" s="322" t="s">
        <v>264</v>
      </c>
      <c r="AC7" s="325" t="s">
        <v>68</v>
      </c>
      <c r="AD7" s="324">
        <v>46156</v>
      </c>
      <c r="AE7" s="167" t="s">
        <v>3</v>
      </c>
      <c r="AF7" s="178">
        <v>46188</v>
      </c>
      <c r="AG7" s="318">
        <f>IF(AD7="","Pendiente fecha de asignación de LD",IF(AF7="","",WORKDAY(AF7,IF(AE7="Alta",20,IF(AE7="Media",10,5)))))</f>
        <v>46202</v>
      </c>
      <c r="AH7" s="167"/>
      <c r="AI7" s="167"/>
      <c r="AJ7" s="167"/>
      <c r="AK7" s="335"/>
      <c r="AL7" s="333"/>
      <c r="AM7" s="333"/>
      <c r="AN7" s="333"/>
      <c r="AO7" s="333" t="s">
        <v>253</v>
      </c>
      <c r="AP7" s="334" t="s">
        <v>265</v>
      </c>
    </row>
    <row r="8" spans="1:42" ht="105" customHeight="1">
      <c r="A8" s="237">
        <v>142</v>
      </c>
      <c r="B8" s="235">
        <v>46153.365740740701</v>
      </c>
      <c r="C8" s="235">
        <v>46153.404918981498</v>
      </c>
      <c r="D8" s="234" t="s">
        <v>179</v>
      </c>
      <c r="E8" s="234" t="s">
        <v>180</v>
      </c>
      <c r="F8" s="234" t="s">
        <v>266</v>
      </c>
      <c r="G8" s="234" t="s">
        <v>267</v>
      </c>
      <c r="H8" s="237" t="s">
        <v>75</v>
      </c>
      <c r="I8" s="234" t="s">
        <v>76</v>
      </c>
      <c r="J8" s="234" t="s">
        <v>256</v>
      </c>
      <c r="K8" s="236" t="s">
        <v>268</v>
      </c>
      <c r="L8" s="237" t="s">
        <v>258</v>
      </c>
      <c r="M8" s="235">
        <v>46249</v>
      </c>
      <c r="N8" s="237" t="s">
        <v>57</v>
      </c>
      <c r="O8" s="237">
        <v>0</v>
      </c>
      <c r="P8" s="237"/>
      <c r="Q8" s="238" t="s">
        <v>269</v>
      </c>
      <c r="R8" s="234" t="s">
        <v>270</v>
      </c>
      <c r="S8" s="342" t="s">
        <v>271</v>
      </c>
      <c r="T8" s="237" t="s">
        <v>272</v>
      </c>
      <c r="U8" s="239" t="s">
        <v>130</v>
      </c>
      <c r="V8" s="237" t="s">
        <v>63</v>
      </c>
      <c r="W8" s="237" t="s">
        <v>188</v>
      </c>
      <c r="X8" s="230" t="s">
        <v>166</v>
      </c>
      <c r="Y8" s="234" t="s">
        <v>273</v>
      </c>
      <c r="Z8" s="242" t="s">
        <v>274</v>
      </c>
      <c r="AA8" s="314">
        <v>1.35</v>
      </c>
      <c r="AB8" s="322" t="s">
        <v>275</v>
      </c>
      <c r="AC8" s="325" t="s">
        <v>68</v>
      </c>
      <c r="AD8" s="324">
        <v>46156</v>
      </c>
      <c r="AE8" s="167" t="s">
        <v>2</v>
      </c>
      <c r="AF8" s="178">
        <v>46296</v>
      </c>
      <c r="AG8" s="318">
        <f>IF(AD8="","Pendiente fecha de asignación de LD",IF(AF8="","",WORKDAY(AF8,IF(AE8="Alta",20,IF(AE8="Media",10,5)))))</f>
        <v>46324</v>
      </c>
      <c r="AH8" s="167">
        <v>4</v>
      </c>
      <c r="AI8" s="183"/>
      <c r="AJ8" s="182">
        <v>200000</v>
      </c>
      <c r="AK8" s="329"/>
      <c r="AL8" s="336" t="s">
        <v>223</v>
      </c>
      <c r="AM8" s="337" t="s">
        <v>276</v>
      </c>
      <c r="AN8" s="337" t="s">
        <v>83</v>
      </c>
      <c r="AO8" s="336" t="s">
        <v>253</v>
      </c>
      <c r="AP8" s="337" t="s">
        <v>277</v>
      </c>
    </row>
    <row r="9" spans="1:42" ht="199.5" customHeight="1">
      <c r="A9" s="237">
        <v>162</v>
      </c>
      <c r="B9" s="235">
        <v>46160.441956018498</v>
      </c>
      <c r="C9" s="235">
        <v>46160.457743055602</v>
      </c>
      <c r="D9" s="234" t="s">
        <v>226</v>
      </c>
      <c r="E9" s="234" t="s">
        <v>227</v>
      </c>
      <c r="F9" s="234" t="s">
        <v>278</v>
      </c>
      <c r="G9" s="234" t="s">
        <v>279</v>
      </c>
      <c r="H9" s="237" t="s">
        <v>214</v>
      </c>
      <c r="I9" s="234" t="s">
        <v>280</v>
      </c>
      <c r="J9" s="234" t="s">
        <v>281</v>
      </c>
      <c r="K9" s="236" t="s">
        <v>282</v>
      </c>
      <c r="L9" s="237" t="s">
        <v>198</v>
      </c>
      <c r="M9" s="235">
        <v>46310</v>
      </c>
      <c r="N9" s="237" t="s">
        <v>57</v>
      </c>
      <c r="O9" s="237">
        <v>0</v>
      </c>
      <c r="P9" s="237">
        <v>0</v>
      </c>
      <c r="Q9" s="238" t="s">
        <v>79</v>
      </c>
      <c r="R9" s="234" t="s">
        <v>283</v>
      </c>
      <c r="S9" s="343" t="s">
        <v>284</v>
      </c>
      <c r="T9" s="234" t="s">
        <v>285</v>
      </c>
      <c r="U9" s="234" t="s">
        <v>56</v>
      </c>
      <c r="V9" s="239" t="s">
        <v>248</v>
      </c>
      <c r="W9" s="237" t="s">
        <v>57</v>
      </c>
      <c r="X9" s="231" t="s">
        <v>166</v>
      </c>
      <c r="Y9" s="231" t="s">
        <v>286</v>
      </c>
      <c r="Z9" s="242" t="s">
        <v>287</v>
      </c>
      <c r="AA9" s="314">
        <v>0.5</v>
      </c>
      <c r="AB9" s="322" t="s">
        <v>288</v>
      </c>
      <c r="AC9" s="325" t="s">
        <v>68</v>
      </c>
      <c r="AD9" s="324">
        <v>46162</v>
      </c>
      <c r="AE9" s="167" t="s">
        <v>3</v>
      </c>
      <c r="AF9" s="178">
        <v>46202</v>
      </c>
      <c r="AG9" s="318">
        <f>IF(AD9="","Pendiente fecha de asignación de LD",IF(AF9="","",WORKDAY(AF9,IF(AE9="Alta",20,IF(AE9="Media",10,5)))))</f>
        <v>46216</v>
      </c>
      <c r="AH9" s="167">
        <v>4.5</v>
      </c>
      <c r="AI9" s="183"/>
      <c r="AJ9" s="182">
        <v>216762.56</v>
      </c>
      <c r="AK9" s="329"/>
      <c r="AL9" s="333"/>
      <c r="AM9" s="334"/>
      <c r="AN9" s="334"/>
      <c r="AO9" s="333" t="s">
        <v>253</v>
      </c>
      <c r="AP9" s="334"/>
    </row>
    <row r="10" spans="1:42" ht="126.75" customHeight="1">
      <c r="A10" s="237">
        <v>173</v>
      </c>
      <c r="B10" s="235">
        <v>46167.6551736111</v>
      </c>
      <c r="C10" s="235">
        <v>46167.703831018502</v>
      </c>
      <c r="D10" s="234" t="s">
        <v>179</v>
      </c>
      <c r="E10" s="234" t="s">
        <v>180</v>
      </c>
      <c r="F10" s="234" t="s">
        <v>289</v>
      </c>
      <c r="G10" s="234" t="s">
        <v>290</v>
      </c>
      <c r="H10" s="237" t="s">
        <v>158</v>
      </c>
      <c r="I10" s="234" t="s">
        <v>159</v>
      </c>
      <c r="J10" s="234" t="s">
        <v>291</v>
      </c>
      <c r="K10" s="236" t="s">
        <v>292</v>
      </c>
      <c r="L10" s="237" t="s">
        <v>184</v>
      </c>
      <c r="M10" s="235">
        <v>46188</v>
      </c>
      <c r="N10" s="237" t="s">
        <v>57</v>
      </c>
      <c r="O10" s="237">
        <v>0</v>
      </c>
      <c r="P10" s="237">
        <v>0</v>
      </c>
      <c r="Q10" s="238" t="s">
        <v>58</v>
      </c>
      <c r="R10" s="234" t="s">
        <v>293</v>
      </c>
      <c r="S10" s="343" t="s">
        <v>294</v>
      </c>
      <c r="T10" s="234" t="s">
        <v>295</v>
      </c>
      <c r="U10" s="234" t="s">
        <v>82</v>
      </c>
      <c r="V10" s="239" t="s">
        <v>165</v>
      </c>
      <c r="W10" s="237" t="s">
        <v>57</v>
      </c>
      <c r="X10" s="231" t="s">
        <v>84</v>
      </c>
      <c r="Y10" s="231" t="s">
        <v>296</v>
      </c>
      <c r="Z10" s="242" t="s">
        <v>297</v>
      </c>
      <c r="AA10" s="314">
        <v>1.3</v>
      </c>
      <c r="AB10" s="322" t="s">
        <v>251</v>
      </c>
      <c r="AC10" s="325" t="s">
        <v>68</v>
      </c>
      <c r="AD10" s="324">
        <v>46169</v>
      </c>
      <c r="AE10" s="167" t="s">
        <v>2</v>
      </c>
      <c r="AF10" s="178">
        <v>46195</v>
      </c>
      <c r="AG10" s="318">
        <f t="shared" ref="AG10:AG15" si="0">IF(AD10="","Pendiente fecha de asignación de LD",IF(AF10="","",WORKDAY(AF10,IF(AE10="Alta",20,IF(AE10="Media",10,5)))))</f>
        <v>46223</v>
      </c>
      <c r="AH10" s="167"/>
      <c r="AI10" s="183"/>
      <c r="AJ10" s="182"/>
      <c r="AK10" s="330" t="s">
        <v>252</v>
      </c>
      <c r="AL10" s="333"/>
      <c r="AM10" s="334"/>
      <c r="AN10" s="334"/>
      <c r="AO10" s="333" t="s">
        <v>253</v>
      </c>
      <c r="AP10" s="334"/>
    </row>
    <row r="11" spans="1:42" ht="129.75" customHeight="1">
      <c r="A11" s="237">
        <v>174</v>
      </c>
      <c r="B11" s="235">
        <v>46167.833217592597</v>
      </c>
      <c r="C11" s="235">
        <v>46167.866180555597</v>
      </c>
      <c r="D11" s="234" t="s">
        <v>179</v>
      </c>
      <c r="E11" s="234" t="s">
        <v>180</v>
      </c>
      <c r="F11" s="234" t="s">
        <v>298</v>
      </c>
      <c r="G11" s="234" t="s">
        <v>299</v>
      </c>
      <c r="H11" s="237" t="s">
        <v>158</v>
      </c>
      <c r="I11" s="234" t="s">
        <v>159</v>
      </c>
      <c r="J11" s="234" t="s">
        <v>291</v>
      </c>
      <c r="K11" s="236" t="s">
        <v>300</v>
      </c>
      <c r="L11" s="237" t="s">
        <v>184</v>
      </c>
      <c r="M11" s="235">
        <v>46203</v>
      </c>
      <c r="N11" s="237" t="s">
        <v>57</v>
      </c>
      <c r="O11" s="237">
        <v>0</v>
      </c>
      <c r="P11" s="237">
        <v>0</v>
      </c>
      <c r="Q11" s="238" t="s">
        <v>79</v>
      </c>
      <c r="R11" s="234" t="s">
        <v>301</v>
      </c>
      <c r="S11" s="343" t="s">
        <v>302</v>
      </c>
      <c r="T11" s="234" t="s">
        <v>303</v>
      </c>
      <c r="U11" s="234" t="s">
        <v>82</v>
      </c>
      <c r="V11" s="239" t="s">
        <v>165</v>
      </c>
      <c r="W11" s="237" t="s">
        <v>57</v>
      </c>
      <c r="X11" s="231" t="s">
        <v>84</v>
      </c>
      <c r="Y11" s="231" t="s">
        <v>304</v>
      </c>
      <c r="Z11" s="242" t="s">
        <v>305</v>
      </c>
      <c r="AA11" s="314">
        <v>1.3</v>
      </c>
      <c r="AB11" s="322" t="s">
        <v>251</v>
      </c>
      <c r="AC11" s="325" t="s">
        <v>68</v>
      </c>
      <c r="AD11" s="324">
        <v>46169</v>
      </c>
      <c r="AE11" s="167" t="s">
        <v>3</v>
      </c>
      <c r="AF11" s="178">
        <v>46195</v>
      </c>
      <c r="AG11" s="318">
        <f t="shared" si="0"/>
        <v>46209</v>
      </c>
      <c r="AH11" s="167"/>
      <c r="AI11" s="183"/>
      <c r="AJ11" s="182"/>
      <c r="AK11" s="330" t="s">
        <v>252</v>
      </c>
      <c r="AL11" s="333"/>
      <c r="AM11" s="334"/>
      <c r="AN11" s="334"/>
      <c r="AO11" s="333" t="s">
        <v>253</v>
      </c>
      <c r="AP11" s="334"/>
    </row>
    <row r="12" spans="1:42" ht="101.25" customHeight="1">
      <c r="A12" s="237">
        <v>181</v>
      </c>
      <c r="B12" s="235">
        <v>46169.490057870396</v>
      </c>
      <c r="C12" s="235">
        <v>46169.525347222203</v>
      </c>
      <c r="D12" s="234" t="s">
        <v>48</v>
      </c>
      <c r="E12" s="234" t="s">
        <v>49</v>
      </c>
      <c r="F12" s="234" t="s">
        <v>50</v>
      </c>
      <c r="G12" s="234" t="s">
        <v>306</v>
      </c>
      <c r="H12" s="237" t="s">
        <v>52</v>
      </c>
      <c r="I12" s="234" t="s">
        <v>53</v>
      </c>
      <c r="J12" s="234" t="s">
        <v>54</v>
      </c>
      <c r="K12" s="236" t="s">
        <v>307</v>
      </c>
      <c r="L12" s="237" t="s">
        <v>56</v>
      </c>
      <c r="M12" s="235">
        <v>46356</v>
      </c>
      <c r="N12" s="237" t="s">
        <v>57</v>
      </c>
      <c r="O12" s="237">
        <v>0</v>
      </c>
      <c r="P12" s="237">
        <v>0</v>
      </c>
      <c r="Q12" s="238" t="s">
        <v>58</v>
      </c>
      <c r="R12" s="234" t="s">
        <v>308</v>
      </c>
      <c r="S12" s="343" t="s">
        <v>60</v>
      </c>
      <c r="T12" s="234" t="s">
        <v>309</v>
      </c>
      <c r="U12" s="234" t="s">
        <v>62</v>
      </c>
      <c r="V12" s="239" t="s">
        <v>63</v>
      </c>
      <c r="W12" s="237" t="s">
        <v>57</v>
      </c>
      <c r="X12" s="231" t="s">
        <v>64</v>
      </c>
      <c r="Y12" s="231" t="s">
        <v>65</v>
      </c>
      <c r="Z12" s="242" t="s">
        <v>310</v>
      </c>
      <c r="AA12" s="314">
        <v>1.8</v>
      </c>
      <c r="AB12" s="322" t="s">
        <v>97</v>
      </c>
      <c r="AC12" s="325" t="s">
        <v>68</v>
      </c>
      <c r="AD12" s="324">
        <v>46169</v>
      </c>
      <c r="AE12" s="167" t="s">
        <v>2</v>
      </c>
      <c r="AF12" s="178">
        <v>46183</v>
      </c>
      <c r="AG12" s="318">
        <f t="shared" si="0"/>
        <v>46211</v>
      </c>
      <c r="AH12" s="167"/>
      <c r="AI12" s="183"/>
      <c r="AJ12" s="182"/>
      <c r="AK12" s="330"/>
      <c r="AL12" s="333"/>
      <c r="AM12" s="334"/>
      <c r="AN12" s="334"/>
      <c r="AO12" s="333" t="s">
        <v>191</v>
      </c>
      <c r="AP12" s="334"/>
    </row>
    <row r="13" spans="1:42" ht="101.25" customHeight="1">
      <c r="A13" s="237">
        <v>182</v>
      </c>
      <c r="B13" s="235">
        <v>46169.525393518503</v>
      </c>
      <c r="C13" s="235">
        <v>46169.526678240698</v>
      </c>
      <c r="D13" s="234" t="s">
        <v>48</v>
      </c>
      <c r="E13" s="234" t="s">
        <v>49</v>
      </c>
      <c r="F13" s="234" t="s">
        <v>50</v>
      </c>
      <c r="G13" s="234" t="s">
        <v>51</v>
      </c>
      <c r="H13" s="237" t="s">
        <v>52</v>
      </c>
      <c r="I13" s="234" t="s">
        <v>53</v>
      </c>
      <c r="J13" s="234" t="s">
        <v>54</v>
      </c>
      <c r="K13" s="236" t="s">
        <v>311</v>
      </c>
      <c r="L13" s="237" t="s">
        <v>56</v>
      </c>
      <c r="M13" s="235">
        <v>46356</v>
      </c>
      <c r="N13" s="237" t="s">
        <v>57</v>
      </c>
      <c r="O13" s="237">
        <v>0</v>
      </c>
      <c r="P13" s="237">
        <v>0</v>
      </c>
      <c r="Q13" s="238" t="s">
        <v>58</v>
      </c>
      <c r="R13" s="234" t="s">
        <v>312</v>
      </c>
      <c r="S13" s="343" t="s">
        <v>60</v>
      </c>
      <c r="T13" s="234" t="s">
        <v>313</v>
      </c>
      <c r="U13" s="234" t="s">
        <v>62</v>
      </c>
      <c r="V13" s="239" t="s">
        <v>63</v>
      </c>
      <c r="W13" s="237" t="s">
        <v>57</v>
      </c>
      <c r="X13" s="231" t="s">
        <v>64</v>
      </c>
      <c r="Y13" s="231" t="s">
        <v>65</v>
      </c>
      <c r="Z13" s="242" t="s">
        <v>314</v>
      </c>
      <c r="AA13" s="314">
        <v>1.8</v>
      </c>
      <c r="AB13" s="322" t="s">
        <v>133</v>
      </c>
      <c r="AC13" s="325" t="s">
        <v>68</v>
      </c>
      <c r="AD13" s="324">
        <v>46169</v>
      </c>
      <c r="AE13" s="167" t="s">
        <v>2</v>
      </c>
      <c r="AF13" s="178">
        <v>46195</v>
      </c>
      <c r="AG13" s="317">
        <v>46192</v>
      </c>
      <c r="AH13" s="167"/>
      <c r="AI13" s="183"/>
      <c r="AJ13" s="182"/>
      <c r="AK13" s="330"/>
      <c r="AL13" s="333"/>
      <c r="AM13" s="334"/>
      <c r="AN13" s="334"/>
      <c r="AO13" s="333" t="s">
        <v>253</v>
      </c>
      <c r="AP13" s="334" t="s">
        <v>315</v>
      </c>
    </row>
    <row r="14" spans="1:42" ht="101.25" customHeight="1">
      <c r="A14" s="237">
        <v>185</v>
      </c>
      <c r="B14" s="235">
        <v>46169.529664351903</v>
      </c>
      <c r="C14" s="235">
        <v>46169.532025462999</v>
      </c>
      <c r="D14" s="234" t="s">
        <v>48</v>
      </c>
      <c r="E14" s="234" t="s">
        <v>49</v>
      </c>
      <c r="F14" s="234" t="s">
        <v>50</v>
      </c>
      <c r="G14" s="234" t="s">
        <v>51</v>
      </c>
      <c r="H14" s="237" t="s">
        <v>52</v>
      </c>
      <c r="I14" s="234" t="s">
        <v>53</v>
      </c>
      <c r="J14" s="234" t="s">
        <v>54</v>
      </c>
      <c r="K14" s="236" t="s">
        <v>316</v>
      </c>
      <c r="L14" s="237" t="s">
        <v>56</v>
      </c>
      <c r="M14" s="235">
        <v>46356</v>
      </c>
      <c r="N14" s="237" t="s">
        <v>57</v>
      </c>
      <c r="O14" s="237">
        <v>0</v>
      </c>
      <c r="P14" s="237">
        <v>0</v>
      </c>
      <c r="Q14" s="238" t="s">
        <v>58</v>
      </c>
      <c r="R14" s="234" t="s">
        <v>317</v>
      </c>
      <c r="S14" s="343" t="s">
        <v>60</v>
      </c>
      <c r="T14" s="234" t="s">
        <v>318</v>
      </c>
      <c r="U14" s="234" t="s">
        <v>62</v>
      </c>
      <c r="V14" s="239" t="s">
        <v>63</v>
      </c>
      <c r="W14" s="237" t="s">
        <v>57</v>
      </c>
      <c r="X14" s="231" t="s">
        <v>64</v>
      </c>
      <c r="Y14" s="231" t="s">
        <v>65</v>
      </c>
      <c r="Z14" s="242" t="s">
        <v>319</v>
      </c>
      <c r="AA14" s="314">
        <v>1.8</v>
      </c>
      <c r="AB14" s="322" t="s">
        <v>320</v>
      </c>
      <c r="AC14" s="325" t="s">
        <v>68</v>
      </c>
      <c r="AD14" s="324">
        <v>46169</v>
      </c>
      <c r="AE14" s="167"/>
      <c r="AF14" s="178"/>
      <c r="AG14" s="318" t="str">
        <f t="shared" si="0"/>
        <v/>
      </c>
      <c r="AH14" s="167"/>
      <c r="AI14" s="183"/>
      <c r="AJ14" s="182"/>
      <c r="AK14" s="330"/>
      <c r="AL14" s="333"/>
      <c r="AM14" s="334"/>
      <c r="AN14" s="334"/>
      <c r="AO14" s="333" t="s">
        <v>253</v>
      </c>
      <c r="AP14" s="334"/>
    </row>
    <row r="15" spans="1:42" ht="101.25" customHeight="1">
      <c r="A15" s="237">
        <v>186</v>
      </c>
      <c r="B15" s="235">
        <v>46169.532071759299</v>
      </c>
      <c r="C15" s="235">
        <v>46169.533449074101</v>
      </c>
      <c r="D15" s="234" t="s">
        <v>48</v>
      </c>
      <c r="E15" s="234" t="s">
        <v>49</v>
      </c>
      <c r="F15" s="234" t="s">
        <v>50</v>
      </c>
      <c r="G15" s="234" t="s">
        <v>51</v>
      </c>
      <c r="H15" s="237" t="s">
        <v>52</v>
      </c>
      <c r="I15" s="234" t="s">
        <v>53</v>
      </c>
      <c r="J15" s="234" t="s">
        <v>54</v>
      </c>
      <c r="K15" s="236" t="s">
        <v>321</v>
      </c>
      <c r="L15" s="237" t="s">
        <v>56</v>
      </c>
      <c r="M15" s="235">
        <v>46356</v>
      </c>
      <c r="N15" s="237" t="s">
        <v>57</v>
      </c>
      <c r="O15" s="237">
        <v>0</v>
      </c>
      <c r="P15" s="237">
        <v>0</v>
      </c>
      <c r="Q15" s="238" t="s">
        <v>58</v>
      </c>
      <c r="R15" s="234" t="s">
        <v>317</v>
      </c>
      <c r="S15" s="343" t="s">
        <v>60</v>
      </c>
      <c r="T15" s="234" t="s">
        <v>322</v>
      </c>
      <c r="U15" s="234" t="s">
        <v>62</v>
      </c>
      <c r="V15" s="239" t="s">
        <v>63</v>
      </c>
      <c r="W15" s="237" t="s">
        <v>57</v>
      </c>
      <c r="X15" s="231" t="s">
        <v>64</v>
      </c>
      <c r="Y15" s="231" t="s">
        <v>65</v>
      </c>
      <c r="Z15" s="242" t="s">
        <v>323</v>
      </c>
      <c r="AA15" s="314">
        <v>1.8</v>
      </c>
      <c r="AB15" s="322" t="s">
        <v>324</v>
      </c>
      <c r="AC15" s="325" t="s">
        <v>68</v>
      </c>
      <c r="AD15" s="324">
        <v>46169</v>
      </c>
      <c r="AE15" s="167"/>
      <c r="AF15" s="178"/>
      <c r="AG15" s="318" t="str">
        <f t="shared" si="0"/>
        <v/>
      </c>
      <c r="AH15" s="167"/>
      <c r="AI15" s="183"/>
      <c r="AJ15" s="182"/>
      <c r="AK15" s="330"/>
      <c r="AL15" s="340"/>
      <c r="AM15" s="341"/>
      <c r="AN15" s="341"/>
      <c r="AO15" s="340" t="s">
        <v>253</v>
      </c>
      <c r="AP15" s="341"/>
    </row>
    <row r="16" spans="1:42" ht="96" customHeight="1">
      <c r="A16" s="312">
        <v>197</v>
      </c>
      <c r="B16" s="235">
        <v>46169.678715277798</v>
      </c>
      <c r="C16" s="235">
        <v>46169.680648148104</v>
      </c>
      <c r="D16" s="234" t="s">
        <v>88</v>
      </c>
      <c r="E16" s="234" t="s">
        <v>89</v>
      </c>
      <c r="F16" s="234" t="s">
        <v>325</v>
      </c>
      <c r="G16" s="234" t="s">
        <v>100</v>
      </c>
      <c r="H16" s="237" t="s">
        <v>75</v>
      </c>
      <c r="I16" s="234" t="s">
        <v>76</v>
      </c>
      <c r="J16" s="234" t="s">
        <v>326</v>
      </c>
      <c r="K16" s="236" t="s">
        <v>327</v>
      </c>
      <c r="L16" s="237" t="s">
        <v>56</v>
      </c>
      <c r="M16" s="235">
        <v>46160</v>
      </c>
      <c r="N16" s="237" t="s">
        <v>57</v>
      </c>
      <c r="O16" s="237">
        <v>0</v>
      </c>
      <c r="P16" s="237">
        <v>0</v>
      </c>
      <c r="Q16" s="238" t="s">
        <v>79</v>
      </c>
      <c r="R16" s="234" t="s">
        <v>94</v>
      </c>
      <c r="S16" s="343" t="s">
        <v>81</v>
      </c>
      <c r="T16" s="234" t="s">
        <v>328</v>
      </c>
      <c r="U16" s="234" t="s">
        <v>82</v>
      </c>
      <c r="V16" s="239" t="s">
        <v>63</v>
      </c>
      <c r="W16" s="237" t="s">
        <v>83</v>
      </c>
      <c r="X16" s="231" t="s">
        <v>84</v>
      </c>
      <c r="Y16" s="231" t="s">
        <v>103</v>
      </c>
      <c r="Z16" s="242" t="s">
        <v>329</v>
      </c>
      <c r="AA16" s="314">
        <v>1.2</v>
      </c>
      <c r="AB16" s="322" t="s">
        <v>122</v>
      </c>
      <c r="AC16" s="325" t="s">
        <v>68</v>
      </c>
      <c r="AD16" s="324">
        <v>46169</v>
      </c>
      <c r="AE16" s="167" t="s">
        <v>3</v>
      </c>
      <c r="AF16" s="178">
        <v>46174</v>
      </c>
      <c r="AG16" s="317">
        <v>46191</v>
      </c>
      <c r="AH16" s="167"/>
      <c r="AI16" s="183"/>
      <c r="AJ16" s="182"/>
      <c r="AK16" s="329"/>
      <c r="AL16" s="333"/>
      <c r="AM16" s="334"/>
      <c r="AN16" s="334"/>
      <c r="AO16" s="333" t="s">
        <v>191</v>
      </c>
      <c r="AP16" s="334"/>
    </row>
    <row r="17" spans="1:42" ht="96" customHeight="1">
      <c r="A17" s="312">
        <v>198</v>
      </c>
      <c r="B17" s="235">
        <v>46169.681030092601</v>
      </c>
      <c r="C17" s="235">
        <v>46169.684328703697</v>
      </c>
      <c r="D17" s="234" t="s">
        <v>88</v>
      </c>
      <c r="E17" s="234" t="s">
        <v>89</v>
      </c>
      <c r="F17" s="234" t="s">
        <v>330</v>
      </c>
      <c r="G17" s="234" t="s">
        <v>100</v>
      </c>
      <c r="H17" s="237" t="s">
        <v>75</v>
      </c>
      <c r="I17" s="234" t="s">
        <v>76</v>
      </c>
      <c r="J17" s="234" t="s">
        <v>326</v>
      </c>
      <c r="K17" s="236" t="s">
        <v>331</v>
      </c>
      <c r="L17" s="237" t="s">
        <v>56</v>
      </c>
      <c r="M17" s="235">
        <v>46160</v>
      </c>
      <c r="N17" s="237" t="s">
        <v>57</v>
      </c>
      <c r="O17" s="237">
        <v>0</v>
      </c>
      <c r="P17" s="237">
        <v>0</v>
      </c>
      <c r="Q17" s="238" t="s">
        <v>79</v>
      </c>
      <c r="R17" s="234" t="s">
        <v>94</v>
      </c>
      <c r="S17" s="343" t="s">
        <v>81</v>
      </c>
      <c r="T17" s="234" t="s">
        <v>332</v>
      </c>
      <c r="U17" s="234" t="s">
        <v>82</v>
      </c>
      <c r="V17" s="239" t="s">
        <v>63</v>
      </c>
      <c r="W17" s="237" t="s">
        <v>83</v>
      </c>
      <c r="X17" s="231" t="s">
        <v>84</v>
      </c>
      <c r="Y17" s="231" t="s">
        <v>103</v>
      </c>
      <c r="Z17" s="242" t="s">
        <v>333</v>
      </c>
      <c r="AA17" s="314">
        <v>1.2</v>
      </c>
      <c r="AB17" s="322" t="s">
        <v>122</v>
      </c>
      <c r="AC17" s="325" t="s">
        <v>68</v>
      </c>
      <c r="AD17" s="324">
        <v>46169</v>
      </c>
      <c r="AE17" s="167" t="s">
        <v>3</v>
      </c>
      <c r="AF17" s="178">
        <v>46174</v>
      </c>
      <c r="AG17" s="317">
        <v>46191</v>
      </c>
      <c r="AH17" s="167"/>
      <c r="AI17" s="183"/>
      <c r="AJ17" s="182"/>
      <c r="AK17" s="329"/>
      <c r="AL17" s="333"/>
      <c r="AM17" s="334"/>
      <c r="AN17" s="334"/>
      <c r="AO17" s="333" t="s">
        <v>191</v>
      </c>
      <c r="AP17" s="334"/>
    </row>
    <row r="18" spans="1:42" ht="96" customHeight="1">
      <c r="A18" s="312">
        <v>199</v>
      </c>
      <c r="B18" s="235">
        <v>46169.684861111098</v>
      </c>
      <c r="C18" s="235">
        <v>46169.686886574098</v>
      </c>
      <c r="D18" s="234" t="s">
        <v>88</v>
      </c>
      <c r="E18" s="234" t="s">
        <v>89</v>
      </c>
      <c r="F18" s="234" t="s">
        <v>334</v>
      </c>
      <c r="G18" s="234" t="s">
        <v>100</v>
      </c>
      <c r="H18" s="237" t="s">
        <v>75</v>
      </c>
      <c r="I18" s="234" t="s">
        <v>76</v>
      </c>
      <c r="J18" s="234" t="s">
        <v>326</v>
      </c>
      <c r="K18" s="236" t="s">
        <v>335</v>
      </c>
      <c r="L18" s="237" t="s">
        <v>56</v>
      </c>
      <c r="M18" s="235">
        <v>46160</v>
      </c>
      <c r="N18" s="237" t="s">
        <v>57</v>
      </c>
      <c r="O18" s="237">
        <v>0</v>
      </c>
      <c r="P18" s="237">
        <v>0</v>
      </c>
      <c r="Q18" s="238" t="s">
        <v>79</v>
      </c>
      <c r="R18" s="234" t="s">
        <v>94</v>
      </c>
      <c r="S18" s="343" t="s">
        <v>81</v>
      </c>
      <c r="T18" s="234" t="s">
        <v>336</v>
      </c>
      <c r="U18" s="234" t="s">
        <v>82</v>
      </c>
      <c r="V18" s="239" t="s">
        <v>63</v>
      </c>
      <c r="W18" s="237" t="s">
        <v>83</v>
      </c>
      <c r="X18" s="231" t="s">
        <v>84</v>
      </c>
      <c r="Y18" s="231" t="s">
        <v>103</v>
      </c>
      <c r="Z18" s="242" t="s">
        <v>337</v>
      </c>
      <c r="AA18" s="314">
        <v>1.2</v>
      </c>
      <c r="AB18" s="322" t="s">
        <v>122</v>
      </c>
      <c r="AC18" s="325" t="s">
        <v>68</v>
      </c>
      <c r="AD18" s="324">
        <v>46169</v>
      </c>
      <c r="AE18" s="167" t="s">
        <v>3</v>
      </c>
      <c r="AF18" s="178">
        <v>46174</v>
      </c>
      <c r="AG18" s="317">
        <v>46191</v>
      </c>
      <c r="AH18" s="167"/>
      <c r="AI18" s="183"/>
      <c r="AJ18" s="182"/>
      <c r="AK18" s="329"/>
      <c r="AL18" s="333"/>
      <c r="AM18" s="334"/>
      <c r="AN18" s="334"/>
      <c r="AO18" s="333" t="s">
        <v>191</v>
      </c>
      <c r="AP18" s="334"/>
    </row>
    <row r="19" spans="1:42" ht="105.75" customHeight="1">
      <c r="A19" s="312">
        <v>209</v>
      </c>
      <c r="B19" s="235">
        <v>46169.786111111098</v>
      </c>
      <c r="C19" s="235">
        <v>46169.802662037</v>
      </c>
      <c r="D19" s="234" t="s">
        <v>338</v>
      </c>
      <c r="E19" s="234" t="s">
        <v>339</v>
      </c>
      <c r="F19" s="234" t="s">
        <v>340</v>
      </c>
      <c r="G19" s="234" t="s">
        <v>341</v>
      </c>
      <c r="H19" s="237" t="s">
        <v>342</v>
      </c>
      <c r="I19" s="234" t="s">
        <v>197</v>
      </c>
      <c r="J19" s="234" t="s">
        <v>343</v>
      </c>
      <c r="K19" s="236" t="s">
        <v>344</v>
      </c>
      <c r="L19" s="237" t="s">
        <v>161</v>
      </c>
      <c r="M19" s="235">
        <v>46185</v>
      </c>
      <c r="N19" s="237" t="s">
        <v>57</v>
      </c>
      <c r="O19" s="237">
        <v>0</v>
      </c>
      <c r="P19" s="237">
        <v>0</v>
      </c>
      <c r="Q19" s="238" t="s">
        <v>79</v>
      </c>
      <c r="R19" s="234" t="s">
        <v>345</v>
      </c>
      <c r="S19" s="343" t="s">
        <v>346</v>
      </c>
      <c r="T19" s="234" t="s">
        <v>347</v>
      </c>
      <c r="U19" s="234" t="s">
        <v>130</v>
      </c>
      <c r="V19" s="239" t="s">
        <v>63</v>
      </c>
      <c r="W19" s="237" t="s">
        <v>57</v>
      </c>
      <c r="X19" s="231" t="s">
        <v>84</v>
      </c>
      <c r="Y19" s="231" t="s">
        <v>348</v>
      </c>
      <c r="Z19" s="242" t="s">
        <v>349</v>
      </c>
      <c r="AA19" s="314">
        <v>0.6</v>
      </c>
      <c r="AB19" s="322" t="s">
        <v>97</v>
      </c>
      <c r="AC19" s="325" t="s">
        <v>68</v>
      </c>
      <c r="AD19" s="324">
        <v>46175</v>
      </c>
      <c r="AE19" s="167" t="s">
        <v>2</v>
      </c>
      <c r="AF19" s="178">
        <v>46181</v>
      </c>
      <c r="AG19" s="318">
        <f t="shared" ref="AG19:AG33" si="1">IF(AD19="","Pendiente fecha de asignación de LD",IF(AF19="","",WORKDAY(AF19,IF(AE19="Alta",20,IF(AE19="Media",10,5)))))</f>
        <v>46209</v>
      </c>
      <c r="AH19" s="167"/>
      <c r="AI19" s="183"/>
      <c r="AJ19" s="182"/>
      <c r="AK19" s="329"/>
      <c r="AL19" s="338"/>
      <c r="AM19" s="339"/>
      <c r="AN19" s="339"/>
      <c r="AO19" s="338" t="s">
        <v>191</v>
      </c>
      <c r="AP19" s="339" t="s">
        <v>350</v>
      </c>
    </row>
    <row r="20" spans="1:42" ht="96" customHeight="1">
      <c r="A20" s="312">
        <v>210</v>
      </c>
      <c r="B20" s="235">
        <v>46169.8046412037</v>
      </c>
      <c r="C20" s="235">
        <v>46169.817731481497</v>
      </c>
      <c r="D20" s="234" t="s">
        <v>338</v>
      </c>
      <c r="E20" s="234" t="s">
        <v>339</v>
      </c>
      <c r="F20" s="234" t="s">
        <v>351</v>
      </c>
      <c r="G20" s="234" t="s">
        <v>352</v>
      </c>
      <c r="H20" s="237" t="s">
        <v>342</v>
      </c>
      <c r="I20" s="234" t="s">
        <v>197</v>
      </c>
      <c r="J20" s="234" t="s">
        <v>343</v>
      </c>
      <c r="K20" s="236" t="s">
        <v>353</v>
      </c>
      <c r="L20" s="237" t="s">
        <v>161</v>
      </c>
      <c r="M20" s="235">
        <v>46185</v>
      </c>
      <c r="N20" s="237" t="s">
        <v>57</v>
      </c>
      <c r="O20" s="237">
        <v>0</v>
      </c>
      <c r="P20" s="237">
        <v>0</v>
      </c>
      <c r="Q20" s="238" t="s">
        <v>79</v>
      </c>
      <c r="R20" s="234" t="s">
        <v>354</v>
      </c>
      <c r="S20" s="343" t="s">
        <v>355</v>
      </c>
      <c r="T20" s="234" t="s">
        <v>356</v>
      </c>
      <c r="U20" s="234" t="s">
        <v>130</v>
      </c>
      <c r="V20" s="239" t="s">
        <v>63</v>
      </c>
      <c r="W20" s="237" t="s">
        <v>83</v>
      </c>
      <c r="X20" s="231" t="s">
        <v>84</v>
      </c>
      <c r="Y20" s="231" t="s">
        <v>348</v>
      </c>
      <c r="Z20" s="242" t="s">
        <v>357</v>
      </c>
      <c r="AA20" s="314">
        <v>0.6</v>
      </c>
      <c r="AB20" s="322" t="s">
        <v>133</v>
      </c>
      <c r="AC20" s="325" t="s">
        <v>68</v>
      </c>
      <c r="AD20" s="324">
        <v>46174</v>
      </c>
      <c r="AE20" s="167" t="s">
        <v>3</v>
      </c>
      <c r="AF20" s="178">
        <v>46181</v>
      </c>
      <c r="AG20" s="318">
        <f t="shared" si="1"/>
        <v>46195</v>
      </c>
      <c r="AH20" s="167"/>
      <c r="AI20" s="183"/>
      <c r="AJ20" s="182"/>
      <c r="AK20" s="329"/>
      <c r="AL20" s="333"/>
      <c r="AM20" s="334"/>
      <c r="AN20" s="334"/>
      <c r="AO20" s="333" t="s">
        <v>191</v>
      </c>
      <c r="AP20" s="334"/>
    </row>
    <row r="21" spans="1:42" ht="96" customHeight="1">
      <c r="A21" s="312">
        <v>212</v>
      </c>
      <c r="B21" s="235">
        <v>46169.993784722203</v>
      </c>
      <c r="C21" s="235">
        <v>46169.995497685202</v>
      </c>
      <c r="D21" s="234" t="s">
        <v>124</v>
      </c>
      <c r="E21" s="234" t="s">
        <v>125</v>
      </c>
      <c r="F21" s="234" t="s">
        <v>358</v>
      </c>
      <c r="G21" s="234" t="s">
        <v>74</v>
      </c>
      <c r="H21" s="237" t="s">
        <v>75</v>
      </c>
      <c r="I21" s="234" t="s">
        <v>76</v>
      </c>
      <c r="J21" s="234" t="s">
        <v>127</v>
      </c>
      <c r="K21" s="236" t="s">
        <v>359</v>
      </c>
      <c r="L21" s="237" t="s">
        <v>56</v>
      </c>
      <c r="M21" s="235">
        <v>46178</v>
      </c>
      <c r="N21" s="237" t="s">
        <v>57</v>
      </c>
      <c r="O21" s="237">
        <v>0</v>
      </c>
      <c r="P21" s="237">
        <v>0</v>
      </c>
      <c r="Q21" s="238" t="s">
        <v>79</v>
      </c>
      <c r="R21" s="234" t="s">
        <v>80</v>
      </c>
      <c r="S21" s="343" t="s">
        <v>81</v>
      </c>
      <c r="T21" s="234" t="s">
        <v>360</v>
      </c>
      <c r="U21" s="234" t="s">
        <v>82</v>
      </c>
      <c r="V21" s="239" t="s">
        <v>63</v>
      </c>
      <c r="W21" s="237" t="s">
        <v>83</v>
      </c>
      <c r="X21" s="231" t="s">
        <v>84</v>
      </c>
      <c r="Y21" s="231" t="s">
        <v>131</v>
      </c>
      <c r="Z21" s="242" t="s">
        <v>361</v>
      </c>
      <c r="AA21" s="314">
        <v>1.2</v>
      </c>
      <c r="AB21" s="322" t="s">
        <v>122</v>
      </c>
      <c r="AC21" s="325" t="s">
        <v>68</v>
      </c>
      <c r="AD21" s="324">
        <v>46170</v>
      </c>
      <c r="AE21" s="167" t="s">
        <v>3</v>
      </c>
      <c r="AF21" s="178"/>
      <c r="AG21" s="318" t="str">
        <f t="shared" si="1"/>
        <v/>
      </c>
      <c r="AH21" s="167"/>
      <c r="AI21" s="183"/>
      <c r="AJ21" s="182"/>
      <c r="AK21" s="329"/>
      <c r="AL21" s="333"/>
      <c r="AM21" s="334"/>
      <c r="AN21" s="334"/>
      <c r="AO21" s="333" t="s">
        <v>191</v>
      </c>
      <c r="AP21" s="334"/>
    </row>
    <row r="22" spans="1:42" ht="96" customHeight="1">
      <c r="A22" s="312">
        <v>213</v>
      </c>
      <c r="B22" s="235">
        <v>46169.994814814803</v>
      </c>
      <c r="C22" s="235">
        <v>46169.996388888903</v>
      </c>
      <c r="D22" s="234" t="s">
        <v>124</v>
      </c>
      <c r="E22" s="234" t="s">
        <v>125</v>
      </c>
      <c r="F22" s="234" t="s">
        <v>362</v>
      </c>
      <c r="G22" s="234" t="s">
        <v>74</v>
      </c>
      <c r="H22" s="237" t="s">
        <v>75</v>
      </c>
      <c r="I22" s="234" t="s">
        <v>76</v>
      </c>
      <c r="J22" s="234" t="s">
        <v>127</v>
      </c>
      <c r="K22" s="236" t="s">
        <v>363</v>
      </c>
      <c r="L22" s="237" t="s">
        <v>56</v>
      </c>
      <c r="M22" s="235">
        <v>46239</v>
      </c>
      <c r="N22" s="237" t="s">
        <v>57</v>
      </c>
      <c r="O22" s="237">
        <v>0</v>
      </c>
      <c r="P22" s="237">
        <v>0</v>
      </c>
      <c r="Q22" s="238" t="s">
        <v>79</v>
      </c>
      <c r="R22" s="234" t="s">
        <v>80</v>
      </c>
      <c r="S22" s="343" t="s">
        <v>81</v>
      </c>
      <c r="T22" s="234" t="s">
        <v>360</v>
      </c>
      <c r="U22" s="234" t="s">
        <v>82</v>
      </c>
      <c r="V22" s="239" t="s">
        <v>63</v>
      </c>
      <c r="W22" s="237" t="s">
        <v>83</v>
      </c>
      <c r="X22" s="231" t="s">
        <v>84</v>
      </c>
      <c r="Y22" s="231" t="s">
        <v>131</v>
      </c>
      <c r="Z22" s="242" t="s">
        <v>364</v>
      </c>
      <c r="AA22" s="314">
        <v>1.2</v>
      </c>
      <c r="AB22" s="322" t="s">
        <v>122</v>
      </c>
      <c r="AC22" s="325" t="s">
        <v>68</v>
      </c>
      <c r="AD22" s="324">
        <v>46170</v>
      </c>
      <c r="AE22" s="167" t="s">
        <v>3</v>
      </c>
      <c r="AF22" s="178"/>
      <c r="AG22" s="318" t="str">
        <f t="shared" si="1"/>
        <v/>
      </c>
      <c r="AH22" s="167"/>
      <c r="AI22" s="183"/>
      <c r="AJ22" s="182"/>
      <c r="AK22" s="329"/>
      <c r="AL22" s="333"/>
      <c r="AM22" s="334"/>
      <c r="AN22" s="334"/>
      <c r="AO22" s="333" t="s">
        <v>191</v>
      </c>
      <c r="AP22" s="334"/>
    </row>
    <row r="23" spans="1:42" ht="96" customHeight="1">
      <c r="A23" s="312">
        <v>214</v>
      </c>
      <c r="B23" s="235">
        <v>46169.996284722198</v>
      </c>
      <c r="C23" s="235">
        <v>46169.997106481504</v>
      </c>
      <c r="D23" s="234" t="s">
        <v>124</v>
      </c>
      <c r="E23" s="234" t="s">
        <v>125</v>
      </c>
      <c r="F23" s="234" t="s">
        <v>365</v>
      </c>
      <c r="G23" s="234" t="s">
        <v>74</v>
      </c>
      <c r="H23" s="237" t="s">
        <v>75</v>
      </c>
      <c r="I23" s="234" t="s">
        <v>76</v>
      </c>
      <c r="J23" s="234" t="s">
        <v>127</v>
      </c>
      <c r="K23" s="236" t="s">
        <v>366</v>
      </c>
      <c r="L23" s="237" t="s">
        <v>56</v>
      </c>
      <c r="M23" s="235">
        <v>46239</v>
      </c>
      <c r="N23" s="237" t="s">
        <v>57</v>
      </c>
      <c r="O23" s="237">
        <v>0</v>
      </c>
      <c r="P23" s="237">
        <v>0</v>
      </c>
      <c r="Q23" s="238" t="s">
        <v>79</v>
      </c>
      <c r="R23" s="234" t="s">
        <v>80</v>
      </c>
      <c r="S23" s="343" t="s">
        <v>81</v>
      </c>
      <c r="T23" s="234" t="s">
        <v>360</v>
      </c>
      <c r="U23" s="234" t="s">
        <v>82</v>
      </c>
      <c r="V23" s="239" t="s">
        <v>63</v>
      </c>
      <c r="W23" s="237" t="s">
        <v>83</v>
      </c>
      <c r="X23" s="231" t="s">
        <v>84</v>
      </c>
      <c r="Y23" s="231" t="s">
        <v>131</v>
      </c>
      <c r="Z23" s="242" t="s">
        <v>367</v>
      </c>
      <c r="AA23" s="314">
        <v>1.2</v>
      </c>
      <c r="AB23" s="322" t="s">
        <v>122</v>
      </c>
      <c r="AC23" s="325" t="s">
        <v>68</v>
      </c>
      <c r="AD23" s="324">
        <v>46170</v>
      </c>
      <c r="AE23" s="167" t="s">
        <v>3</v>
      </c>
      <c r="AF23" s="178"/>
      <c r="AG23" s="318" t="str">
        <f t="shared" si="1"/>
        <v/>
      </c>
      <c r="AH23" s="167"/>
      <c r="AI23" s="183"/>
      <c r="AJ23" s="182"/>
      <c r="AK23" s="329"/>
      <c r="AL23" s="333"/>
      <c r="AM23" s="334"/>
      <c r="AN23" s="334"/>
      <c r="AO23" s="333" t="s">
        <v>191</v>
      </c>
      <c r="AP23" s="334"/>
    </row>
    <row r="24" spans="1:42" ht="96" customHeight="1">
      <c r="A24" s="312">
        <v>215</v>
      </c>
      <c r="B24" s="235">
        <v>46169.997152777803</v>
      </c>
      <c r="C24" s="235">
        <v>46169.999085648102</v>
      </c>
      <c r="D24" s="234" t="s">
        <v>124</v>
      </c>
      <c r="E24" s="234" t="s">
        <v>125</v>
      </c>
      <c r="F24" s="234" t="s">
        <v>368</v>
      </c>
      <c r="G24" s="234" t="s">
        <v>74</v>
      </c>
      <c r="H24" s="237" t="s">
        <v>75</v>
      </c>
      <c r="I24" s="234" t="s">
        <v>76</v>
      </c>
      <c r="J24" s="234" t="s">
        <v>127</v>
      </c>
      <c r="K24" s="236" t="s">
        <v>369</v>
      </c>
      <c r="L24" s="237" t="s">
        <v>56</v>
      </c>
      <c r="M24" s="235">
        <v>46178</v>
      </c>
      <c r="N24" s="237" t="s">
        <v>57</v>
      </c>
      <c r="O24" s="237">
        <v>0</v>
      </c>
      <c r="P24" s="237">
        <v>0</v>
      </c>
      <c r="Q24" s="238" t="s">
        <v>79</v>
      </c>
      <c r="R24" s="234" t="s">
        <v>80</v>
      </c>
      <c r="S24" s="343" t="s">
        <v>81</v>
      </c>
      <c r="T24" s="234" t="s">
        <v>129</v>
      </c>
      <c r="U24" s="234" t="s">
        <v>370</v>
      </c>
      <c r="V24" s="239" t="s">
        <v>63</v>
      </c>
      <c r="W24" s="237" t="s">
        <v>83</v>
      </c>
      <c r="X24" s="231" t="s">
        <v>84</v>
      </c>
      <c r="Y24" s="231" t="s">
        <v>131</v>
      </c>
      <c r="Z24" s="242" t="s">
        <v>371</v>
      </c>
      <c r="AA24" s="314">
        <v>1.05</v>
      </c>
      <c r="AB24" s="322" t="s">
        <v>122</v>
      </c>
      <c r="AC24" s="325" t="s">
        <v>68</v>
      </c>
      <c r="AD24" s="324">
        <v>46170</v>
      </c>
      <c r="AE24" s="167" t="s">
        <v>2</v>
      </c>
      <c r="AF24" s="178">
        <v>46184</v>
      </c>
      <c r="AG24" s="318">
        <f t="shared" si="1"/>
        <v>46212</v>
      </c>
      <c r="AH24" s="167"/>
      <c r="AI24" s="183"/>
      <c r="AJ24" s="182"/>
      <c r="AK24" s="329"/>
      <c r="AL24" s="333"/>
      <c r="AM24" s="334"/>
      <c r="AN24" s="334"/>
      <c r="AO24" s="333" t="s">
        <v>191</v>
      </c>
      <c r="AP24" s="334" t="s">
        <v>372</v>
      </c>
    </row>
    <row r="25" spans="1:42" ht="96" customHeight="1">
      <c r="A25" s="312">
        <v>218</v>
      </c>
      <c r="B25" s="235">
        <v>46170.001956018503</v>
      </c>
      <c r="C25" s="235">
        <v>46170.004374999997</v>
      </c>
      <c r="D25" s="234" t="s">
        <v>124</v>
      </c>
      <c r="E25" s="234" t="s">
        <v>125</v>
      </c>
      <c r="F25" s="234" t="s">
        <v>373</v>
      </c>
      <c r="G25" s="234" t="s">
        <v>74</v>
      </c>
      <c r="H25" s="237" t="s">
        <v>75</v>
      </c>
      <c r="I25" s="234" t="s">
        <v>76</v>
      </c>
      <c r="J25" s="234" t="s">
        <v>127</v>
      </c>
      <c r="K25" s="236" t="s">
        <v>374</v>
      </c>
      <c r="L25" s="237" t="s">
        <v>56</v>
      </c>
      <c r="M25" s="235">
        <v>46209</v>
      </c>
      <c r="N25" s="237" t="s">
        <v>57</v>
      </c>
      <c r="O25" s="237">
        <v>0</v>
      </c>
      <c r="P25" s="237">
        <v>0</v>
      </c>
      <c r="Q25" s="238" t="s">
        <v>79</v>
      </c>
      <c r="R25" s="234" t="s">
        <v>80</v>
      </c>
      <c r="S25" s="343" t="s">
        <v>81</v>
      </c>
      <c r="T25" s="234" t="s">
        <v>81</v>
      </c>
      <c r="U25" s="234" t="s">
        <v>82</v>
      </c>
      <c r="V25" s="239" t="s">
        <v>63</v>
      </c>
      <c r="W25" s="237" t="s">
        <v>83</v>
      </c>
      <c r="X25" s="231" t="s">
        <v>84</v>
      </c>
      <c r="Y25" s="231" t="s">
        <v>131</v>
      </c>
      <c r="Z25" s="242" t="s">
        <v>375</v>
      </c>
      <c r="AA25" s="314">
        <v>1.2</v>
      </c>
      <c r="AB25" s="322" t="s">
        <v>122</v>
      </c>
      <c r="AC25" s="325" t="s">
        <v>68</v>
      </c>
      <c r="AD25" s="324">
        <v>46170</v>
      </c>
      <c r="AE25" s="167" t="s">
        <v>3</v>
      </c>
      <c r="AF25" s="178"/>
      <c r="AG25" s="318" t="str">
        <f t="shared" si="1"/>
        <v/>
      </c>
      <c r="AH25" s="167"/>
      <c r="AI25" s="183"/>
      <c r="AJ25" s="182"/>
      <c r="AK25" s="329"/>
      <c r="AL25" s="333"/>
      <c r="AM25" s="334"/>
      <c r="AN25" s="334"/>
      <c r="AO25" s="333" t="s">
        <v>191</v>
      </c>
      <c r="AP25" s="334"/>
    </row>
    <row r="26" spans="1:42" ht="15" customHeight="1">
      <c r="A26" s="312">
        <v>187</v>
      </c>
      <c r="B26" s="235">
        <v>46169.536921296298</v>
      </c>
      <c r="C26" s="235">
        <v>46169.538877314801</v>
      </c>
      <c r="D26" s="234" t="s">
        <v>71</v>
      </c>
      <c r="E26" s="234" t="s">
        <v>72</v>
      </c>
      <c r="F26" s="234" t="s">
        <v>376</v>
      </c>
      <c r="G26" s="234" t="s">
        <v>74</v>
      </c>
      <c r="H26" s="237" t="s">
        <v>75</v>
      </c>
      <c r="I26" s="234" t="s">
        <v>76</v>
      </c>
      <c r="J26" s="234" t="s">
        <v>127</v>
      </c>
      <c r="K26" s="236" t="s">
        <v>377</v>
      </c>
      <c r="L26" s="237" t="s">
        <v>56</v>
      </c>
      <c r="M26" s="235">
        <v>46239</v>
      </c>
      <c r="N26" s="237" t="s">
        <v>57</v>
      </c>
      <c r="O26" s="237">
        <v>0</v>
      </c>
      <c r="P26" s="237">
        <v>0</v>
      </c>
      <c r="Q26" s="238" t="s">
        <v>79</v>
      </c>
      <c r="R26" s="234" t="s">
        <v>80</v>
      </c>
      <c r="S26" s="343" t="s">
        <v>81</v>
      </c>
      <c r="T26" s="234" t="s">
        <v>81</v>
      </c>
      <c r="U26" s="234" t="s">
        <v>82</v>
      </c>
      <c r="V26" s="239" t="s">
        <v>63</v>
      </c>
      <c r="W26" s="237" t="s">
        <v>83</v>
      </c>
      <c r="X26" s="231" t="s">
        <v>84</v>
      </c>
      <c r="Y26" s="231" t="s">
        <v>378</v>
      </c>
      <c r="Z26" s="242" t="s">
        <v>379</v>
      </c>
      <c r="AA26" s="314">
        <v>1.2</v>
      </c>
      <c r="AB26" s="322" t="s">
        <v>133</v>
      </c>
      <c r="AC26" s="325" t="s">
        <v>68</v>
      </c>
      <c r="AD26" s="324">
        <v>46170</v>
      </c>
      <c r="AE26" s="167" t="s">
        <v>3</v>
      </c>
      <c r="AF26" s="178">
        <v>46181</v>
      </c>
      <c r="AG26" s="318">
        <f t="shared" si="1"/>
        <v>46195</v>
      </c>
      <c r="AH26" s="167"/>
      <c r="AI26" s="183"/>
      <c r="AJ26" s="182"/>
      <c r="AK26" s="329"/>
      <c r="AL26" s="333"/>
      <c r="AM26" s="334"/>
      <c r="AN26" s="334"/>
      <c r="AO26" s="333" t="s">
        <v>191</v>
      </c>
      <c r="AP26" s="334" t="s">
        <v>380</v>
      </c>
    </row>
    <row r="27" spans="1:42" ht="248.25" customHeight="1">
      <c r="A27" s="312">
        <v>222</v>
      </c>
      <c r="B27" s="235">
        <v>46170.377951388902</v>
      </c>
      <c r="C27" s="235">
        <v>46170.668530092596</v>
      </c>
      <c r="D27" s="234" t="s">
        <v>179</v>
      </c>
      <c r="E27" s="234" t="s">
        <v>180</v>
      </c>
      <c r="F27" s="234" t="s">
        <v>381</v>
      </c>
      <c r="G27" s="234" t="s">
        <v>382</v>
      </c>
      <c r="H27" s="237" t="s">
        <v>75</v>
      </c>
      <c r="I27" s="234" t="s">
        <v>76</v>
      </c>
      <c r="J27" s="234" t="s">
        <v>383</v>
      </c>
      <c r="K27" s="236" t="s">
        <v>384</v>
      </c>
      <c r="L27" s="237" t="s">
        <v>184</v>
      </c>
      <c r="M27" s="235">
        <v>46356</v>
      </c>
      <c r="N27" s="237" t="s">
        <v>57</v>
      </c>
      <c r="O27" s="237">
        <v>0</v>
      </c>
      <c r="P27" s="237">
        <v>0</v>
      </c>
      <c r="Q27" s="238" t="s">
        <v>79</v>
      </c>
      <c r="R27" s="234" t="s">
        <v>385</v>
      </c>
      <c r="S27" s="234" t="s">
        <v>386</v>
      </c>
      <c r="T27" s="234" t="s">
        <v>387</v>
      </c>
      <c r="U27" s="234" t="s">
        <v>62</v>
      </c>
      <c r="V27" s="239" t="s">
        <v>63</v>
      </c>
      <c r="W27" s="237" t="s">
        <v>57</v>
      </c>
      <c r="X27" s="231" t="s">
        <v>84</v>
      </c>
      <c r="Y27" s="231" t="s">
        <v>388</v>
      </c>
      <c r="Z27" s="242" t="s">
        <v>389</v>
      </c>
      <c r="AA27" s="314">
        <v>2.1</v>
      </c>
      <c r="AB27" s="322" t="s">
        <v>390</v>
      </c>
      <c r="AC27" s="325" t="s">
        <v>68</v>
      </c>
      <c r="AD27" s="324">
        <v>46181</v>
      </c>
      <c r="AE27" s="167" t="s">
        <v>2</v>
      </c>
      <c r="AF27" s="178">
        <v>46195</v>
      </c>
      <c r="AG27" s="318">
        <f>IF(AD27="","Pendiente fecha de asignación de LD",IF(AF27="","",WORKDAY(AF27,IF(AE27="Alta",20,IF(AE27="Media",10,5)))))</f>
        <v>46223</v>
      </c>
      <c r="AH27" s="167"/>
      <c r="AI27" s="183"/>
      <c r="AJ27" s="182"/>
      <c r="AK27" s="329"/>
      <c r="AL27" s="333"/>
      <c r="AM27" s="334"/>
      <c r="AN27" s="334"/>
      <c r="AO27" s="333" t="s">
        <v>191</v>
      </c>
      <c r="AP27" s="334"/>
    </row>
    <row r="28" spans="1:42" ht="105" customHeight="1">
      <c r="A28" s="312">
        <v>224</v>
      </c>
      <c r="B28" s="235">
        <v>46175.551284722198</v>
      </c>
      <c r="C28" s="235">
        <v>46175.568969907399</v>
      </c>
      <c r="D28" s="234" t="s">
        <v>124</v>
      </c>
      <c r="E28" s="234" t="s">
        <v>125</v>
      </c>
      <c r="F28" s="234" t="s">
        <v>391</v>
      </c>
      <c r="G28" s="234" t="s">
        <v>392</v>
      </c>
      <c r="H28" s="237" t="s">
        <v>158</v>
      </c>
      <c r="I28" s="234" t="s">
        <v>393</v>
      </c>
      <c r="J28" s="234" t="s">
        <v>394</v>
      </c>
      <c r="K28" s="236" t="s">
        <v>395</v>
      </c>
      <c r="L28" s="237" t="s">
        <v>161</v>
      </c>
      <c r="M28" s="235">
        <v>46178</v>
      </c>
      <c r="N28" s="237" t="s">
        <v>57</v>
      </c>
      <c r="O28" s="237">
        <v>0</v>
      </c>
      <c r="P28" s="237">
        <v>0</v>
      </c>
      <c r="Q28" s="238" t="s">
        <v>396</v>
      </c>
      <c r="R28" s="234" t="s">
        <v>397</v>
      </c>
      <c r="S28" s="234" t="s">
        <v>398</v>
      </c>
      <c r="T28" s="234" t="s">
        <v>399</v>
      </c>
      <c r="U28" s="234" t="s">
        <v>82</v>
      </c>
      <c r="V28" s="239" t="s">
        <v>400</v>
      </c>
      <c r="W28" s="237" t="s">
        <v>57</v>
      </c>
      <c r="X28" s="231" t="s">
        <v>84</v>
      </c>
      <c r="Y28" s="231" t="s">
        <v>401</v>
      </c>
      <c r="Z28" s="242" t="s">
        <v>402</v>
      </c>
      <c r="AA28" s="314">
        <v>2.9</v>
      </c>
      <c r="AB28" s="322" t="s">
        <v>122</v>
      </c>
      <c r="AC28" s="325" t="s">
        <v>68</v>
      </c>
      <c r="AD28" s="324">
        <v>46177</v>
      </c>
      <c r="AE28" s="167" t="s">
        <v>4</v>
      </c>
      <c r="AF28" s="178">
        <v>46181</v>
      </c>
      <c r="AG28" s="318">
        <f t="shared" si="1"/>
        <v>46188</v>
      </c>
      <c r="AH28" s="167"/>
      <c r="AI28" s="183"/>
      <c r="AJ28" s="182"/>
      <c r="AK28" s="329"/>
      <c r="AL28" s="333"/>
      <c r="AM28" s="334"/>
      <c r="AN28" s="334"/>
      <c r="AO28" s="334" t="s">
        <v>403</v>
      </c>
      <c r="AP28" s="334" t="s">
        <v>404</v>
      </c>
    </row>
    <row r="29" spans="1:42" ht="105" customHeight="1">
      <c r="A29" s="312">
        <v>176</v>
      </c>
      <c r="B29" s="235">
        <v>46168</v>
      </c>
      <c r="C29" s="235">
        <v>46168</v>
      </c>
      <c r="D29" s="234" t="s">
        <v>139</v>
      </c>
      <c r="E29" s="234" t="s">
        <v>140</v>
      </c>
      <c r="F29" s="234" t="s">
        <v>405</v>
      </c>
      <c r="G29" s="234" t="s">
        <v>406</v>
      </c>
      <c r="H29" s="237" t="s">
        <v>214</v>
      </c>
      <c r="I29" s="234" t="s">
        <v>407</v>
      </c>
      <c r="J29" s="234" t="s">
        <v>408</v>
      </c>
      <c r="K29" s="236" t="s">
        <v>409</v>
      </c>
      <c r="L29" s="237" t="s">
        <v>161</v>
      </c>
      <c r="M29" s="235">
        <v>46387</v>
      </c>
      <c r="N29" s="237" t="s">
        <v>83</v>
      </c>
      <c r="O29" s="237" t="s">
        <v>145</v>
      </c>
      <c r="P29" s="237">
        <v>77768</v>
      </c>
      <c r="Q29" s="238" t="s">
        <v>79</v>
      </c>
      <c r="R29" s="234" t="s">
        <v>410</v>
      </c>
      <c r="S29" s="234" t="s">
        <v>411</v>
      </c>
      <c r="T29" s="234" t="s">
        <v>412</v>
      </c>
      <c r="U29" s="234" t="s">
        <v>130</v>
      </c>
      <c r="V29" s="239" t="s">
        <v>63</v>
      </c>
      <c r="W29" s="237" t="s">
        <v>57</v>
      </c>
      <c r="X29" s="231" t="s">
        <v>413</v>
      </c>
      <c r="Y29" s="231" t="s">
        <v>414</v>
      </c>
      <c r="Z29" s="242" t="s">
        <v>415</v>
      </c>
      <c r="AA29" s="314" t="s">
        <v>416</v>
      </c>
      <c r="AB29" s="322" t="s">
        <v>152</v>
      </c>
      <c r="AC29" s="325" t="s">
        <v>68</v>
      </c>
      <c r="AD29" s="324">
        <v>46177</v>
      </c>
      <c r="AE29" s="167"/>
      <c r="AF29" s="178"/>
      <c r="AG29" s="318" t="str">
        <f t="shared" si="1"/>
        <v/>
      </c>
      <c r="AH29" s="167"/>
      <c r="AI29" s="183"/>
      <c r="AJ29" s="182"/>
      <c r="AK29" s="329"/>
      <c r="AL29" s="333"/>
      <c r="AM29" s="334"/>
      <c r="AN29" s="334"/>
      <c r="AO29" s="334" t="s">
        <v>253</v>
      </c>
      <c r="AP29" s="334"/>
    </row>
    <row r="30" spans="1:42" ht="105" customHeight="1">
      <c r="A30" s="312">
        <v>177</v>
      </c>
      <c r="B30" s="235">
        <v>46168</v>
      </c>
      <c r="C30" s="235">
        <v>46168</v>
      </c>
      <c r="D30" s="234" t="s">
        <v>139</v>
      </c>
      <c r="E30" s="234" t="s">
        <v>140</v>
      </c>
      <c r="F30" s="234" t="s">
        <v>417</v>
      </c>
      <c r="G30" s="234" t="s">
        <v>418</v>
      </c>
      <c r="H30" s="237" t="s">
        <v>214</v>
      </c>
      <c r="I30" s="234" t="s">
        <v>407</v>
      </c>
      <c r="J30" s="234" t="s">
        <v>408</v>
      </c>
      <c r="K30" s="236" t="s">
        <v>419</v>
      </c>
      <c r="L30" s="237" t="s">
        <v>161</v>
      </c>
      <c r="M30" s="235">
        <v>46387</v>
      </c>
      <c r="N30" s="237" t="s">
        <v>83</v>
      </c>
      <c r="O30" s="237" t="s">
        <v>145</v>
      </c>
      <c r="P30" s="237">
        <v>77768</v>
      </c>
      <c r="Q30" s="238" t="s">
        <v>79</v>
      </c>
      <c r="R30" s="234" t="s">
        <v>420</v>
      </c>
      <c r="S30" s="234" t="s">
        <v>421</v>
      </c>
      <c r="T30" s="234" t="s">
        <v>422</v>
      </c>
      <c r="U30" s="234" t="s">
        <v>130</v>
      </c>
      <c r="V30" s="239" t="s">
        <v>63</v>
      </c>
      <c r="W30" s="237" t="s">
        <v>57</v>
      </c>
      <c r="X30" s="231" t="s">
        <v>413</v>
      </c>
      <c r="Y30" s="231" t="s">
        <v>423</v>
      </c>
      <c r="Z30" s="242" t="s">
        <v>424</v>
      </c>
      <c r="AA30" s="314" t="s">
        <v>416</v>
      </c>
      <c r="AB30" s="322" t="s">
        <v>152</v>
      </c>
      <c r="AC30" s="325" t="s">
        <v>68</v>
      </c>
      <c r="AD30" s="324">
        <v>46177</v>
      </c>
      <c r="AE30" s="167"/>
      <c r="AF30" s="178"/>
      <c r="AG30" s="318" t="str">
        <f t="shared" si="1"/>
        <v/>
      </c>
      <c r="AH30" s="167"/>
      <c r="AI30" s="183"/>
      <c r="AJ30" s="182"/>
      <c r="AK30" s="329"/>
      <c r="AL30" s="333"/>
      <c r="AM30" s="334"/>
      <c r="AN30" s="334"/>
      <c r="AO30" s="334" t="s">
        <v>253</v>
      </c>
      <c r="AP30" s="334"/>
    </row>
    <row r="31" spans="1:42" ht="105" customHeight="1">
      <c r="A31" s="312">
        <v>178</v>
      </c>
      <c r="B31" s="235">
        <v>46168</v>
      </c>
      <c r="C31" s="235">
        <v>46168</v>
      </c>
      <c r="D31" s="234" t="s">
        <v>139</v>
      </c>
      <c r="E31" s="234" t="s">
        <v>140</v>
      </c>
      <c r="F31" s="234" t="s">
        <v>425</v>
      </c>
      <c r="G31" s="234" t="s">
        <v>426</v>
      </c>
      <c r="H31" s="237" t="s">
        <v>75</v>
      </c>
      <c r="I31" s="234" t="s">
        <v>76</v>
      </c>
      <c r="J31" s="234" t="s">
        <v>427</v>
      </c>
      <c r="K31" s="236" t="s">
        <v>428</v>
      </c>
      <c r="L31" s="237" t="s">
        <v>184</v>
      </c>
      <c r="M31" s="235">
        <v>46387</v>
      </c>
      <c r="N31" s="237" t="s">
        <v>83</v>
      </c>
      <c r="O31" s="237" t="s">
        <v>145</v>
      </c>
      <c r="P31" s="237">
        <v>77769</v>
      </c>
      <c r="Q31" s="238" t="s">
        <v>79</v>
      </c>
      <c r="R31" s="234" t="s">
        <v>429</v>
      </c>
      <c r="S31" s="234" t="s">
        <v>430</v>
      </c>
      <c r="T31" s="234" t="s">
        <v>431</v>
      </c>
      <c r="U31" s="234" t="s">
        <v>62</v>
      </c>
      <c r="V31" s="239" t="s">
        <v>63</v>
      </c>
      <c r="W31" s="237" t="s">
        <v>57</v>
      </c>
      <c r="X31" s="231" t="s">
        <v>413</v>
      </c>
      <c r="Y31" s="231" t="s">
        <v>432</v>
      </c>
      <c r="Z31" s="242" t="s">
        <v>433</v>
      </c>
      <c r="AA31" s="314">
        <v>3</v>
      </c>
      <c r="AB31" s="322" t="s">
        <v>152</v>
      </c>
      <c r="AC31" s="325" t="s">
        <v>68</v>
      </c>
      <c r="AD31" s="324">
        <v>46177</v>
      </c>
      <c r="AE31" s="167"/>
      <c r="AF31" s="178"/>
      <c r="AG31" s="318" t="str">
        <f t="shared" si="1"/>
        <v/>
      </c>
      <c r="AH31" s="167"/>
      <c r="AI31" s="183"/>
      <c r="AJ31" s="182"/>
      <c r="AK31" s="329"/>
      <c r="AL31" s="333"/>
      <c r="AM31" s="334"/>
      <c r="AN31" s="334"/>
      <c r="AO31" s="334" t="s">
        <v>253</v>
      </c>
      <c r="AP31" s="334"/>
    </row>
    <row r="32" spans="1:42" ht="105" customHeight="1">
      <c r="A32" s="312">
        <v>179</v>
      </c>
      <c r="B32" s="235">
        <v>46168</v>
      </c>
      <c r="C32" s="235">
        <v>46168</v>
      </c>
      <c r="D32" s="234" t="s">
        <v>139</v>
      </c>
      <c r="E32" s="234" t="s">
        <v>140</v>
      </c>
      <c r="F32" s="234" t="s">
        <v>434</v>
      </c>
      <c r="G32" s="234" t="s">
        <v>435</v>
      </c>
      <c r="H32" s="237" t="s">
        <v>75</v>
      </c>
      <c r="I32" s="234" t="s">
        <v>76</v>
      </c>
      <c r="J32" s="234" t="s">
        <v>427</v>
      </c>
      <c r="K32" s="236" t="s">
        <v>436</v>
      </c>
      <c r="L32" s="237" t="s">
        <v>184</v>
      </c>
      <c r="M32" s="235">
        <v>46387</v>
      </c>
      <c r="N32" s="237" t="s">
        <v>83</v>
      </c>
      <c r="O32" s="237" t="s">
        <v>145</v>
      </c>
      <c r="P32" s="237">
        <v>77769</v>
      </c>
      <c r="Q32" s="238" t="s">
        <v>79</v>
      </c>
      <c r="R32" s="234" t="s">
        <v>437</v>
      </c>
      <c r="S32" s="234" t="s">
        <v>438</v>
      </c>
      <c r="T32" s="234" t="s">
        <v>439</v>
      </c>
      <c r="U32" s="234" t="s">
        <v>82</v>
      </c>
      <c r="V32" s="239" t="s">
        <v>63</v>
      </c>
      <c r="W32" s="237" t="s">
        <v>57</v>
      </c>
      <c r="X32" s="231" t="s">
        <v>149</v>
      </c>
      <c r="Y32" s="231" t="s">
        <v>440</v>
      </c>
      <c r="Z32" s="242" t="s">
        <v>441</v>
      </c>
      <c r="AA32" s="314" t="s">
        <v>442</v>
      </c>
      <c r="AB32" s="322" t="s">
        <v>152</v>
      </c>
      <c r="AC32" s="325" t="s">
        <v>68</v>
      </c>
      <c r="AD32" s="324">
        <v>46177</v>
      </c>
      <c r="AE32" s="167" t="s">
        <v>2</v>
      </c>
      <c r="AF32" s="178">
        <v>46188</v>
      </c>
      <c r="AG32" s="318">
        <f t="shared" si="1"/>
        <v>46216</v>
      </c>
      <c r="AH32" s="167"/>
      <c r="AI32" s="183"/>
      <c r="AJ32" s="182"/>
      <c r="AK32" s="329"/>
      <c r="AL32" s="333"/>
      <c r="AM32" s="334"/>
      <c r="AN32" s="334"/>
      <c r="AO32" s="334" t="s">
        <v>191</v>
      </c>
      <c r="AP32" s="334"/>
    </row>
    <row r="33" spans="1:157" ht="105" customHeight="1">
      <c r="A33" s="312">
        <v>180</v>
      </c>
      <c r="B33" s="235">
        <v>46168</v>
      </c>
      <c r="C33" s="235">
        <v>46168</v>
      </c>
      <c r="D33" s="234" t="s">
        <v>139</v>
      </c>
      <c r="E33" s="234" t="s">
        <v>140</v>
      </c>
      <c r="F33" s="234" t="s">
        <v>443</v>
      </c>
      <c r="G33" s="234" t="s">
        <v>444</v>
      </c>
      <c r="H33" s="237" t="s">
        <v>75</v>
      </c>
      <c r="I33" s="234" t="s">
        <v>76</v>
      </c>
      <c r="J33" s="234" t="s">
        <v>427</v>
      </c>
      <c r="K33" s="236" t="s">
        <v>445</v>
      </c>
      <c r="L33" s="237" t="s">
        <v>184</v>
      </c>
      <c r="M33" s="235">
        <v>46387</v>
      </c>
      <c r="N33" s="237" t="s">
        <v>83</v>
      </c>
      <c r="O33" s="237" t="s">
        <v>145</v>
      </c>
      <c r="P33" s="237">
        <v>77769</v>
      </c>
      <c r="Q33" s="238" t="s">
        <v>79</v>
      </c>
      <c r="R33" s="234" t="s">
        <v>446</v>
      </c>
      <c r="S33" s="234" t="s">
        <v>447</v>
      </c>
      <c r="T33" s="234" t="s">
        <v>448</v>
      </c>
      <c r="U33" s="234" t="s">
        <v>130</v>
      </c>
      <c r="V33" s="239" t="s">
        <v>63</v>
      </c>
      <c r="W33" s="237" t="s">
        <v>57</v>
      </c>
      <c r="X33" s="231" t="s">
        <v>149</v>
      </c>
      <c r="Y33" s="231" t="s">
        <v>449</v>
      </c>
      <c r="Z33" s="242" t="s">
        <v>450</v>
      </c>
      <c r="AA33" s="314" t="s">
        <v>451</v>
      </c>
      <c r="AB33" s="322" t="s">
        <v>152</v>
      </c>
      <c r="AC33" s="325" t="s">
        <v>68</v>
      </c>
      <c r="AD33" s="324">
        <v>46177</v>
      </c>
      <c r="AE33" s="167"/>
      <c r="AF33" s="178"/>
      <c r="AG33" s="318" t="str">
        <f t="shared" si="1"/>
        <v/>
      </c>
      <c r="AH33" s="167"/>
      <c r="AI33" s="183"/>
      <c r="AJ33" s="182"/>
      <c r="AK33" s="329"/>
      <c r="AL33" s="333"/>
      <c r="AM33" s="334"/>
      <c r="AN33" s="334"/>
      <c r="AO33" s="334" t="s">
        <v>253</v>
      </c>
      <c r="AP33" s="334"/>
    </row>
    <row r="34" spans="1:157" ht="105" customHeight="1">
      <c r="A34" s="312">
        <v>226</v>
      </c>
      <c r="B34" s="235">
        <v>46182.696863425903</v>
      </c>
      <c r="C34" s="235">
        <v>46182.705856481502</v>
      </c>
      <c r="D34" s="234" t="s">
        <v>237</v>
      </c>
      <c r="E34" s="234" t="s">
        <v>238</v>
      </c>
      <c r="F34" s="234" t="s">
        <v>452</v>
      </c>
      <c r="G34" s="234" t="s">
        <v>453</v>
      </c>
      <c r="H34" s="237" t="s">
        <v>158</v>
      </c>
      <c r="I34" s="234" t="s">
        <v>91</v>
      </c>
      <c r="J34" s="234" t="s">
        <v>454</v>
      </c>
      <c r="K34" s="236" t="s">
        <v>455</v>
      </c>
      <c r="L34" s="237" t="s">
        <v>199</v>
      </c>
      <c r="M34" s="235">
        <v>46198</v>
      </c>
      <c r="N34" s="237" t="s">
        <v>57</v>
      </c>
      <c r="O34" s="237">
        <v>0</v>
      </c>
      <c r="P34" s="237">
        <v>0</v>
      </c>
      <c r="Q34" s="238" t="s">
        <v>79</v>
      </c>
      <c r="R34" s="234" t="s">
        <v>456</v>
      </c>
      <c r="S34" s="234" t="s">
        <v>457</v>
      </c>
      <c r="T34" s="234" t="s">
        <v>458</v>
      </c>
      <c r="U34" s="234" t="s">
        <v>130</v>
      </c>
      <c r="V34" s="239" t="s">
        <v>248</v>
      </c>
      <c r="W34" s="237" t="s">
        <v>57</v>
      </c>
      <c r="X34" s="231" t="s">
        <v>413</v>
      </c>
      <c r="Y34" s="231" t="s">
        <v>459</v>
      </c>
      <c r="Z34" s="242" t="s">
        <v>460</v>
      </c>
      <c r="AA34" s="314">
        <v>1.1000000000000001</v>
      </c>
      <c r="AB34" s="322" t="s">
        <v>251</v>
      </c>
      <c r="AC34" s="325" t="s">
        <v>68</v>
      </c>
      <c r="AD34" s="324">
        <v>46183</v>
      </c>
      <c r="AE34" s="167"/>
      <c r="AF34" s="178"/>
      <c r="AG34" s="318" t="str">
        <f>IF(AD34="","Pendiente fecha de asignación de LD",IF(AF34="","",WORKDAY(AF34,IF(AE34="Alta",20,IF(AE34="Media",10,5)))))</f>
        <v/>
      </c>
      <c r="AH34" s="167"/>
      <c r="AI34" s="183"/>
      <c r="AJ34" s="182"/>
      <c r="AK34" s="329"/>
      <c r="AL34" s="333"/>
      <c r="AM34" s="334"/>
      <c r="AN34" s="334"/>
      <c r="AO34" s="334" t="s">
        <v>253</v>
      </c>
      <c r="AP34" s="334"/>
    </row>
    <row r="35" spans="1:157" ht="105" customHeight="1">
      <c r="A35" s="312">
        <v>144</v>
      </c>
      <c r="B35" s="235">
        <v>46153.673692129603</v>
      </c>
      <c r="C35" s="235">
        <v>46153.701365740701</v>
      </c>
      <c r="D35" s="234" t="s">
        <v>124</v>
      </c>
      <c r="E35" s="234" t="s">
        <v>125</v>
      </c>
      <c r="F35" s="234" t="s">
        <v>461</v>
      </c>
      <c r="G35" s="234" t="s">
        <v>462</v>
      </c>
      <c r="H35" s="237" t="s">
        <v>158</v>
      </c>
      <c r="I35" s="234" t="s">
        <v>393</v>
      </c>
      <c r="J35" s="234" t="s">
        <v>394</v>
      </c>
      <c r="K35" s="236" t="s">
        <v>463</v>
      </c>
      <c r="L35" s="237" t="s">
        <v>161</v>
      </c>
      <c r="M35" s="235">
        <v>46185</v>
      </c>
      <c r="N35" s="237" t="s">
        <v>57</v>
      </c>
      <c r="O35" s="237">
        <v>0</v>
      </c>
      <c r="P35" s="237"/>
      <c r="Q35" s="238" t="s">
        <v>79</v>
      </c>
      <c r="R35" s="234" t="s">
        <v>464</v>
      </c>
      <c r="S35" s="234" t="s">
        <v>465</v>
      </c>
      <c r="T35" s="234" t="s">
        <v>466</v>
      </c>
      <c r="U35" s="234" t="s">
        <v>82</v>
      </c>
      <c r="V35" s="239" t="s">
        <v>63</v>
      </c>
      <c r="W35" s="237" t="s">
        <v>188</v>
      </c>
      <c r="X35" s="231" t="s">
        <v>166</v>
      </c>
      <c r="Y35" s="231" t="s">
        <v>467</v>
      </c>
      <c r="Z35" s="242" t="s">
        <v>468</v>
      </c>
      <c r="AA35" s="314">
        <v>1.05</v>
      </c>
      <c r="AB35" s="322" t="s">
        <v>133</v>
      </c>
      <c r="AC35" s="325" t="s">
        <v>68</v>
      </c>
      <c r="AD35" s="324">
        <v>46183</v>
      </c>
      <c r="AE35" s="167" t="s">
        <v>3</v>
      </c>
      <c r="AF35" s="178">
        <v>46195</v>
      </c>
      <c r="AG35" s="318"/>
      <c r="AH35" s="167"/>
      <c r="AI35" s="183"/>
      <c r="AJ35" s="182"/>
      <c r="AK35" s="329"/>
      <c r="AL35" s="333"/>
      <c r="AM35" s="334"/>
      <c r="AN35" s="334"/>
      <c r="AO35" s="334" t="s">
        <v>253</v>
      </c>
      <c r="AP35" s="334"/>
      <c r="AQ35" s="187"/>
      <c r="AR35" s="8"/>
      <c r="AS35" s="8"/>
      <c r="AT35" s="8"/>
      <c r="AU35" s="8"/>
      <c r="AV35" s="8"/>
      <c r="AW35" s="8"/>
      <c r="AX35" s="8"/>
      <c r="AY35" s="8"/>
      <c r="AZ35" s="8"/>
      <c r="BA35" s="8"/>
      <c r="BB35" s="8"/>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row>
    <row r="36" spans="1:157" ht="105" customHeight="1">
      <c r="A36" s="312">
        <v>228</v>
      </c>
      <c r="B36" s="235">
        <v>46183.504374999997</v>
      </c>
      <c r="C36" s="235">
        <v>46183.728298611102</v>
      </c>
      <c r="D36" s="234" t="s">
        <v>469</v>
      </c>
      <c r="E36" s="234" t="s">
        <v>470</v>
      </c>
      <c r="F36" s="234" t="s">
        <v>471</v>
      </c>
      <c r="G36" s="234" t="s">
        <v>472</v>
      </c>
      <c r="H36" s="237" t="s">
        <v>75</v>
      </c>
      <c r="I36" s="234" t="s">
        <v>197</v>
      </c>
      <c r="J36" s="234" t="s">
        <v>473</v>
      </c>
      <c r="K36" s="236" t="s">
        <v>474</v>
      </c>
      <c r="L36" s="237" t="s">
        <v>198</v>
      </c>
      <c r="M36" s="235">
        <v>46183</v>
      </c>
      <c r="N36" s="237" t="s">
        <v>57</v>
      </c>
      <c r="O36" s="237">
        <v>0</v>
      </c>
      <c r="P36" s="237">
        <v>0</v>
      </c>
      <c r="Q36" s="238" t="s">
        <v>79</v>
      </c>
      <c r="R36" s="234" t="s">
        <v>475</v>
      </c>
      <c r="S36" s="234" t="s">
        <v>476</v>
      </c>
      <c r="T36" s="234" t="s">
        <v>477</v>
      </c>
      <c r="U36" s="234" t="s">
        <v>62</v>
      </c>
      <c r="V36" s="239" t="s">
        <v>63</v>
      </c>
      <c r="W36" s="237" t="s">
        <v>83</v>
      </c>
      <c r="X36" s="231" t="s">
        <v>84</v>
      </c>
      <c r="Y36" s="231" t="s">
        <v>478</v>
      </c>
      <c r="Z36" s="242" t="s">
        <v>479</v>
      </c>
      <c r="AA36" s="314">
        <v>1.2</v>
      </c>
      <c r="AB36" s="322" t="s">
        <v>480</v>
      </c>
      <c r="AC36" s="325" t="s">
        <v>68</v>
      </c>
      <c r="AD36" s="324">
        <v>46189</v>
      </c>
      <c r="AE36" s="167"/>
      <c r="AF36" s="178"/>
      <c r="AG36" s="318" t="str">
        <f t="shared" ref="AG36" si="2">IF(AD36="","Pendiente fecha de asignación de LD",IF(AF36="","",WORKDAY(AF36,IF(AE36="Alta",20,IF(AE36="Media",10,5)))))</f>
        <v/>
      </c>
      <c r="AH36" s="167"/>
      <c r="AI36" s="183"/>
      <c r="AJ36" s="182"/>
      <c r="AK36" s="329"/>
      <c r="AL36" s="333"/>
      <c r="AM36" s="334"/>
      <c r="AN36" s="334"/>
      <c r="AO36" s="334" t="s">
        <v>253</v>
      </c>
      <c r="AP36" s="334"/>
    </row>
    <row r="37" spans="1:157" ht="141.75" customHeight="1">
      <c r="A37" s="312">
        <v>229</v>
      </c>
      <c r="B37" s="235">
        <v>46183.674386574101</v>
      </c>
      <c r="C37" s="235">
        <v>46183.766238425902</v>
      </c>
      <c r="D37" s="234" t="s">
        <v>481</v>
      </c>
      <c r="E37" s="234" t="s">
        <v>482</v>
      </c>
      <c r="F37" s="234" t="s">
        <v>483</v>
      </c>
      <c r="G37" s="234" t="s">
        <v>484</v>
      </c>
      <c r="H37" s="234" t="s">
        <v>158</v>
      </c>
      <c r="I37" s="237" t="s">
        <v>197</v>
      </c>
      <c r="J37" s="234" t="s">
        <v>485</v>
      </c>
      <c r="K37" s="234" t="s">
        <v>486</v>
      </c>
      <c r="L37" s="237" t="s">
        <v>161</v>
      </c>
      <c r="M37" s="235">
        <v>46230</v>
      </c>
      <c r="N37" s="235" t="s">
        <v>83</v>
      </c>
      <c r="O37" s="237" t="s">
        <v>487</v>
      </c>
      <c r="P37" s="237" t="s">
        <v>488</v>
      </c>
      <c r="Q37" s="237" t="s">
        <v>79</v>
      </c>
      <c r="R37" s="238" t="s">
        <v>489</v>
      </c>
      <c r="S37" s="234" t="s">
        <v>490</v>
      </c>
      <c r="T37" s="234" t="s">
        <v>491</v>
      </c>
      <c r="U37" s="234" t="s">
        <v>130</v>
      </c>
      <c r="V37" s="234" t="s">
        <v>248</v>
      </c>
      <c r="W37" s="239" t="s">
        <v>57</v>
      </c>
      <c r="X37" s="237" t="s">
        <v>64</v>
      </c>
      <c r="Y37" s="231" t="s">
        <v>492</v>
      </c>
      <c r="Z37" s="231" t="s">
        <v>493</v>
      </c>
      <c r="AA37" s="242">
        <v>2.9</v>
      </c>
      <c r="AB37" s="322" t="s">
        <v>390</v>
      </c>
      <c r="AC37" s="325" t="s">
        <v>68</v>
      </c>
      <c r="AD37" s="324">
        <v>46189</v>
      </c>
      <c r="AE37" s="167"/>
      <c r="AF37" s="178"/>
      <c r="AG37" s="318" t="str">
        <f t="shared" ref="AG37:AG39" si="3">IF(AD37="","Pendiente fecha de asignación de LD",IF(AF37="","",WORKDAY(AF37,IF(AE37="Alta",20,IF(AE37="Media",10,5)))))</f>
        <v/>
      </c>
      <c r="AH37" s="167"/>
      <c r="AI37" s="183"/>
      <c r="AJ37" s="182"/>
      <c r="AK37" s="329"/>
      <c r="AL37" s="333"/>
      <c r="AM37" s="334"/>
      <c r="AN37" s="334"/>
      <c r="AO37" s="334" t="s">
        <v>253</v>
      </c>
      <c r="AP37" s="334"/>
    </row>
    <row r="38" spans="1:157" ht="86.25" customHeight="1">
      <c r="A38" s="312">
        <v>49</v>
      </c>
      <c r="B38" s="235">
        <v>46069.613194444442</v>
      </c>
      <c r="C38" s="235">
        <v>46069.666666666657</v>
      </c>
      <c r="D38" s="234" t="s">
        <v>494</v>
      </c>
      <c r="E38" s="234" t="s">
        <v>495</v>
      </c>
      <c r="F38" s="234" t="s">
        <v>496</v>
      </c>
      <c r="G38" s="234" t="s">
        <v>497</v>
      </c>
      <c r="H38" s="234" t="s">
        <v>214</v>
      </c>
      <c r="I38" s="237" t="s">
        <v>197</v>
      </c>
      <c r="J38" s="234" t="s">
        <v>498</v>
      </c>
      <c r="K38" s="236"/>
      <c r="L38" s="237" t="s">
        <v>56</v>
      </c>
      <c r="M38" s="235">
        <v>46295</v>
      </c>
      <c r="N38" s="235" t="s">
        <v>57</v>
      </c>
      <c r="O38" s="237" t="s">
        <v>499</v>
      </c>
      <c r="P38" s="237"/>
      <c r="Q38" s="237" t="s">
        <v>79</v>
      </c>
      <c r="R38" s="238" t="s">
        <v>500</v>
      </c>
      <c r="S38" s="234" t="s">
        <v>501</v>
      </c>
      <c r="T38" s="234" t="s">
        <v>502</v>
      </c>
      <c r="U38" s="234" t="s">
        <v>62</v>
      </c>
      <c r="V38" s="234" t="s">
        <v>503</v>
      </c>
      <c r="W38" s="239" t="s">
        <v>188</v>
      </c>
      <c r="X38" s="237" t="s">
        <v>84</v>
      </c>
      <c r="Y38" s="231" t="s">
        <v>504</v>
      </c>
      <c r="Z38" s="231" t="s">
        <v>505</v>
      </c>
      <c r="AA38" s="242">
        <v>0.9</v>
      </c>
      <c r="AB38" s="322" t="s">
        <v>506</v>
      </c>
      <c r="AC38" s="325" t="s">
        <v>68</v>
      </c>
      <c r="AD38" s="324">
        <v>46170</v>
      </c>
      <c r="AE38" s="167"/>
      <c r="AF38" s="178"/>
      <c r="AG38" s="318"/>
      <c r="AH38" s="167"/>
      <c r="AI38" s="183"/>
      <c r="AJ38" s="182"/>
      <c r="AK38" s="329"/>
      <c r="AL38" s="333"/>
      <c r="AM38" s="334"/>
      <c r="AN38" s="334"/>
      <c r="AO38" s="334" t="s">
        <v>253</v>
      </c>
      <c r="AP38" s="334" t="s">
        <v>507</v>
      </c>
      <c r="AQ38" s="8"/>
      <c r="AR38" s="8"/>
      <c r="AS38" s="8"/>
      <c r="AT38" s="8"/>
      <c r="AU38" s="8"/>
      <c r="AV38" s="8"/>
      <c r="AW38" s="8"/>
      <c r="AX38" s="8"/>
      <c r="AY38" s="8"/>
      <c r="AZ38" s="8"/>
      <c r="BA38" s="8"/>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row>
    <row r="39" spans="1:157" ht="15" customHeight="1">
      <c r="A39" s="312">
        <v>230</v>
      </c>
      <c r="B39" s="235">
        <v>46184.483460648102</v>
      </c>
      <c r="C39" s="235">
        <v>46185.651273148098</v>
      </c>
      <c r="D39" s="234" t="s">
        <v>124</v>
      </c>
      <c r="E39" s="234" t="s">
        <v>125</v>
      </c>
      <c r="F39" s="234" t="s">
        <v>508</v>
      </c>
      <c r="G39" s="234" t="s">
        <v>509</v>
      </c>
      <c r="H39" s="234" t="s">
        <v>158</v>
      </c>
      <c r="I39" s="237" t="s">
        <v>393</v>
      </c>
      <c r="J39" s="234" t="s">
        <v>510</v>
      </c>
      <c r="K39" s="236" t="s">
        <v>511</v>
      </c>
      <c r="L39" s="237" t="s">
        <v>161</v>
      </c>
      <c r="M39" s="235">
        <v>46190</v>
      </c>
      <c r="N39" s="235" t="s">
        <v>57</v>
      </c>
      <c r="O39" s="237">
        <v>0</v>
      </c>
      <c r="P39" s="237">
        <v>0</v>
      </c>
      <c r="Q39" s="237" t="s">
        <v>396</v>
      </c>
      <c r="R39" s="238" t="s">
        <v>512</v>
      </c>
      <c r="S39" s="234" t="s">
        <v>513</v>
      </c>
      <c r="T39" s="234" t="s">
        <v>514</v>
      </c>
      <c r="U39" s="234" t="s">
        <v>82</v>
      </c>
      <c r="V39" s="234" t="s">
        <v>165</v>
      </c>
      <c r="W39" s="239" t="s">
        <v>57</v>
      </c>
      <c r="X39" s="237" t="s">
        <v>84</v>
      </c>
      <c r="Y39" s="231" t="s">
        <v>515</v>
      </c>
      <c r="Z39" s="231" t="s">
        <v>516</v>
      </c>
      <c r="AA39" s="242">
        <v>2.8</v>
      </c>
      <c r="AB39" s="322" t="s">
        <v>133</v>
      </c>
      <c r="AC39" s="325" t="s">
        <v>68</v>
      </c>
      <c r="AD39" s="324">
        <v>46189</v>
      </c>
      <c r="AE39" s="167"/>
      <c r="AF39" s="178"/>
      <c r="AG39" s="318" t="str">
        <f t="shared" si="3"/>
        <v/>
      </c>
      <c r="AH39" s="167"/>
      <c r="AI39" s="183"/>
      <c r="AJ39" s="182"/>
      <c r="AK39" s="329"/>
      <c r="AL39" s="333"/>
      <c r="AM39" s="334"/>
      <c r="AN39" s="334"/>
      <c r="AO39" s="334" t="s">
        <v>253</v>
      </c>
      <c r="AP39" s="334"/>
    </row>
    <row r="40" spans="1:157" ht="15" customHeight="1">
      <c r="A40" s="312">
        <v>171</v>
      </c>
      <c r="B40" s="235">
        <v>46167.515682870398</v>
      </c>
      <c r="C40" s="235">
        <v>46167.642662036997</v>
      </c>
      <c r="D40" s="234" t="s">
        <v>179</v>
      </c>
      <c r="E40" s="234" t="s">
        <v>180</v>
      </c>
      <c r="F40" s="234" t="s">
        <v>517</v>
      </c>
      <c r="G40" s="234" t="s">
        <v>518</v>
      </c>
      <c r="H40" s="234" t="s">
        <v>214</v>
      </c>
      <c r="I40" s="237" t="s">
        <v>159</v>
      </c>
      <c r="J40" s="234" t="s">
        <v>291</v>
      </c>
      <c r="K40" s="236" t="s">
        <v>519</v>
      </c>
      <c r="L40" s="237" t="s">
        <v>184</v>
      </c>
      <c r="M40" s="235">
        <v>46203</v>
      </c>
      <c r="N40" s="235" t="s">
        <v>57</v>
      </c>
      <c r="O40" s="237">
        <v>0</v>
      </c>
      <c r="P40" s="237">
        <v>0</v>
      </c>
      <c r="Q40" s="237" t="s">
        <v>79</v>
      </c>
      <c r="R40" s="238" t="s">
        <v>520</v>
      </c>
      <c r="S40" s="234" t="s">
        <v>521</v>
      </c>
      <c r="T40" s="234" t="s">
        <v>522</v>
      </c>
      <c r="U40" s="234" t="s">
        <v>82</v>
      </c>
      <c r="V40" s="234" t="s">
        <v>165</v>
      </c>
      <c r="W40" s="239" t="s">
        <v>57</v>
      </c>
      <c r="X40" s="237" t="s">
        <v>84</v>
      </c>
      <c r="Y40" s="231" t="s">
        <v>523</v>
      </c>
      <c r="Z40" s="231" t="s">
        <v>524</v>
      </c>
      <c r="AA40" s="242">
        <v>1.3</v>
      </c>
      <c r="AB40" s="322" t="s">
        <v>251</v>
      </c>
      <c r="AC40" s="325" t="s">
        <v>68</v>
      </c>
      <c r="AD40" s="324">
        <v>46188</v>
      </c>
      <c r="AE40" s="167" t="s">
        <v>2</v>
      </c>
      <c r="AF40" s="178"/>
      <c r="AG40" s="318" t="s">
        <v>525</v>
      </c>
      <c r="AH40" s="167"/>
      <c r="AI40" s="183"/>
      <c r="AJ40" s="182"/>
      <c r="AK40" s="329"/>
      <c r="AL40" s="333"/>
      <c r="AM40" s="334"/>
      <c r="AN40" s="334"/>
      <c r="AO40" s="334" t="s">
        <v>69</v>
      </c>
      <c r="AP40" s="334" t="s">
        <v>526</v>
      </c>
    </row>
    <row r="41" spans="1:157" ht="15" customHeight="1">
      <c r="A41" s="312">
        <v>172</v>
      </c>
      <c r="B41" s="235">
        <v>46167.646388888897</v>
      </c>
      <c r="C41" s="235">
        <v>46167.6551273148</v>
      </c>
      <c r="D41" s="234" t="s">
        <v>179</v>
      </c>
      <c r="E41" s="234" t="s">
        <v>180</v>
      </c>
      <c r="F41" s="234" t="s">
        <v>527</v>
      </c>
      <c r="G41" s="234" t="s">
        <v>528</v>
      </c>
      <c r="H41" s="234" t="s">
        <v>52</v>
      </c>
      <c r="I41" s="237" t="s">
        <v>159</v>
      </c>
      <c r="J41" s="234" t="s">
        <v>529</v>
      </c>
      <c r="K41" s="236" t="s">
        <v>530</v>
      </c>
      <c r="L41" s="237" t="s">
        <v>184</v>
      </c>
      <c r="M41" s="235">
        <v>46203</v>
      </c>
      <c r="N41" s="235" t="s">
        <v>57</v>
      </c>
      <c r="O41" s="237"/>
      <c r="P41" s="237">
        <v>0</v>
      </c>
      <c r="Q41" s="237" t="s">
        <v>79</v>
      </c>
      <c r="R41" s="238" t="s">
        <v>531</v>
      </c>
      <c r="S41" s="234" t="s">
        <v>532</v>
      </c>
      <c r="T41" s="234" t="s">
        <v>522</v>
      </c>
      <c r="U41" s="234" t="s">
        <v>82</v>
      </c>
      <c r="V41" s="234" t="s">
        <v>63</v>
      </c>
      <c r="W41" s="239" t="s">
        <v>57</v>
      </c>
      <c r="X41" s="237" t="s">
        <v>84</v>
      </c>
      <c r="Y41" s="231" t="s">
        <v>533</v>
      </c>
      <c r="Z41" s="231" t="s">
        <v>534</v>
      </c>
      <c r="AA41" s="242">
        <v>1.2</v>
      </c>
      <c r="AB41" s="322" t="s">
        <v>251</v>
      </c>
      <c r="AC41" s="325" t="s">
        <v>68</v>
      </c>
      <c r="AD41" s="324">
        <v>46188</v>
      </c>
      <c r="AE41" s="167" t="s">
        <v>2</v>
      </c>
      <c r="AF41" s="178"/>
      <c r="AG41" s="318" t="s">
        <v>525</v>
      </c>
      <c r="AH41" s="167"/>
      <c r="AI41" s="183"/>
      <c r="AJ41" s="182"/>
      <c r="AK41" s="329"/>
      <c r="AL41" s="333"/>
      <c r="AM41" s="334"/>
      <c r="AN41" s="334"/>
      <c r="AO41" s="334" t="s">
        <v>69</v>
      </c>
      <c r="AP41" s="334" t="s">
        <v>526</v>
      </c>
    </row>
  </sheetData>
  <sheetProtection algorithmName="SHA-512" hashValue="GD3J9zDPGVti/bIz83oUOo2f+X/P+lxpDixyasmDiIlMz0hDreRTiiCNOfGmEnyjpdOtn2cwG9ah5WGVkW05sA==" saltValue="mwTVMyQ+LsMTe7csqh5apg=="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41" xr:uid="{E2995521-A973-4EBC-930E-5DF1CF46E120}"/>
  <dataValidations count="2">
    <dataValidation type="list" allowBlank="1" showInputMessage="1" showErrorMessage="1" sqref="AE2:AE33" xr:uid="{03B2C43F-7577-4612-8204-C954FFD6DC72}">
      <formula1>ComplejidadEstimación</formula1>
    </dataValidation>
    <dataValidation type="list" allowBlank="1" showInputMessage="1" showErrorMessage="1" errorTitle="Valor no válido" error="Por favor seleccione una opción de la lista: Pendiente, En proceso, Finalizado o Incompleto" sqref="AO2:AO41" xr:uid="{B4603098-F218-4A11-A988-691ADB4C14CC}">
      <formula1>"Pendiente,En proceso,Finalizado,Incompleto"</formula1>
    </dataValidation>
  </dataValidations>
  <hyperlinks>
    <hyperlink ref="Z4" r:id="rId1" xr:uid="{3ACCBAE5-90BC-41E6-B8B7-9FF7D754FBF3}"/>
    <hyperlink ref="Z2" r:id="rId2" display="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 xr:uid="{405E6DB8-CAD6-4635-9A1D-014E109E04F5}"/>
    <hyperlink ref="Z7" r:id="rId3" display="https://educorpperu-my.sharepoint.com/personal/diana_zapata_laureate_pe1/_layouts/15/Doc.aspx?sourcedoc=%7BA0EE780B-D66F-42EC-83A6-4E699CDA9EE9%7D&amp;file=Solicitud%20de%20requerimientos%20Idea%20nueva%20y%20mejo_Angela%20Lucano%20Carran%203.pptx&amp;action=edit&amp;mobileredirect=true" xr:uid="{595B1D7C-829E-4492-8890-822E69DEF1D5}"/>
    <hyperlink ref="Z8" r:id="rId4"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7" r:id="rId5" display="https://educorpperu-my.sharepoint.com/personal/diana_zapata_laureate_pe1/Documents/Aplicaciones/Microsoft%20Forms/REGISTRO%20DE%20INICIATIVAS%20-%20GESTI%C3%93N%20DE%20LA%20DEMANDA%20(2%201/Pregunta/RE_%20Requerimiento%20-%20Soporte%20para%20despliegue%20d_Angela%20Lucano%20Carran.pdf" xr:uid="{64B5AC7D-C539-489D-9433-ED8920B83A00}"/>
    <hyperlink ref="K8" r:id="rId6"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Z11" r:id="rId7"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s>
  <pageMargins left="0.7" right="0.7" top="0.75" bottom="0.75" header="0.3" footer="0.3"/>
  <pageSetup paperSize="9" orientation="portrait" r:id="rId8"/>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3F50-0C44-4A24-829D-B96F903112B2}">
  <sheetPr filterMode="1">
    <tabColor theme="5" tint="-0.249977111117893"/>
  </sheetPr>
  <dimension ref="A1:BA79"/>
  <sheetViews>
    <sheetView zoomScaleNormal="100" workbookViewId="0">
      <pane xSplit="6" ySplit="1" topLeftCell="AO2" activePane="bottomRight" state="frozen"/>
      <selection pane="bottomRight" activeCell="AP10" sqref="AP10"/>
      <selection pane="bottomLeft" activeCell="A8" sqref="A8"/>
      <selection pane="topRight" activeCell="H1" sqref="H1"/>
    </sheetView>
  </sheetViews>
  <sheetFormatPr defaultColWidth="9.140625" defaultRowHeight="15" customHeight="1"/>
  <cols>
    <col min="1" max="1" width="16.140625" style="162" customWidth="1"/>
    <col min="2" max="3" width="16.140625" style="163" hidden="1" customWidth="1"/>
    <col min="4" max="4" width="16.140625" style="349" hidden="1" customWidth="1"/>
    <col min="5" max="5" width="16.140625" style="349" customWidth="1"/>
    <col min="6" max="6" width="34.42578125" style="349" customWidth="1"/>
    <col min="7" max="7" width="62.140625" style="162" customWidth="1"/>
    <col min="8" max="9" width="40.42578125" style="162" customWidth="1"/>
    <col min="10" max="10" width="56.140625" style="162" customWidth="1"/>
    <col min="11" max="12" width="40.42578125" style="162" customWidth="1"/>
    <col min="13" max="13" width="40.42578125" style="163" customWidth="1"/>
    <col min="14" max="15" width="40.42578125" style="162" customWidth="1"/>
    <col min="16" max="16" width="12" style="162" customWidth="1"/>
    <col min="17" max="17" width="30" style="162" customWidth="1"/>
    <col min="18" max="18" width="38" style="162" customWidth="1"/>
    <col min="19" max="19" width="44.5703125" style="306" customWidth="1"/>
    <col min="20" max="22" width="30" style="162" customWidth="1"/>
    <col min="23" max="23" width="11.85546875" style="162" customWidth="1"/>
    <col min="24" max="24" width="28.28515625" style="162" customWidth="1"/>
    <col min="25" max="25" width="65.140625" style="162" customWidth="1"/>
    <col min="26" max="26" width="30" style="162" customWidth="1"/>
    <col min="27" max="27" width="9.140625" style="368" customWidth="1"/>
    <col min="28" max="28" width="16" style="327" customWidth="1"/>
    <col min="29" max="29" width="26.42578125" style="162" customWidth="1"/>
    <col min="30" max="31" width="33.140625" style="162" customWidth="1"/>
    <col min="32" max="33" width="33.140625" style="163" customWidth="1"/>
    <col min="34" max="34" width="33.140625" style="162" customWidth="1"/>
    <col min="35" max="35" width="33.140625" style="365" customWidth="1"/>
    <col min="36" max="36" width="33.140625" style="366" customWidth="1"/>
    <col min="37" max="37" width="33.140625" style="349" customWidth="1"/>
    <col min="38" max="38" width="33.140625" style="162" customWidth="1"/>
    <col min="39" max="40" width="33.140625" style="349" customWidth="1"/>
    <col min="41" max="41" width="24.140625" style="162" customWidth="1"/>
    <col min="42" max="42" width="36.140625" style="349" customWidth="1"/>
    <col min="43" max="43" width="27.85546875" style="65" customWidth="1"/>
    <col min="44" max="44" width="14.7109375" style="65" customWidth="1"/>
    <col min="45" max="45" width="18" style="65" customWidth="1"/>
    <col min="46" max="46" width="20.28515625" style="373" customWidth="1"/>
    <col min="47" max="47" width="23.5703125" style="65" customWidth="1"/>
    <col min="48" max="48" width="22" style="65" customWidth="1"/>
    <col min="49" max="49" width="15.140625" style="65" customWidth="1"/>
    <col min="50" max="50" width="18" style="65" customWidth="1"/>
    <col min="51" max="51" width="21.85546875" style="65" customWidth="1"/>
    <col min="52" max="52" width="20.7109375" style="65" customWidth="1"/>
    <col min="53" max="53" width="18.42578125" style="65" customWidth="1"/>
    <col min="54" max="16381" width="9.140625" style="10"/>
    <col min="16382" max="16382" width="9.140625" style="10" bestFit="1" customWidth="1"/>
    <col min="16383" max="16384" width="9.140625" style="10"/>
  </cols>
  <sheetData>
    <row r="1" spans="1:53" s="59" customFormat="1" ht="31.5" customHeight="1">
      <c r="A1" s="159" t="s">
        <v>5</v>
      </c>
      <c r="B1" s="160" t="s">
        <v>6</v>
      </c>
      <c r="C1" s="160" t="s">
        <v>7</v>
      </c>
      <c r="D1" s="159" t="s">
        <v>8</v>
      </c>
      <c r="E1" s="159" t="s">
        <v>9</v>
      </c>
      <c r="F1" s="159" t="s">
        <v>10</v>
      </c>
      <c r="G1" s="159" t="s">
        <v>11</v>
      </c>
      <c r="H1" s="159" t="s">
        <v>12</v>
      </c>
      <c r="I1" s="159" t="s">
        <v>13</v>
      </c>
      <c r="J1" s="159" t="s">
        <v>14</v>
      </c>
      <c r="K1" s="159" t="s">
        <v>170</v>
      </c>
      <c r="L1" s="159" t="s">
        <v>16</v>
      </c>
      <c r="M1" s="159" t="s">
        <v>17</v>
      </c>
      <c r="N1" s="159" t="s">
        <v>18</v>
      </c>
      <c r="O1" s="159" t="s">
        <v>171</v>
      </c>
      <c r="P1" s="159" t="s">
        <v>20</v>
      </c>
      <c r="Q1" s="159" t="s">
        <v>21</v>
      </c>
      <c r="R1" s="159" t="s">
        <v>22</v>
      </c>
      <c r="S1" s="307" t="s">
        <v>23</v>
      </c>
      <c r="T1" s="159" t="s">
        <v>24</v>
      </c>
      <c r="U1" s="159" t="s">
        <v>172</v>
      </c>
      <c r="V1" s="159" t="s">
        <v>26</v>
      </c>
      <c r="W1" s="159" t="s">
        <v>173</v>
      </c>
      <c r="X1" s="233" t="s">
        <v>28</v>
      </c>
      <c r="Y1" s="159" t="s">
        <v>29</v>
      </c>
      <c r="Z1" s="159" t="s">
        <v>174</v>
      </c>
      <c r="AA1" s="367" t="s">
        <v>32</v>
      </c>
      <c r="AB1" s="319" t="s">
        <v>33</v>
      </c>
      <c r="AC1" s="320" t="s">
        <v>34</v>
      </c>
      <c r="AD1" s="321" t="s">
        <v>35</v>
      </c>
      <c r="AE1" s="208" t="s">
        <v>36</v>
      </c>
      <c r="AF1" s="209" t="s">
        <v>37</v>
      </c>
      <c r="AG1" s="209" t="s">
        <v>38</v>
      </c>
      <c r="AH1" s="208" t="s">
        <v>39</v>
      </c>
      <c r="AI1" s="210" t="s">
        <v>175</v>
      </c>
      <c r="AJ1" s="211" t="s">
        <v>176</v>
      </c>
      <c r="AK1" s="208" t="s">
        <v>177</v>
      </c>
      <c r="AL1" s="208" t="s">
        <v>43</v>
      </c>
      <c r="AM1" s="208" t="s">
        <v>44</v>
      </c>
      <c r="AN1" s="208" t="s">
        <v>178</v>
      </c>
      <c r="AO1" s="208" t="s">
        <v>45</v>
      </c>
      <c r="AP1" s="208" t="s">
        <v>46</v>
      </c>
      <c r="AQ1" s="369" t="s">
        <v>535</v>
      </c>
      <c r="AR1" s="369" t="s">
        <v>536</v>
      </c>
      <c r="AS1" s="369" t="s">
        <v>537</v>
      </c>
      <c r="AT1" s="370" t="s">
        <v>538</v>
      </c>
      <c r="AU1" s="354" t="s">
        <v>39</v>
      </c>
      <c r="AV1" s="355" t="s">
        <v>176</v>
      </c>
      <c r="AW1" s="354" t="s">
        <v>177</v>
      </c>
      <c r="AX1" s="354" t="s">
        <v>43</v>
      </c>
      <c r="AY1" s="354" t="s">
        <v>539</v>
      </c>
      <c r="AZ1" s="354" t="s">
        <v>540</v>
      </c>
      <c r="BA1" s="354" t="s">
        <v>46</v>
      </c>
    </row>
    <row r="2" spans="1:53" ht="15" customHeight="1">
      <c r="AQ2" s="174"/>
      <c r="AR2" s="174"/>
      <c r="AS2" s="357"/>
      <c r="AT2" s="371"/>
      <c r="AU2" s="174"/>
      <c r="AV2" s="174"/>
      <c r="AW2" s="174"/>
      <c r="AX2" s="174"/>
      <c r="AY2" s="174"/>
      <c r="AZ2" s="174"/>
      <c r="BA2" s="174"/>
    </row>
    <row r="3" spans="1:53" ht="15" customHeight="1">
      <c r="AQ3" s="174"/>
      <c r="AR3" s="174"/>
      <c r="AS3" s="357"/>
      <c r="AT3" s="371" t="str">
        <f t="shared" ref="AT3:AT66" si="0">IF(OR(AR3="",AS3=""),"",TEXT(WORKDAY(AS3,IF(AR3="Baja",3,IF(AR3="Media",5,0))),"dd-mmm"))</f>
        <v/>
      </c>
      <c r="AU3" s="174"/>
      <c r="AV3" s="174"/>
      <c r="AW3" s="174"/>
      <c r="AX3" s="174"/>
      <c r="AY3" s="174"/>
      <c r="AZ3" s="174"/>
      <c r="BA3" s="174"/>
    </row>
    <row r="4" spans="1:53" ht="15" customHeight="1">
      <c r="AQ4" s="174"/>
      <c r="AR4" s="174"/>
      <c r="AS4" s="357"/>
      <c r="AT4" s="371" t="str">
        <f t="shared" si="0"/>
        <v/>
      </c>
      <c r="AU4" s="174"/>
      <c r="AV4" s="174"/>
      <c r="AW4" s="174"/>
      <c r="AX4" s="174"/>
      <c r="AY4" s="174"/>
      <c r="AZ4" s="174"/>
      <c r="BA4" s="174"/>
    </row>
    <row r="5" spans="1:53" ht="15" customHeight="1">
      <c r="AQ5" s="174"/>
      <c r="AR5" s="174"/>
      <c r="AS5" s="174"/>
      <c r="AT5" s="371" t="str">
        <f t="shared" si="0"/>
        <v/>
      </c>
      <c r="AU5" s="174"/>
      <c r="AV5" s="174"/>
      <c r="AW5" s="174"/>
      <c r="AX5" s="174"/>
      <c r="AY5" s="174"/>
      <c r="AZ5" s="174"/>
      <c r="BA5" s="174"/>
    </row>
    <row r="6" spans="1:53" ht="15" customHeight="1">
      <c r="AQ6" s="174"/>
      <c r="AR6" s="174"/>
      <c r="AS6" s="174"/>
      <c r="AT6" s="371" t="str">
        <f t="shared" si="0"/>
        <v/>
      </c>
      <c r="AU6" s="174"/>
      <c r="AV6" s="174"/>
      <c r="AW6" s="174"/>
      <c r="AX6" s="174"/>
      <c r="AY6" s="174"/>
      <c r="AZ6" s="174"/>
      <c r="BA6" s="174"/>
    </row>
    <row r="7" spans="1:53" ht="15" customHeight="1">
      <c r="AQ7" s="174"/>
      <c r="AR7" s="174"/>
      <c r="AS7" s="174"/>
      <c r="AT7" s="371" t="str">
        <f t="shared" si="0"/>
        <v/>
      </c>
      <c r="AU7" s="174"/>
      <c r="AV7" s="174"/>
      <c r="AW7" s="174"/>
      <c r="AX7" s="174"/>
      <c r="AY7" s="174"/>
      <c r="AZ7" s="174"/>
      <c r="BA7" s="174"/>
    </row>
    <row r="8" spans="1:53" ht="15" customHeight="1">
      <c r="AQ8" s="174"/>
      <c r="AR8" s="174"/>
      <c r="AS8" s="174"/>
      <c r="AT8" s="371" t="str">
        <f t="shared" si="0"/>
        <v/>
      </c>
      <c r="AU8" s="174"/>
      <c r="AV8" s="174"/>
      <c r="AW8" s="174"/>
      <c r="AX8" s="174"/>
      <c r="AY8" s="174"/>
      <c r="AZ8" s="174"/>
      <c r="BA8" s="174"/>
    </row>
    <row r="9" spans="1:53" ht="15" customHeight="1">
      <c r="AQ9" s="174"/>
      <c r="AR9" s="174"/>
      <c r="AS9" s="174"/>
      <c r="AT9" s="371" t="str">
        <f t="shared" si="0"/>
        <v/>
      </c>
      <c r="AU9" s="174"/>
      <c r="AV9" s="174"/>
      <c r="AW9" s="174"/>
      <c r="AX9" s="174"/>
      <c r="AY9" s="174"/>
      <c r="AZ9" s="174"/>
      <c r="BA9" s="174"/>
    </row>
    <row r="10" spans="1:53" ht="15" customHeight="1">
      <c r="AQ10" s="174"/>
      <c r="AR10" s="174"/>
      <c r="AS10" s="174"/>
      <c r="AT10" s="371" t="str">
        <f t="shared" si="0"/>
        <v/>
      </c>
      <c r="AU10" s="174"/>
      <c r="AV10" s="174"/>
      <c r="AW10" s="174"/>
      <c r="AX10" s="174"/>
      <c r="AY10" s="174"/>
      <c r="AZ10" s="174"/>
      <c r="BA10" s="174"/>
    </row>
    <row r="11" spans="1:53" ht="15" customHeight="1">
      <c r="AQ11" s="174"/>
      <c r="AR11" s="174"/>
      <c r="AS11" s="174"/>
      <c r="AT11" s="371" t="str">
        <f t="shared" si="0"/>
        <v/>
      </c>
      <c r="AU11" s="174"/>
      <c r="AV11" s="174"/>
      <c r="AW11" s="174"/>
      <c r="AX11" s="174"/>
      <c r="AY11" s="174"/>
      <c r="AZ11" s="174"/>
      <c r="BA11" s="174"/>
    </row>
    <row r="12" spans="1:53" ht="15" customHeight="1">
      <c r="AQ12" s="174"/>
      <c r="AR12" s="174"/>
      <c r="AS12" s="174"/>
      <c r="AT12" s="371" t="str">
        <f t="shared" si="0"/>
        <v/>
      </c>
      <c r="AU12" s="174"/>
      <c r="AV12" s="174"/>
      <c r="AW12" s="174"/>
      <c r="AX12" s="174"/>
      <c r="AY12" s="174"/>
      <c r="AZ12" s="174"/>
      <c r="BA12" s="174"/>
    </row>
    <row r="13" spans="1:53" ht="15" customHeight="1">
      <c r="AQ13" s="174"/>
      <c r="AR13" s="174"/>
      <c r="AS13" s="174"/>
      <c r="AT13" s="371" t="str">
        <f t="shared" si="0"/>
        <v/>
      </c>
      <c r="AU13" s="174"/>
      <c r="AV13" s="174"/>
      <c r="AW13" s="174"/>
      <c r="AX13" s="174"/>
      <c r="AY13" s="174"/>
      <c r="AZ13" s="174"/>
      <c r="BA13" s="174"/>
    </row>
    <row r="14" spans="1:53" ht="15" customHeight="1">
      <c r="AQ14" s="174"/>
      <c r="AR14" s="174"/>
      <c r="AS14" s="174"/>
      <c r="AT14" s="371" t="str">
        <f t="shared" si="0"/>
        <v/>
      </c>
      <c r="AU14" s="174"/>
      <c r="AV14" s="174"/>
      <c r="AW14" s="174"/>
      <c r="AX14" s="174"/>
      <c r="AY14" s="174"/>
      <c r="AZ14" s="174"/>
      <c r="BA14" s="174"/>
    </row>
    <row r="15" spans="1:53" ht="15" customHeight="1">
      <c r="AQ15" s="174"/>
      <c r="AR15" s="174"/>
      <c r="AS15" s="174"/>
      <c r="AT15" s="371" t="str">
        <f t="shared" si="0"/>
        <v/>
      </c>
      <c r="AU15" s="174"/>
      <c r="AV15" s="174"/>
      <c r="AW15" s="174"/>
      <c r="AX15" s="174"/>
      <c r="AY15" s="174"/>
      <c r="AZ15" s="174"/>
      <c r="BA15" s="174"/>
    </row>
    <row r="16" spans="1:53" ht="15" customHeight="1">
      <c r="AQ16" s="174" t="s">
        <v>541</v>
      </c>
      <c r="AR16" s="174"/>
      <c r="AS16" s="174"/>
      <c r="AT16" s="371" t="str">
        <f t="shared" si="0"/>
        <v/>
      </c>
      <c r="AU16" s="174"/>
      <c r="AV16" s="174"/>
      <c r="AW16" s="174"/>
      <c r="AX16" s="174"/>
      <c r="AY16" s="174"/>
      <c r="AZ16" s="174"/>
      <c r="BA16" s="174"/>
    </row>
    <row r="17" spans="43:53" ht="15" customHeight="1">
      <c r="AQ17" s="174" t="s">
        <v>542</v>
      </c>
      <c r="AR17" s="174"/>
      <c r="AS17" s="174"/>
      <c r="AT17" s="371" t="str">
        <f t="shared" si="0"/>
        <v/>
      </c>
      <c r="AU17" s="174"/>
      <c r="AV17" s="174"/>
      <c r="AW17" s="174"/>
      <c r="AX17" s="174"/>
      <c r="AY17" s="174"/>
      <c r="AZ17" s="174"/>
      <c r="BA17" s="174"/>
    </row>
    <row r="18" spans="43:53" ht="15" customHeight="1">
      <c r="AQ18" s="174" t="s">
        <v>79</v>
      </c>
      <c r="AR18" s="174"/>
      <c r="AS18" s="174"/>
      <c r="AT18" s="371" t="str">
        <f t="shared" si="0"/>
        <v/>
      </c>
      <c r="AU18" s="174"/>
      <c r="AV18" s="174"/>
      <c r="AW18" s="174"/>
      <c r="AX18" s="174"/>
      <c r="AY18" s="174"/>
      <c r="AZ18" s="174"/>
      <c r="BA18" s="174"/>
    </row>
    <row r="19" spans="43:53" ht="15" customHeight="1">
      <c r="AQ19" s="174"/>
      <c r="AR19" s="174"/>
      <c r="AS19" s="174"/>
      <c r="AT19" s="371" t="str">
        <f t="shared" si="0"/>
        <v/>
      </c>
      <c r="AU19" s="174"/>
      <c r="AV19" s="174"/>
      <c r="AW19" s="174"/>
      <c r="AX19" s="174"/>
      <c r="AY19" s="174"/>
      <c r="AZ19" s="174"/>
      <c r="BA19" s="174"/>
    </row>
    <row r="20" spans="43:53" ht="15" customHeight="1">
      <c r="AQ20" s="174"/>
      <c r="AR20" s="174"/>
      <c r="AS20" s="174"/>
      <c r="AT20" s="371" t="str">
        <f t="shared" si="0"/>
        <v/>
      </c>
      <c r="AU20" s="174"/>
      <c r="AV20" s="174"/>
      <c r="AW20" s="174"/>
      <c r="AX20" s="174"/>
      <c r="AY20" s="174"/>
      <c r="AZ20" s="174"/>
      <c r="BA20" s="174"/>
    </row>
    <row r="21" spans="43:53" ht="15" customHeight="1">
      <c r="AQ21" s="174"/>
      <c r="AR21" s="174"/>
      <c r="AS21" s="174"/>
      <c r="AT21" s="371" t="str">
        <f t="shared" si="0"/>
        <v/>
      </c>
      <c r="AU21" s="174"/>
      <c r="AV21" s="174"/>
      <c r="AW21" s="174"/>
      <c r="AX21" s="174"/>
      <c r="AY21" s="174"/>
      <c r="AZ21" s="174"/>
      <c r="BA21" s="174"/>
    </row>
    <row r="22" spans="43:53" ht="15" customHeight="1">
      <c r="AQ22" s="174"/>
      <c r="AR22" s="174"/>
      <c r="AS22" s="174"/>
      <c r="AT22" s="371" t="str">
        <f t="shared" si="0"/>
        <v/>
      </c>
      <c r="AU22" s="174"/>
      <c r="AV22" s="174"/>
      <c r="AW22" s="174"/>
      <c r="AX22" s="174"/>
      <c r="AY22" s="174"/>
      <c r="AZ22" s="174"/>
      <c r="BA22" s="174"/>
    </row>
    <row r="23" spans="43:53" ht="15" customHeight="1">
      <c r="AQ23" s="174"/>
      <c r="AR23" s="174"/>
      <c r="AS23" s="174"/>
      <c r="AT23" s="371" t="str">
        <f t="shared" si="0"/>
        <v/>
      </c>
      <c r="AU23" s="174"/>
      <c r="AV23" s="174"/>
      <c r="AW23" s="174"/>
      <c r="AX23" s="174"/>
      <c r="AY23" s="174"/>
      <c r="AZ23" s="174"/>
      <c r="BA23" s="174"/>
    </row>
    <row r="24" spans="43:53" ht="15" customHeight="1">
      <c r="AQ24" s="174"/>
      <c r="AR24" s="174"/>
      <c r="AS24" s="174"/>
      <c r="AT24" s="371" t="str">
        <f t="shared" si="0"/>
        <v/>
      </c>
      <c r="AU24" s="174"/>
      <c r="AV24" s="174"/>
      <c r="AW24" s="174"/>
      <c r="AX24" s="174"/>
      <c r="AY24" s="174"/>
      <c r="AZ24" s="174"/>
      <c r="BA24" s="174"/>
    </row>
    <row r="25" spans="43:53" ht="15" customHeight="1">
      <c r="AQ25" s="174"/>
      <c r="AR25" s="174"/>
      <c r="AS25" s="174"/>
      <c r="AT25" s="371" t="str">
        <f t="shared" si="0"/>
        <v/>
      </c>
      <c r="AU25" s="174"/>
      <c r="AV25" s="174"/>
      <c r="AW25" s="174"/>
      <c r="AX25" s="174"/>
      <c r="AY25" s="174"/>
      <c r="AZ25" s="174"/>
      <c r="BA25" s="174"/>
    </row>
    <row r="26" spans="43:53" ht="15" customHeight="1">
      <c r="AQ26" s="174"/>
      <c r="AR26" s="174"/>
      <c r="AS26" s="174"/>
      <c r="AT26" s="371" t="str">
        <f t="shared" si="0"/>
        <v/>
      </c>
      <c r="AU26" s="174"/>
      <c r="AV26" s="174"/>
      <c r="AW26" s="174"/>
      <c r="AX26" s="174"/>
      <c r="AY26" s="174"/>
      <c r="AZ26" s="174"/>
      <c r="BA26" s="174"/>
    </row>
    <row r="27" spans="43:53" ht="15" customHeight="1">
      <c r="AQ27" s="174"/>
      <c r="AR27" s="174"/>
      <c r="AS27" s="174"/>
      <c r="AT27" s="371" t="str">
        <f t="shared" si="0"/>
        <v/>
      </c>
      <c r="AU27" s="174"/>
      <c r="AV27" s="174"/>
      <c r="AW27" s="174"/>
      <c r="AX27" s="174"/>
      <c r="AY27" s="174"/>
      <c r="AZ27" s="174"/>
      <c r="BA27" s="174"/>
    </row>
    <row r="28" spans="43:53" ht="15" customHeight="1">
      <c r="AQ28" s="174"/>
      <c r="AR28" s="174"/>
      <c r="AS28" s="174"/>
      <c r="AT28" s="371" t="str">
        <f t="shared" si="0"/>
        <v/>
      </c>
      <c r="AU28" s="174"/>
      <c r="AV28" s="174"/>
      <c r="AW28" s="174"/>
      <c r="AX28" s="174"/>
      <c r="AY28" s="174"/>
      <c r="AZ28" s="174"/>
      <c r="BA28" s="174"/>
    </row>
    <row r="29" spans="43:53" ht="15" customHeight="1">
      <c r="AQ29" s="174"/>
      <c r="AR29" s="174"/>
      <c r="AS29" s="174"/>
      <c r="AT29" s="371" t="str">
        <f t="shared" si="0"/>
        <v/>
      </c>
      <c r="AU29" s="174"/>
      <c r="AV29" s="174"/>
      <c r="AW29" s="174"/>
      <c r="AX29" s="174"/>
      <c r="AY29" s="174"/>
      <c r="AZ29" s="174"/>
      <c r="BA29" s="174"/>
    </row>
    <row r="30" spans="43:53" ht="15" customHeight="1">
      <c r="AQ30" s="174"/>
      <c r="AR30" s="174"/>
      <c r="AS30" s="174"/>
      <c r="AT30" s="371" t="str">
        <f t="shared" si="0"/>
        <v/>
      </c>
      <c r="AU30" s="174"/>
      <c r="AV30" s="174"/>
      <c r="AW30" s="174"/>
      <c r="AX30" s="174"/>
      <c r="AY30" s="174"/>
      <c r="AZ30" s="174"/>
      <c r="BA30" s="174"/>
    </row>
    <row r="31" spans="43:53" ht="15" customHeight="1">
      <c r="AQ31" s="174"/>
      <c r="AR31" s="174"/>
      <c r="AS31" s="174"/>
      <c r="AT31" s="371" t="str">
        <f t="shared" si="0"/>
        <v/>
      </c>
      <c r="AU31" s="174"/>
      <c r="AV31" s="174"/>
      <c r="AW31" s="174"/>
      <c r="AX31" s="174"/>
      <c r="AY31" s="174"/>
      <c r="AZ31" s="174"/>
      <c r="BA31" s="174"/>
    </row>
    <row r="32" spans="43:53" ht="15" customHeight="1">
      <c r="AQ32" s="174"/>
      <c r="AR32" s="174"/>
      <c r="AS32" s="174"/>
      <c r="AT32" s="371" t="str">
        <f t="shared" si="0"/>
        <v/>
      </c>
      <c r="AU32" s="174"/>
      <c r="AV32" s="174"/>
      <c r="AW32" s="174"/>
      <c r="AX32" s="174"/>
      <c r="AY32" s="174"/>
      <c r="AZ32" s="174"/>
      <c r="BA32" s="174"/>
    </row>
    <row r="33" spans="43:53" ht="15" customHeight="1">
      <c r="AQ33" s="174"/>
      <c r="AR33" s="174"/>
      <c r="AS33" s="174"/>
      <c r="AT33" s="371" t="str">
        <f t="shared" si="0"/>
        <v/>
      </c>
      <c r="AU33" s="174"/>
      <c r="AV33" s="174"/>
      <c r="AW33" s="174"/>
      <c r="AX33" s="174"/>
      <c r="AY33" s="174"/>
      <c r="AZ33" s="174"/>
      <c r="BA33" s="174"/>
    </row>
    <row r="34" spans="43:53" ht="15" customHeight="1">
      <c r="AQ34" s="174"/>
      <c r="AR34" s="174"/>
      <c r="AS34" s="174"/>
      <c r="AT34" s="371" t="str">
        <f t="shared" si="0"/>
        <v/>
      </c>
      <c r="AU34" s="174"/>
      <c r="AV34" s="174"/>
      <c r="AW34" s="174"/>
      <c r="AX34" s="174"/>
      <c r="AY34" s="174"/>
      <c r="AZ34" s="174"/>
      <c r="BA34" s="174"/>
    </row>
    <row r="35" spans="43:53" ht="15" customHeight="1">
      <c r="AQ35" s="174"/>
      <c r="AR35" s="174"/>
      <c r="AS35" s="174"/>
      <c r="AT35" s="371" t="str">
        <f t="shared" si="0"/>
        <v/>
      </c>
      <c r="AU35" s="174"/>
      <c r="AV35" s="174"/>
      <c r="AW35" s="174"/>
      <c r="AX35" s="174"/>
      <c r="AY35" s="174"/>
      <c r="AZ35" s="174"/>
      <c r="BA35" s="174"/>
    </row>
    <row r="36" spans="43:53" ht="15" customHeight="1">
      <c r="AQ36" s="174"/>
      <c r="AR36" s="174"/>
      <c r="AS36" s="174"/>
      <c r="AT36" s="371" t="str">
        <f t="shared" si="0"/>
        <v/>
      </c>
      <c r="AU36" s="174"/>
      <c r="AV36" s="174"/>
      <c r="AW36" s="174"/>
      <c r="AX36" s="174"/>
      <c r="AY36" s="174"/>
      <c r="AZ36" s="174"/>
      <c r="BA36" s="174"/>
    </row>
    <row r="37" spans="43:53" ht="15" customHeight="1">
      <c r="AQ37" s="174"/>
      <c r="AR37" s="174"/>
      <c r="AS37" s="174"/>
      <c r="AT37" s="371" t="str">
        <f t="shared" si="0"/>
        <v/>
      </c>
      <c r="AU37" s="174"/>
      <c r="AV37" s="174"/>
      <c r="AW37" s="174"/>
      <c r="AX37" s="174"/>
      <c r="AY37" s="174"/>
      <c r="AZ37" s="174"/>
      <c r="BA37" s="174"/>
    </row>
    <row r="38" spans="43:53" ht="15" customHeight="1">
      <c r="AQ38" s="174"/>
      <c r="AR38" s="174"/>
      <c r="AS38" s="174"/>
      <c r="AT38" s="371" t="str">
        <f t="shared" si="0"/>
        <v/>
      </c>
      <c r="AU38" s="174"/>
      <c r="AV38" s="174"/>
      <c r="AW38" s="174"/>
      <c r="AX38" s="174"/>
      <c r="AY38" s="174"/>
      <c r="AZ38" s="174"/>
      <c r="BA38" s="174"/>
    </row>
    <row r="39" spans="43:53" ht="15" customHeight="1">
      <c r="AQ39" s="174"/>
      <c r="AR39" s="174"/>
      <c r="AS39" s="174"/>
      <c r="AT39" s="371" t="str">
        <f t="shared" si="0"/>
        <v/>
      </c>
      <c r="AU39" s="174"/>
      <c r="AV39" s="174"/>
      <c r="AW39" s="174"/>
      <c r="AX39" s="174"/>
      <c r="AY39" s="174"/>
      <c r="AZ39" s="174"/>
      <c r="BA39" s="174"/>
    </row>
    <row r="40" spans="43:53" ht="15" customHeight="1">
      <c r="AQ40" s="174"/>
      <c r="AR40" s="174"/>
      <c r="AS40" s="174"/>
      <c r="AT40" s="371" t="str">
        <f t="shared" si="0"/>
        <v/>
      </c>
      <c r="AU40" s="174"/>
      <c r="AV40" s="174"/>
      <c r="AW40" s="174"/>
      <c r="AX40" s="174"/>
      <c r="AY40" s="174"/>
      <c r="AZ40" s="174"/>
      <c r="BA40" s="174"/>
    </row>
    <row r="41" spans="43:53" ht="15" customHeight="1">
      <c r="AQ41" s="174"/>
      <c r="AR41" s="174"/>
      <c r="AS41" s="174"/>
      <c r="AT41" s="371" t="str">
        <f t="shared" si="0"/>
        <v/>
      </c>
      <c r="AU41" s="174"/>
      <c r="AV41" s="174"/>
      <c r="AW41" s="174"/>
      <c r="AX41" s="174"/>
      <c r="AY41" s="174"/>
      <c r="AZ41" s="174"/>
      <c r="BA41" s="174"/>
    </row>
    <row r="42" spans="43:53" ht="15" customHeight="1">
      <c r="AQ42" s="174"/>
      <c r="AR42" s="174"/>
      <c r="AS42" s="174"/>
      <c r="AT42" s="371" t="str">
        <f t="shared" si="0"/>
        <v/>
      </c>
      <c r="AU42" s="174"/>
      <c r="AV42" s="174"/>
      <c r="AW42" s="174"/>
      <c r="AX42" s="174"/>
      <c r="AY42" s="174"/>
      <c r="AZ42" s="174"/>
      <c r="BA42" s="174"/>
    </row>
    <row r="43" spans="43:53" ht="15" customHeight="1">
      <c r="AQ43" s="174"/>
      <c r="AR43" s="174"/>
      <c r="AS43" s="174"/>
      <c r="AT43" s="371" t="str">
        <f t="shared" si="0"/>
        <v/>
      </c>
      <c r="AU43" s="174"/>
      <c r="AV43" s="174"/>
      <c r="AW43" s="174"/>
      <c r="AX43" s="174"/>
      <c r="AY43" s="174"/>
      <c r="AZ43" s="174"/>
      <c r="BA43" s="174"/>
    </row>
    <row r="44" spans="43:53" ht="15" customHeight="1">
      <c r="AQ44" s="174"/>
      <c r="AR44" s="174"/>
      <c r="AS44" s="174"/>
      <c r="AT44" s="371" t="str">
        <f t="shared" si="0"/>
        <v/>
      </c>
      <c r="AU44" s="174"/>
      <c r="AV44" s="174"/>
      <c r="AW44" s="174"/>
      <c r="AX44" s="174"/>
      <c r="AY44" s="174"/>
      <c r="AZ44" s="174"/>
      <c r="BA44" s="174"/>
    </row>
    <row r="45" spans="43:53" ht="15" customHeight="1">
      <c r="AQ45" s="174"/>
      <c r="AR45" s="174"/>
      <c r="AS45" s="174"/>
      <c r="AT45" s="371" t="str">
        <f t="shared" si="0"/>
        <v/>
      </c>
      <c r="AU45" s="174"/>
      <c r="AV45" s="174"/>
      <c r="AW45" s="174"/>
      <c r="AX45" s="174"/>
      <c r="AY45" s="174"/>
      <c r="AZ45" s="174"/>
      <c r="BA45" s="174"/>
    </row>
    <row r="46" spans="43:53" ht="15" customHeight="1">
      <c r="AQ46" s="174"/>
      <c r="AR46" s="174"/>
      <c r="AS46" s="174"/>
      <c r="AT46" s="372" t="str">
        <f t="shared" si="0"/>
        <v/>
      </c>
      <c r="AU46" s="174"/>
      <c r="AV46" s="174"/>
      <c r="AW46" s="174"/>
      <c r="AX46" s="174"/>
      <c r="AY46" s="174"/>
      <c r="AZ46" s="174"/>
      <c r="BA46" s="174"/>
    </row>
    <row r="47" spans="43:53" ht="15" customHeight="1">
      <c r="AQ47" s="174"/>
      <c r="AR47" s="174"/>
      <c r="AS47" s="174"/>
      <c r="AT47" s="372" t="str">
        <f t="shared" si="0"/>
        <v/>
      </c>
      <c r="AU47" s="174"/>
      <c r="AV47" s="174"/>
      <c r="AW47" s="174"/>
      <c r="AX47" s="174"/>
      <c r="AY47" s="174"/>
      <c r="AZ47" s="174"/>
      <c r="BA47" s="174"/>
    </row>
    <row r="48" spans="43:53" ht="15" customHeight="1">
      <c r="AQ48" s="174"/>
      <c r="AR48" s="174"/>
      <c r="AS48" s="174"/>
      <c r="AT48" s="372" t="str">
        <f t="shared" si="0"/>
        <v/>
      </c>
      <c r="AU48" s="174"/>
      <c r="AV48" s="174"/>
      <c r="AW48" s="174"/>
      <c r="AX48" s="174"/>
      <c r="AY48" s="174"/>
      <c r="AZ48" s="174"/>
      <c r="BA48" s="174"/>
    </row>
    <row r="49" spans="43:53" ht="15" customHeight="1">
      <c r="AQ49" s="174"/>
      <c r="AR49" s="174"/>
      <c r="AS49" s="174"/>
      <c r="AT49" s="372" t="str">
        <f t="shared" si="0"/>
        <v/>
      </c>
      <c r="AU49" s="174"/>
      <c r="AV49" s="174"/>
      <c r="AW49" s="174"/>
      <c r="AX49" s="174"/>
      <c r="AY49" s="174"/>
      <c r="AZ49" s="174"/>
      <c r="BA49" s="174"/>
    </row>
    <row r="50" spans="43:53" ht="15" customHeight="1">
      <c r="AQ50" s="174"/>
      <c r="AR50" s="174"/>
      <c r="AS50" s="174"/>
      <c r="AT50" s="372" t="str">
        <f t="shared" si="0"/>
        <v/>
      </c>
      <c r="AU50" s="174"/>
      <c r="AV50" s="174"/>
      <c r="AW50" s="174"/>
      <c r="AX50" s="174"/>
      <c r="AY50" s="174"/>
      <c r="AZ50" s="174"/>
      <c r="BA50" s="174"/>
    </row>
    <row r="51" spans="43:53" ht="15" customHeight="1">
      <c r="AQ51" s="174"/>
      <c r="AR51" s="174"/>
      <c r="AS51" s="174"/>
      <c r="AT51" s="372" t="str">
        <f t="shared" si="0"/>
        <v/>
      </c>
      <c r="AU51" s="174"/>
      <c r="AV51" s="174"/>
      <c r="AW51" s="174"/>
      <c r="AX51" s="174"/>
      <c r="AY51" s="174"/>
      <c r="AZ51" s="174"/>
      <c r="BA51" s="174"/>
    </row>
    <row r="52" spans="43:53" ht="15" customHeight="1">
      <c r="AQ52" s="174"/>
      <c r="AR52" s="174"/>
      <c r="AS52" s="174"/>
      <c r="AT52" s="372" t="str">
        <f t="shared" si="0"/>
        <v/>
      </c>
      <c r="AU52" s="174"/>
      <c r="AV52" s="174"/>
      <c r="AW52" s="174"/>
      <c r="AX52" s="174"/>
      <c r="AY52" s="174"/>
      <c r="AZ52" s="174"/>
      <c r="BA52" s="174"/>
    </row>
    <row r="53" spans="43:53" ht="15" customHeight="1">
      <c r="AQ53" s="174"/>
      <c r="AR53" s="174"/>
      <c r="AS53" s="174"/>
      <c r="AT53" s="372" t="str">
        <f t="shared" si="0"/>
        <v/>
      </c>
      <c r="AU53" s="174"/>
      <c r="AV53" s="174"/>
      <c r="AW53" s="174"/>
      <c r="AX53" s="174"/>
      <c r="AY53" s="174"/>
      <c r="AZ53" s="174"/>
      <c r="BA53" s="174"/>
    </row>
    <row r="54" spans="43:53" ht="15" customHeight="1">
      <c r="AQ54" s="174"/>
      <c r="AR54" s="174"/>
      <c r="AS54" s="174"/>
      <c r="AT54" s="372" t="str">
        <f t="shared" si="0"/>
        <v/>
      </c>
      <c r="AU54" s="174"/>
      <c r="AV54" s="174"/>
      <c r="AW54" s="174"/>
      <c r="AX54" s="174"/>
      <c r="AY54" s="174"/>
      <c r="AZ54" s="174"/>
      <c r="BA54" s="174"/>
    </row>
    <row r="55" spans="43:53" ht="15" customHeight="1">
      <c r="AQ55" s="174"/>
      <c r="AR55" s="174"/>
      <c r="AS55" s="174"/>
      <c r="AT55" s="372" t="str">
        <f t="shared" si="0"/>
        <v/>
      </c>
      <c r="AU55" s="174"/>
      <c r="AV55" s="174"/>
      <c r="AW55" s="174"/>
      <c r="AX55" s="174"/>
      <c r="AY55" s="174"/>
      <c r="AZ55" s="174"/>
      <c r="BA55" s="174"/>
    </row>
    <row r="56" spans="43:53" ht="15" customHeight="1">
      <c r="AQ56" s="174"/>
      <c r="AR56" s="174"/>
      <c r="AS56" s="174"/>
      <c r="AT56" s="372" t="str">
        <f t="shared" si="0"/>
        <v/>
      </c>
      <c r="AU56" s="174"/>
      <c r="AV56" s="174"/>
      <c r="AW56" s="174"/>
      <c r="AX56" s="174"/>
      <c r="AY56" s="174"/>
      <c r="AZ56" s="174"/>
      <c r="BA56" s="174"/>
    </row>
    <row r="57" spans="43:53" ht="15" customHeight="1">
      <c r="AQ57" s="174"/>
      <c r="AR57" s="174"/>
      <c r="AS57" s="174"/>
      <c r="AT57" s="372" t="str">
        <f t="shared" si="0"/>
        <v/>
      </c>
      <c r="AU57" s="174"/>
      <c r="AV57" s="174"/>
      <c r="AW57" s="174"/>
      <c r="AX57" s="174"/>
      <c r="AY57" s="174"/>
      <c r="AZ57" s="174"/>
      <c r="BA57" s="174"/>
    </row>
    <row r="58" spans="43:53" ht="15" customHeight="1">
      <c r="AQ58" s="174"/>
      <c r="AR58" s="174"/>
      <c r="AS58" s="174"/>
      <c r="AT58" s="372" t="str">
        <f t="shared" si="0"/>
        <v/>
      </c>
      <c r="AU58" s="174"/>
      <c r="AV58" s="174"/>
      <c r="AW58" s="174"/>
      <c r="AX58" s="174"/>
      <c r="AY58" s="174"/>
      <c r="AZ58" s="174"/>
      <c r="BA58" s="174"/>
    </row>
    <row r="59" spans="43:53" ht="15" customHeight="1">
      <c r="AQ59" s="174"/>
      <c r="AR59" s="174"/>
      <c r="AS59" s="174"/>
      <c r="AT59" s="372" t="str">
        <f t="shared" si="0"/>
        <v/>
      </c>
      <c r="AU59" s="174"/>
      <c r="AV59" s="174"/>
      <c r="AW59" s="174"/>
      <c r="AX59" s="174"/>
      <c r="AY59" s="174"/>
      <c r="AZ59" s="174"/>
      <c r="BA59" s="174"/>
    </row>
    <row r="60" spans="43:53" ht="15" customHeight="1">
      <c r="AQ60" s="174"/>
      <c r="AR60" s="174"/>
      <c r="AS60" s="174"/>
      <c r="AT60" s="372" t="str">
        <f t="shared" si="0"/>
        <v/>
      </c>
      <c r="AU60" s="174"/>
      <c r="AV60" s="174"/>
      <c r="AW60" s="174"/>
      <c r="AX60" s="174"/>
      <c r="AY60" s="174"/>
      <c r="AZ60" s="174"/>
      <c r="BA60" s="174"/>
    </row>
    <row r="61" spans="43:53" ht="15" customHeight="1">
      <c r="AQ61" s="174"/>
      <c r="AR61" s="174"/>
      <c r="AS61" s="174"/>
      <c r="AT61" s="372" t="str">
        <f t="shared" si="0"/>
        <v/>
      </c>
      <c r="AU61" s="174"/>
      <c r="AV61" s="174"/>
      <c r="AW61" s="174"/>
      <c r="AX61" s="174"/>
      <c r="AY61" s="174"/>
      <c r="AZ61" s="174"/>
      <c r="BA61" s="174"/>
    </row>
    <row r="62" spans="43:53" ht="15" customHeight="1">
      <c r="AQ62" s="174"/>
      <c r="AR62" s="174"/>
      <c r="AS62" s="174"/>
      <c r="AT62" s="372" t="str">
        <f t="shared" si="0"/>
        <v/>
      </c>
      <c r="AU62" s="174"/>
      <c r="AV62" s="174"/>
      <c r="AW62" s="174"/>
      <c r="AX62" s="174"/>
      <c r="AY62" s="174"/>
      <c r="AZ62" s="174"/>
      <c r="BA62" s="174"/>
    </row>
    <row r="63" spans="43:53" ht="15" customHeight="1">
      <c r="AQ63" s="174"/>
      <c r="AR63" s="174"/>
      <c r="AS63" s="174"/>
      <c r="AT63" s="372" t="str">
        <f t="shared" si="0"/>
        <v/>
      </c>
      <c r="AU63" s="174"/>
      <c r="AV63" s="174"/>
      <c r="AW63" s="174"/>
      <c r="AX63" s="174"/>
      <c r="AY63" s="174"/>
      <c r="AZ63" s="174"/>
      <c r="BA63" s="174"/>
    </row>
    <row r="64" spans="43:53" ht="15" customHeight="1">
      <c r="AQ64" s="174"/>
      <c r="AR64" s="174"/>
      <c r="AS64" s="174"/>
      <c r="AT64" s="372" t="str">
        <f t="shared" si="0"/>
        <v/>
      </c>
      <c r="AU64" s="174"/>
      <c r="AV64" s="174"/>
      <c r="AW64" s="174"/>
      <c r="AX64" s="174"/>
      <c r="AY64" s="174"/>
      <c r="AZ64" s="174"/>
      <c r="BA64" s="174"/>
    </row>
    <row r="65" spans="43:53" ht="15" customHeight="1">
      <c r="AQ65" s="174"/>
      <c r="AR65" s="174"/>
      <c r="AS65" s="174"/>
      <c r="AT65" s="372" t="str">
        <f t="shared" si="0"/>
        <v/>
      </c>
      <c r="AU65" s="174"/>
      <c r="AV65" s="174"/>
      <c r="AW65" s="174"/>
      <c r="AX65" s="174"/>
      <c r="AY65" s="174"/>
      <c r="AZ65" s="174"/>
      <c r="BA65" s="174"/>
    </row>
    <row r="66" spans="43:53" ht="15" customHeight="1">
      <c r="AQ66" s="174"/>
      <c r="AR66" s="174"/>
      <c r="AS66" s="174"/>
      <c r="AT66" s="372" t="str">
        <f t="shared" si="0"/>
        <v/>
      </c>
      <c r="AU66" s="174"/>
      <c r="AV66" s="174"/>
      <c r="AW66" s="174"/>
      <c r="AX66" s="174"/>
      <c r="AY66" s="174"/>
      <c r="AZ66" s="174"/>
      <c r="BA66" s="174"/>
    </row>
    <row r="67" spans="43:53" ht="15" customHeight="1">
      <c r="AQ67" s="174"/>
      <c r="AR67" s="174"/>
      <c r="AS67" s="174"/>
      <c r="AT67" s="372" t="str">
        <f t="shared" ref="AT67:AT79" si="1">IF(OR(AR67="",AS67=""),"",TEXT(WORKDAY(AS67,IF(AR67="Baja",3,IF(AR67="Media",5,0))),"dd-mmm"))</f>
        <v/>
      </c>
      <c r="AU67" s="174"/>
      <c r="AV67" s="174"/>
      <c r="AW67" s="174"/>
      <c r="AX67" s="174"/>
      <c r="AY67" s="174"/>
      <c r="AZ67" s="174"/>
      <c r="BA67" s="174"/>
    </row>
    <row r="68" spans="43:53" ht="15" customHeight="1">
      <c r="AQ68" s="174"/>
      <c r="AR68" s="174"/>
      <c r="AS68" s="174"/>
      <c r="AT68" s="372" t="str">
        <f t="shared" si="1"/>
        <v/>
      </c>
      <c r="AU68" s="174"/>
      <c r="AV68" s="174"/>
      <c r="AW68" s="174"/>
      <c r="AX68" s="174"/>
      <c r="AY68" s="174"/>
      <c r="AZ68" s="174"/>
      <c r="BA68" s="174"/>
    </row>
    <row r="69" spans="43:53" ht="15" customHeight="1">
      <c r="AQ69" s="174"/>
      <c r="AR69" s="174"/>
      <c r="AS69" s="174"/>
      <c r="AT69" s="372" t="str">
        <f t="shared" si="1"/>
        <v/>
      </c>
      <c r="AU69" s="174"/>
      <c r="AV69" s="174"/>
      <c r="AW69" s="174"/>
      <c r="AX69" s="174"/>
      <c r="AY69" s="174"/>
      <c r="AZ69" s="174"/>
      <c r="BA69" s="174"/>
    </row>
    <row r="70" spans="43:53" ht="15" customHeight="1">
      <c r="AQ70" s="174"/>
      <c r="AR70" s="174"/>
      <c r="AS70" s="174"/>
      <c r="AT70" s="372" t="str">
        <f t="shared" si="1"/>
        <v/>
      </c>
      <c r="AU70" s="174"/>
      <c r="AV70" s="174"/>
      <c r="AW70" s="174"/>
      <c r="AX70" s="174"/>
      <c r="AY70" s="174"/>
      <c r="AZ70" s="174"/>
      <c r="BA70" s="174"/>
    </row>
    <row r="71" spans="43:53" ht="15" customHeight="1">
      <c r="AQ71" s="174"/>
      <c r="AR71" s="174"/>
      <c r="AS71" s="174"/>
      <c r="AT71" s="372" t="str">
        <f t="shared" si="1"/>
        <v/>
      </c>
      <c r="AU71" s="174"/>
      <c r="AV71" s="174"/>
      <c r="AW71" s="174"/>
      <c r="AX71" s="174"/>
      <c r="AY71" s="174"/>
      <c r="AZ71" s="174"/>
      <c r="BA71" s="174"/>
    </row>
    <row r="72" spans="43:53" ht="15" customHeight="1">
      <c r="AQ72" s="174"/>
      <c r="AR72" s="174"/>
      <c r="AS72" s="174"/>
      <c r="AT72" s="372" t="str">
        <f t="shared" si="1"/>
        <v/>
      </c>
      <c r="AU72" s="174"/>
      <c r="AV72" s="174"/>
      <c r="AW72" s="174"/>
      <c r="AX72" s="174"/>
      <c r="AY72" s="174"/>
      <c r="AZ72" s="174"/>
      <c r="BA72" s="174"/>
    </row>
    <row r="73" spans="43:53" ht="15" customHeight="1">
      <c r="AQ73" s="174"/>
      <c r="AR73" s="174"/>
      <c r="AS73" s="174"/>
      <c r="AT73" s="372" t="str">
        <f t="shared" si="1"/>
        <v/>
      </c>
      <c r="AU73" s="174"/>
      <c r="AV73" s="174"/>
      <c r="AW73" s="174"/>
      <c r="AX73" s="174"/>
      <c r="AY73" s="174"/>
      <c r="AZ73" s="174"/>
      <c r="BA73" s="174"/>
    </row>
    <row r="74" spans="43:53" ht="15" customHeight="1">
      <c r="AQ74" s="174"/>
      <c r="AR74" s="174"/>
      <c r="AS74" s="174"/>
      <c r="AT74" s="372" t="str">
        <f t="shared" si="1"/>
        <v/>
      </c>
      <c r="AU74" s="174"/>
      <c r="AV74" s="174"/>
      <c r="AW74" s="174"/>
      <c r="AX74" s="174"/>
      <c r="AY74" s="174"/>
      <c r="AZ74" s="174"/>
      <c r="BA74" s="174"/>
    </row>
    <row r="75" spans="43:53" ht="15" customHeight="1">
      <c r="AQ75" s="174"/>
      <c r="AR75" s="174"/>
      <c r="AS75" s="174"/>
      <c r="AT75" s="372" t="str">
        <f t="shared" si="1"/>
        <v/>
      </c>
      <c r="AU75" s="174"/>
      <c r="AV75" s="174"/>
      <c r="AW75" s="174"/>
      <c r="AX75" s="174"/>
      <c r="AY75" s="174"/>
      <c r="AZ75" s="174"/>
      <c r="BA75" s="174"/>
    </row>
    <row r="76" spans="43:53" ht="15" customHeight="1">
      <c r="AQ76" s="174"/>
      <c r="AR76" s="174"/>
      <c r="AS76" s="174"/>
      <c r="AT76" s="372" t="str">
        <f t="shared" si="1"/>
        <v/>
      </c>
      <c r="AU76" s="174"/>
      <c r="AV76" s="174"/>
      <c r="AW76" s="174"/>
      <c r="AX76" s="174"/>
      <c r="AY76" s="174"/>
      <c r="AZ76" s="174"/>
      <c r="BA76" s="174"/>
    </row>
    <row r="77" spans="43:53" ht="15" customHeight="1">
      <c r="AQ77" s="174"/>
      <c r="AR77" s="174"/>
      <c r="AS77" s="174"/>
      <c r="AT77" s="372" t="str">
        <f t="shared" si="1"/>
        <v/>
      </c>
      <c r="AU77" s="174"/>
      <c r="AV77" s="174"/>
      <c r="AW77" s="174"/>
      <c r="AX77" s="174"/>
      <c r="AY77" s="174"/>
      <c r="AZ77" s="174"/>
      <c r="BA77" s="174"/>
    </row>
    <row r="78" spans="43:53" ht="15" customHeight="1">
      <c r="AQ78" s="174"/>
      <c r="AR78" s="174"/>
      <c r="AS78" s="174"/>
      <c r="AT78" s="372" t="str">
        <f t="shared" si="1"/>
        <v/>
      </c>
      <c r="AU78" s="174"/>
      <c r="AV78" s="174"/>
      <c r="AW78" s="174"/>
      <c r="AX78" s="174"/>
      <c r="AY78" s="174"/>
      <c r="AZ78" s="174"/>
      <c r="BA78" s="174"/>
    </row>
    <row r="79" spans="43:53" ht="15" customHeight="1">
      <c r="AQ79" s="174"/>
      <c r="AR79" s="174"/>
      <c r="AS79" s="174"/>
      <c r="AT79" s="372" t="str">
        <f t="shared" si="1"/>
        <v/>
      </c>
      <c r="AU79" s="174"/>
      <c r="AV79" s="174"/>
      <c r="AW79" s="174"/>
      <c r="AX79" s="174"/>
      <c r="AY79" s="174"/>
      <c r="AZ79" s="174"/>
      <c r="BA79" s="174"/>
    </row>
  </sheetData>
  <sheetProtection algorithmName="SHA-512" hashValue="RvRUaXagYDAPPD5qYt8U/sBErQ0r4YCE5ZX5YqvI07UIny79CfX3iwOq5czWpBGyEHDA/2HECAaV4YNiWCCX3Q==" saltValue="ytwOs9KBKswF+1YuR2zrCw=="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1" xr:uid="{E2995521-A973-4EBC-930E-5DF1CF46E120}">
    <filterColumn colId="27">
      <filters>
        <filter val="Ana Maria Rojas"/>
        <filter val="Ana María Rojas"/>
      </filters>
    </filterColumn>
  </autoFilter>
  <dataValidations count="3">
    <dataValidation type="list" allowBlank="1" showInputMessage="1" showErrorMessage="1" errorTitle="Valor no válido" error="Por favor seleccione una opción de la lista desplegable." sqref="AQ2:AQ79" xr:uid="{13B57C6A-DC51-4F70-BA9C-C8F421E35FCD}">
      <formula1>"Estimación incompleta,Ajuste del alcance,Otro"</formula1>
    </dataValidation>
    <dataValidation type="list" allowBlank="1" showInputMessage="1" showErrorMessage="1" errorTitle="Valor no válido" error="Por favor seleccione una opción de la lista: Baja o Media." sqref="AR2:AR79" xr:uid="{A7979BB0-073D-45E6-B2F8-642A5FE55B7C}">
      <formula1>"Baja,Media"</formula1>
    </dataValidation>
    <dataValidation type="list" allowBlank="1" showInputMessage="1" showErrorMessage="1" errorTitle="Valor no válido" error="Por favor seleccione una opción de la lista: Pendiente o Finalizado" sqref="AZ2:AZ79" xr:uid="{4A3D902E-0D8D-4CA1-AA03-97E09A0C5FB3}">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F89D-E396-4983-B2C6-F8B00DD43ECF}">
  <dimension ref="A1:AR30"/>
  <sheetViews>
    <sheetView zoomScale="85" zoomScaleNormal="85" workbookViewId="0">
      <pane xSplit="6" ySplit="1" topLeftCell="AG3" activePane="bottomRight" state="frozen"/>
      <selection pane="bottomRight" activeCell="AO13" sqref="AO13"/>
      <selection pane="bottomLeft" activeCell="A2" sqref="A2"/>
      <selection pane="topRight" activeCell="G1" sqref="G1"/>
    </sheetView>
  </sheetViews>
  <sheetFormatPr defaultColWidth="115.42578125" defaultRowHeight="14.45"/>
  <cols>
    <col min="1" max="1" width="6.140625" style="10" customWidth="1"/>
    <col min="2" max="2" width="16.140625" style="94" customWidth="1"/>
    <col min="3" max="3" width="16.85546875" style="94" customWidth="1"/>
    <col min="4" max="4" width="16.42578125" style="10" customWidth="1"/>
    <col min="5" max="5" width="18.85546875" style="10" customWidth="1"/>
    <col min="6" max="6" width="21.42578125" style="10" customWidth="1"/>
    <col min="7" max="7" width="94.42578125" style="10" customWidth="1"/>
    <col min="8" max="8" width="29.140625" style="10" customWidth="1"/>
    <col min="9" max="9" width="32.85546875" style="10" customWidth="1"/>
    <col min="10" max="11" width="42" style="10" customWidth="1"/>
    <col min="12" max="12" width="21.85546875" style="10" customWidth="1"/>
    <col min="13" max="13" width="18.42578125" style="10" customWidth="1"/>
    <col min="14" max="16" width="19" style="10" customWidth="1"/>
    <col min="17" max="17" width="22.140625" style="10" customWidth="1"/>
    <col min="18" max="18" width="43.140625" style="10" customWidth="1"/>
    <col min="19" max="19" width="19" style="10" customWidth="1"/>
    <col min="20" max="20" width="61.42578125" style="10" customWidth="1"/>
    <col min="21" max="21" width="54.140625" style="10" customWidth="1"/>
    <col min="22" max="22" width="52.140625" style="10" customWidth="1"/>
    <col min="23" max="23" width="48.42578125" style="10" customWidth="1"/>
    <col min="24" max="24" width="25.42578125" style="10" customWidth="1"/>
    <col min="25" max="25" width="29" style="10" customWidth="1"/>
    <col min="26" max="26" width="35.140625" style="10" customWidth="1"/>
    <col min="27" max="27" width="84.140625" style="10" customWidth="1"/>
    <col min="28" max="28" width="25.140625" style="10" customWidth="1"/>
    <col min="29" max="29" width="16.85546875" style="10" customWidth="1"/>
    <col min="30" max="30" width="20" style="10" customWidth="1"/>
    <col min="31" max="31" width="76" style="10" customWidth="1"/>
    <col min="32" max="32" width="90" style="10" customWidth="1"/>
    <col min="33" max="33" width="63.140625" style="10" customWidth="1"/>
    <col min="34" max="34" width="16.42578125" style="10" customWidth="1"/>
    <col min="35" max="36" width="17.140625" style="10" customWidth="1"/>
    <col min="37" max="37" width="15" style="10" customWidth="1"/>
    <col min="38" max="38" width="48.85546875" style="59" customWidth="1"/>
    <col min="39" max="39" width="21.85546875" style="10" bestFit="1" customWidth="1"/>
    <col min="40" max="40" width="13.42578125" style="59" customWidth="1"/>
    <col min="41" max="41" width="17.42578125" style="10" customWidth="1"/>
    <col min="42" max="42" width="23.140625" style="10" customWidth="1"/>
    <col min="43" max="47" width="22.85546875" style="10" customWidth="1"/>
    <col min="48" max="16384" width="115.42578125" style="10"/>
  </cols>
  <sheetData>
    <row r="1" spans="1:44" s="59" customFormat="1" ht="43.5">
      <c r="A1" s="115" t="s">
        <v>5</v>
      </c>
      <c r="B1" s="116" t="s">
        <v>6</v>
      </c>
      <c r="C1" s="116" t="s">
        <v>7</v>
      </c>
      <c r="D1" s="117" t="s">
        <v>8</v>
      </c>
      <c r="E1" s="117" t="s">
        <v>9</v>
      </c>
      <c r="F1" s="117" t="s">
        <v>10</v>
      </c>
      <c r="G1" s="117" t="s">
        <v>11</v>
      </c>
      <c r="H1" s="117" t="s">
        <v>12</v>
      </c>
      <c r="I1" s="117" t="s">
        <v>13</v>
      </c>
      <c r="J1" s="117" t="s">
        <v>543</v>
      </c>
      <c r="K1" s="117" t="s">
        <v>544</v>
      </c>
      <c r="L1" s="117" t="s">
        <v>545</v>
      </c>
      <c r="M1" s="117" t="s">
        <v>546</v>
      </c>
      <c r="N1" s="117" t="s">
        <v>547</v>
      </c>
      <c r="O1" s="118" t="s">
        <v>548</v>
      </c>
      <c r="P1" s="117" t="s">
        <v>549</v>
      </c>
      <c r="Q1" s="117" t="s">
        <v>18</v>
      </c>
      <c r="R1" s="117" t="s">
        <v>550</v>
      </c>
      <c r="S1" s="117" t="s">
        <v>551</v>
      </c>
      <c r="T1" s="117" t="s">
        <v>22</v>
      </c>
      <c r="U1" s="117" t="s">
        <v>552</v>
      </c>
      <c r="V1" s="117" t="s">
        <v>553</v>
      </c>
      <c r="W1" s="117" t="s">
        <v>23</v>
      </c>
      <c r="X1" s="117" t="s">
        <v>554</v>
      </c>
      <c r="Y1" s="117" t="s">
        <v>555</v>
      </c>
      <c r="Z1" s="117" t="s">
        <v>556</v>
      </c>
      <c r="AA1" s="117" t="s">
        <v>557</v>
      </c>
      <c r="AB1" s="117" t="s">
        <v>26</v>
      </c>
      <c r="AC1" s="117" t="s">
        <v>27</v>
      </c>
      <c r="AD1" s="117" t="s">
        <v>558</v>
      </c>
      <c r="AE1" s="117" t="s">
        <v>559</v>
      </c>
      <c r="AF1" s="117" t="s">
        <v>29</v>
      </c>
      <c r="AG1" s="119" t="s">
        <v>560</v>
      </c>
      <c r="AH1" s="95" t="s">
        <v>39</v>
      </c>
      <c r="AI1" s="96" t="s">
        <v>561</v>
      </c>
      <c r="AJ1" s="96" t="s">
        <v>562</v>
      </c>
      <c r="AK1" s="96" t="s">
        <v>536</v>
      </c>
      <c r="AL1" s="96" t="s">
        <v>42</v>
      </c>
      <c r="AM1" s="96" t="s">
        <v>43</v>
      </c>
      <c r="AN1" s="96" t="s">
        <v>33</v>
      </c>
      <c r="AO1" s="143" t="s">
        <v>45</v>
      </c>
      <c r="AP1" s="103" t="s">
        <v>563</v>
      </c>
      <c r="AQ1" s="104" t="s">
        <v>564</v>
      </c>
      <c r="AR1" s="105" t="s">
        <v>565</v>
      </c>
    </row>
    <row r="2" spans="1:44" ht="101.45">
      <c r="A2" s="120">
        <v>26</v>
      </c>
      <c r="B2" s="121">
        <v>46048.615775462997</v>
      </c>
      <c r="C2" s="121">
        <v>46048.6236921296</v>
      </c>
      <c r="D2" s="122" t="s">
        <v>566</v>
      </c>
      <c r="E2" s="122" t="s">
        <v>567</v>
      </c>
      <c r="F2" s="122" t="s">
        <v>568</v>
      </c>
      <c r="G2" s="122" t="s">
        <v>569</v>
      </c>
      <c r="H2" s="122" t="s">
        <v>158</v>
      </c>
      <c r="I2" s="123" t="s">
        <v>570</v>
      </c>
      <c r="J2" s="123" t="s">
        <v>571</v>
      </c>
      <c r="K2" s="122" t="s">
        <v>572</v>
      </c>
      <c r="L2" s="123"/>
      <c r="M2" s="123"/>
      <c r="N2" s="123" t="s">
        <v>161</v>
      </c>
      <c r="O2" s="124">
        <v>46035</v>
      </c>
      <c r="P2" s="122" t="s">
        <v>573</v>
      </c>
      <c r="Q2" s="123" t="s">
        <v>83</v>
      </c>
      <c r="R2" s="123">
        <v>76553</v>
      </c>
      <c r="S2" s="123"/>
      <c r="T2" s="122" t="s">
        <v>574</v>
      </c>
      <c r="U2" s="122" t="s">
        <v>575</v>
      </c>
      <c r="V2" s="122" t="s">
        <v>574</v>
      </c>
      <c r="W2" s="123" t="s">
        <v>576</v>
      </c>
      <c r="X2" s="122" t="s">
        <v>577</v>
      </c>
      <c r="Y2" s="122" t="s">
        <v>578</v>
      </c>
      <c r="Z2" s="123" t="s">
        <v>579</v>
      </c>
      <c r="AA2" s="122" t="s">
        <v>580</v>
      </c>
      <c r="AB2" s="122" t="s">
        <v>581</v>
      </c>
      <c r="AC2" s="122" t="s">
        <v>188</v>
      </c>
      <c r="AD2" s="122" t="s">
        <v>224</v>
      </c>
      <c r="AE2" s="122" t="s">
        <v>582</v>
      </c>
      <c r="AF2" s="122" t="s">
        <v>577</v>
      </c>
      <c r="AG2" s="131" t="s">
        <v>583</v>
      </c>
      <c r="AH2" s="97"/>
      <c r="AI2" s="98"/>
      <c r="AJ2" s="98"/>
      <c r="AK2" s="98"/>
      <c r="AL2" s="156" t="s">
        <v>584</v>
      </c>
      <c r="AM2" s="98"/>
      <c r="AN2" s="102" t="s">
        <v>585</v>
      </c>
      <c r="AO2" s="144" t="s">
        <v>253</v>
      </c>
      <c r="AP2" s="142" t="s">
        <v>586</v>
      </c>
      <c r="AQ2" s="142" t="s">
        <v>587</v>
      </c>
      <c r="AR2" s="108"/>
    </row>
    <row r="3" spans="1:44" ht="144.94999999999999">
      <c r="A3" s="120">
        <v>31</v>
      </c>
      <c r="B3" s="121">
        <v>46048.646111111098</v>
      </c>
      <c r="C3" s="121">
        <v>46048.673055555599</v>
      </c>
      <c r="D3" s="122" t="s">
        <v>588</v>
      </c>
      <c r="E3" s="122" t="s">
        <v>589</v>
      </c>
      <c r="F3" s="122" t="s">
        <v>590</v>
      </c>
      <c r="G3" s="122" t="s">
        <v>591</v>
      </c>
      <c r="H3" s="122" t="s">
        <v>158</v>
      </c>
      <c r="I3" s="123" t="s">
        <v>215</v>
      </c>
      <c r="J3" s="123" t="s">
        <v>592</v>
      </c>
      <c r="K3" s="122" t="s">
        <v>572</v>
      </c>
      <c r="L3" s="123"/>
      <c r="M3" s="123"/>
      <c r="N3" s="123" t="s">
        <v>199</v>
      </c>
      <c r="O3" s="124">
        <v>46081</v>
      </c>
      <c r="P3" s="122" t="s">
        <v>593</v>
      </c>
      <c r="Q3" s="123" t="s">
        <v>57</v>
      </c>
      <c r="R3" s="123"/>
      <c r="S3" s="123"/>
      <c r="T3" s="122" t="s">
        <v>594</v>
      </c>
      <c r="U3" s="122" t="s">
        <v>595</v>
      </c>
      <c r="V3" s="122" t="s">
        <v>596</v>
      </c>
      <c r="W3" s="123" t="s">
        <v>597</v>
      </c>
      <c r="X3" s="122" t="s">
        <v>598</v>
      </c>
      <c r="Y3" s="122" t="s">
        <v>599</v>
      </c>
      <c r="Z3" s="123" t="s">
        <v>600</v>
      </c>
      <c r="AA3" s="122" t="s">
        <v>601</v>
      </c>
      <c r="AB3" s="122" t="s">
        <v>602</v>
      </c>
      <c r="AC3" s="122" t="s">
        <v>188</v>
      </c>
      <c r="AD3" s="122" t="s">
        <v>188</v>
      </c>
      <c r="AE3" s="122" t="s">
        <v>603</v>
      </c>
      <c r="AF3" s="122" t="s">
        <v>604</v>
      </c>
      <c r="AG3" s="131" t="s">
        <v>605</v>
      </c>
      <c r="AH3" s="136">
        <v>2</v>
      </c>
      <c r="AI3" s="158" t="s">
        <v>606</v>
      </c>
      <c r="AJ3" s="138">
        <v>15000</v>
      </c>
      <c r="AK3" s="137" t="s">
        <v>3</v>
      </c>
      <c r="AL3" s="139" t="s">
        <v>607</v>
      </c>
      <c r="AM3" s="137" t="s">
        <v>608</v>
      </c>
      <c r="AN3" s="139" t="s">
        <v>609</v>
      </c>
      <c r="AO3" s="145" t="s">
        <v>403</v>
      </c>
      <c r="AP3" s="142" t="s">
        <v>586</v>
      </c>
      <c r="AQ3" s="142" t="s">
        <v>587</v>
      </c>
      <c r="AR3" s="108"/>
    </row>
    <row r="4" spans="1:44" ht="159.6">
      <c r="A4" s="126">
        <v>33</v>
      </c>
      <c r="B4" s="127">
        <v>46049.461261574099</v>
      </c>
      <c r="C4" s="127">
        <v>46049.472210648099</v>
      </c>
      <c r="D4" s="128" t="s">
        <v>610</v>
      </c>
      <c r="E4" s="128" t="s">
        <v>611</v>
      </c>
      <c r="F4" s="128" t="s">
        <v>612</v>
      </c>
      <c r="G4" s="128" t="s">
        <v>613</v>
      </c>
      <c r="H4" s="128" t="s">
        <v>158</v>
      </c>
      <c r="I4" s="129" t="s">
        <v>197</v>
      </c>
      <c r="J4" s="129" t="s">
        <v>614</v>
      </c>
      <c r="K4" s="128" t="s">
        <v>572</v>
      </c>
      <c r="L4" s="129"/>
      <c r="M4" s="129"/>
      <c r="N4" s="129" t="s">
        <v>199</v>
      </c>
      <c r="O4" s="132">
        <v>46081</v>
      </c>
      <c r="P4" s="128" t="s">
        <v>615</v>
      </c>
      <c r="Q4" s="129" t="s">
        <v>83</v>
      </c>
      <c r="R4" s="129">
        <v>75364</v>
      </c>
      <c r="S4" s="129"/>
      <c r="T4" s="128" t="s">
        <v>616</v>
      </c>
      <c r="U4" s="128" t="s">
        <v>617</v>
      </c>
      <c r="V4" s="128" t="s">
        <v>618</v>
      </c>
      <c r="W4" s="129" t="s">
        <v>619</v>
      </c>
      <c r="X4" s="128" t="s">
        <v>620</v>
      </c>
      <c r="Y4" s="128" t="s">
        <v>621</v>
      </c>
      <c r="Z4" s="129" t="s">
        <v>621</v>
      </c>
      <c r="AA4" s="128" t="s">
        <v>622</v>
      </c>
      <c r="AB4" s="128" t="s">
        <v>623</v>
      </c>
      <c r="AC4" s="128" t="s">
        <v>188</v>
      </c>
      <c r="AD4" s="128" t="s">
        <v>188</v>
      </c>
      <c r="AE4" s="128" t="s">
        <v>624</v>
      </c>
      <c r="AF4" s="128" t="s">
        <v>625</v>
      </c>
      <c r="AG4" s="133" t="s">
        <v>626</v>
      </c>
      <c r="AH4" s="99" t="s">
        <v>627</v>
      </c>
      <c r="AI4" s="100" t="s">
        <v>628</v>
      </c>
      <c r="AJ4" s="100" t="s">
        <v>629</v>
      </c>
      <c r="AK4" s="147" t="s">
        <v>3</v>
      </c>
      <c r="AL4" s="101" t="s">
        <v>630</v>
      </c>
      <c r="AM4" s="100" t="s">
        <v>631</v>
      </c>
      <c r="AN4" s="101" t="s">
        <v>251</v>
      </c>
      <c r="AO4" s="145" t="s">
        <v>403</v>
      </c>
      <c r="AP4" s="142" t="s">
        <v>586</v>
      </c>
      <c r="AQ4" s="142" t="s">
        <v>587</v>
      </c>
      <c r="AR4" s="111"/>
    </row>
    <row r="5" spans="1:44" ht="105.75" customHeight="1">
      <c r="A5" s="120">
        <v>38</v>
      </c>
      <c r="B5" s="121">
        <v>46056.962071759299</v>
      </c>
      <c r="C5" s="121">
        <v>46056.992395833302</v>
      </c>
      <c r="D5" s="122" t="s">
        <v>632</v>
      </c>
      <c r="E5" s="122" t="s">
        <v>633</v>
      </c>
      <c r="F5" s="122" t="s">
        <v>634</v>
      </c>
      <c r="G5" s="122" t="s">
        <v>635</v>
      </c>
      <c r="H5" s="122" t="s">
        <v>342</v>
      </c>
      <c r="I5" s="123" t="s">
        <v>636</v>
      </c>
      <c r="J5" s="123" t="s">
        <v>637</v>
      </c>
      <c r="K5" s="122" t="s">
        <v>638</v>
      </c>
      <c r="L5" s="123"/>
      <c r="M5" s="123" t="s">
        <v>639</v>
      </c>
      <c r="N5" s="123"/>
      <c r="O5" s="124">
        <v>46070</v>
      </c>
      <c r="P5" s="122" t="s">
        <v>640</v>
      </c>
      <c r="Q5" s="123" t="s">
        <v>57</v>
      </c>
      <c r="R5" s="123"/>
      <c r="S5" s="123"/>
      <c r="T5" s="122" t="s">
        <v>641</v>
      </c>
      <c r="U5" s="122" t="s">
        <v>642</v>
      </c>
      <c r="V5" s="122" t="s">
        <v>643</v>
      </c>
      <c r="W5" s="123" t="s">
        <v>644</v>
      </c>
      <c r="X5" s="122" t="s">
        <v>645</v>
      </c>
      <c r="Y5" s="122" t="s">
        <v>646</v>
      </c>
      <c r="Z5" s="123" t="s">
        <v>647</v>
      </c>
      <c r="AA5" s="122" t="s">
        <v>648</v>
      </c>
      <c r="AB5" s="122" t="s">
        <v>581</v>
      </c>
      <c r="AC5" s="122" t="s">
        <v>188</v>
      </c>
      <c r="AD5" s="122" t="s">
        <v>188</v>
      </c>
      <c r="AE5" s="122" t="s">
        <v>649</v>
      </c>
      <c r="AF5" s="122" t="s">
        <v>650</v>
      </c>
      <c r="AG5" s="131"/>
      <c r="AH5" s="97"/>
      <c r="AI5" s="98"/>
      <c r="AJ5" s="98"/>
      <c r="AK5" s="98"/>
      <c r="AL5" s="156" t="s">
        <v>651</v>
      </c>
      <c r="AM5" s="98"/>
      <c r="AN5" s="102" t="s">
        <v>585</v>
      </c>
      <c r="AO5" s="144" t="s">
        <v>253</v>
      </c>
      <c r="AP5" s="142" t="s">
        <v>586</v>
      </c>
      <c r="AQ5" s="142" t="s">
        <v>587</v>
      </c>
      <c r="AR5" s="108"/>
    </row>
    <row r="6" spans="1:44" ht="87" customHeight="1">
      <c r="A6" s="126">
        <v>39</v>
      </c>
      <c r="B6" s="127">
        <v>46057.3828125</v>
      </c>
      <c r="C6" s="127">
        <v>46057.402731481503</v>
      </c>
      <c r="D6" s="128" t="s">
        <v>652</v>
      </c>
      <c r="E6" s="128" t="s">
        <v>653</v>
      </c>
      <c r="F6" s="128" t="s">
        <v>654</v>
      </c>
      <c r="G6" s="128" t="s">
        <v>655</v>
      </c>
      <c r="H6" s="128" t="s">
        <v>75</v>
      </c>
      <c r="I6" s="129" t="s">
        <v>76</v>
      </c>
      <c r="J6" s="129" t="s">
        <v>656</v>
      </c>
      <c r="K6" s="128" t="s">
        <v>657</v>
      </c>
      <c r="L6" s="129" t="s">
        <v>658</v>
      </c>
      <c r="M6" s="129"/>
      <c r="N6" s="129"/>
      <c r="O6" s="132">
        <v>46094</v>
      </c>
      <c r="P6" s="128" t="s">
        <v>659</v>
      </c>
      <c r="Q6" s="129" t="s">
        <v>57</v>
      </c>
      <c r="R6" s="129"/>
      <c r="S6" s="129"/>
      <c r="T6" s="128" t="s">
        <v>660</v>
      </c>
      <c r="U6" s="128" t="s">
        <v>661</v>
      </c>
      <c r="V6" s="128" t="s">
        <v>662</v>
      </c>
      <c r="W6" s="129" t="s">
        <v>663</v>
      </c>
      <c r="X6" s="128" t="s">
        <v>664</v>
      </c>
      <c r="Y6" s="128" t="s">
        <v>665</v>
      </c>
      <c r="Z6" s="129" t="s">
        <v>666</v>
      </c>
      <c r="AA6" s="128" t="s">
        <v>667</v>
      </c>
      <c r="AB6" s="128" t="s">
        <v>503</v>
      </c>
      <c r="AC6" s="128" t="s">
        <v>188</v>
      </c>
      <c r="AD6" s="128" t="s">
        <v>224</v>
      </c>
      <c r="AE6" s="128" t="s">
        <v>668</v>
      </c>
      <c r="AF6" s="128" t="s">
        <v>669</v>
      </c>
      <c r="AG6" s="133" t="s">
        <v>670</v>
      </c>
      <c r="AH6" s="136">
        <v>2</v>
      </c>
      <c r="AI6" s="137" t="s">
        <v>671</v>
      </c>
      <c r="AJ6" s="138">
        <v>13000</v>
      </c>
      <c r="AK6" s="137" t="s">
        <v>3</v>
      </c>
      <c r="AL6" s="139" t="s">
        <v>672</v>
      </c>
      <c r="AM6" s="137" t="s">
        <v>207</v>
      </c>
      <c r="AN6" s="139" t="s">
        <v>673</v>
      </c>
      <c r="AO6" s="145" t="s">
        <v>674</v>
      </c>
      <c r="AP6" s="142" t="s">
        <v>586</v>
      </c>
      <c r="AQ6" s="142" t="s">
        <v>675</v>
      </c>
      <c r="AR6" s="111"/>
    </row>
    <row r="7" spans="1:44" ht="290.10000000000002">
      <c r="A7" s="126">
        <v>42</v>
      </c>
      <c r="B7" s="127">
        <v>46057.826076388897</v>
      </c>
      <c r="C7" s="127">
        <v>46057.8430787037</v>
      </c>
      <c r="D7" s="128" t="s">
        <v>48</v>
      </c>
      <c r="E7" s="128" t="s">
        <v>49</v>
      </c>
      <c r="F7" s="128" t="s">
        <v>676</v>
      </c>
      <c r="G7" s="128" t="s">
        <v>677</v>
      </c>
      <c r="H7" s="128" t="s">
        <v>158</v>
      </c>
      <c r="I7" s="129" t="s">
        <v>197</v>
      </c>
      <c r="J7" s="129" t="s">
        <v>678</v>
      </c>
      <c r="K7" s="128" t="s">
        <v>572</v>
      </c>
      <c r="L7" s="129"/>
      <c r="M7" s="129"/>
      <c r="N7" s="129" t="s">
        <v>161</v>
      </c>
      <c r="O7" s="132">
        <v>46081</v>
      </c>
      <c r="P7" s="128" t="s">
        <v>679</v>
      </c>
      <c r="Q7" s="129" t="s">
        <v>57</v>
      </c>
      <c r="R7" s="129"/>
      <c r="S7" s="129" t="s">
        <v>224</v>
      </c>
      <c r="T7" s="128" t="s">
        <v>677</v>
      </c>
      <c r="U7" s="128" t="s">
        <v>680</v>
      </c>
      <c r="V7" s="128" t="s">
        <v>681</v>
      </c>
      <c r="W7" s="129" t="s">
        <v>682</v>
      </c>
      <c r="X7" s="128" t="s">
        <v>683</v>
      </c>
      <c r="Y7" s="128" t="s">
        <v>684</v>
      </c>
      <c r="Z7" s="129" t="s">
        <v>685</v>
      </c>
      <c r="AA7" s="128" t="s">
        <v>686</v>
      </c>
      <c r="AB7" s="128" t="s">
        <v>687</v>
      </c>
      <c r="AC7" s="128" t="s">
        <v>188</v>
      </c>
      <c r="AD7" s="128" t="s">
        <v>188</v>
      </c>
      <c r="AE7" s="128" t="s">
        <v>688</v>
      </c>
      <c r="AF7" s="128" t="s">
        <v>689</v>
      </c>
      <c r="AG7" s="133" t="s">
        <v>690</v>
      </c>
      <c r="AH7" s="99">
        <v>2.5</v>
      </c>
      <c r="AI7" s="100" t="s">
        <v>606</v>
      </c>
      <c r="AJ7" s="100" t="s">
        <v>691</v>
      </c>
      <c r="AK7" s="100" t="s">
        <v>3</v>
      </c>
      <c r="AL7" s="101" t="s">
        <v>692</v>
      </c>
      <c r="AM7" s="100" t="s">
        <v>693</v>
      </c>
      <c r="AN7" s="101" t="s">
        <v>694</v>
      </c>
      <c r="AO7" s="146" t="s">
        <v>403</v>
      </c>
      <c r="AP7" s="109"/>
      <c r="AQ7" s="110"/>
      <c r="AR7" s="111"/>
    </row>
    <row r="8" spans="1:44" ht="409.5">
      <c r="A8" s="152">
        <v>47</v>
      </c>
      <c r="B8" s="153">
        <v>46059.417569444398</v>
      </c>
      <c r="C8" s="153">
        <v>46065.659872685203</v>
      </c>
      <c r="D8" s="154" t="s">
        <v>652</v>
      </c>
      <c r="E8" s="154" t="s">
        <v>653</v>
      </c>
      <c r="F8" s="154" t="s">
        <v>695</v>
      </c>
      <c r="G8" s="128" t="s">
        <v>696</v>
      </c>
      <c r="H8" s="128" t="s">
        <v>75</v>
      </c>
      <c r="I8" s="129" t="s">
        <v>76</v>
      </c>
      <c r="J8" s="129" t="s">
        <v>697</v>
      </c>
      <c r="K8" s="128" t="s">
        <v>657</v>
      </c>
      <c r="L8" s="129" t="s">
        <v>658</v>
      </c>
      <c r="M8" s="129"/>
      <c r="N8" s="129"/>
      <c r="O8" s="132">
        <v>46447</v>
      </c>
      <c r="P8" s="128" t="s">
        <v>57</v>
      </c>
      <c r="Q8" s="129" t="s">
        <v>57</v>
      </c>
      <c r="R8" s="129"/>
      <c r="S8" s="129"/>
      <c r="T8" s="128" t="s">
        <v>698</v>
      </c>
      <c r="U8" s="128" t="s">
        <v>699</v>
      </c>
      <c r="V8" s="128" t="s">
        <v>700</v>
      </c>
      <c r="W8" s="129" t="s">
        <v>701</v>
      </c>
      <c r="X8" s="128" t="s">
        <v>702</v>
      </c>
      <c r="Y8" s="128" t="s">
        <v>703</v>
      </c>
      <c r="Z8" s="129" t="s">
        <v>704</v>
      </c>
      <c r="AA8" s="128" t="s">
        <v>705</v>
      </c>
      <c r="AB8" s="128" t="s">
        <v>706</v>
      </c>
      <c r="AC8" s="128" t="s">
        <v>188</v>
      </c>
      <c r="AD8" s="128" t="s">
        <v>188</v>
      </c>
      <c r="AE8" s="128" t="s">
        <v>707</v>
      </c>
      <c r="AF8" s="128" t="s">
        <v>708</v>
      </c>
      <c r="AG8" s="130" t="s">
        <v>709</v>
      </c>
      <c r="AH8" s="99">
        <v>1</v>
      </c>
      <c r="AI8" s="100"/>
      <c r="AJ8" s="100"/>
      <c r="AK8" s="100" t="s">
        <v>4</v>
      </c>
      <c r="AL8" s="157" t="s">
        <v>710</v>
      </c>
      <c r="AM8" s="100" t="s">
        <v>711</v>
      </c>
      <c r="AN8" s="101" t="s">
        <v>152</v>
      </c>
      <c r="AO8" s="146" t="s">
        <v>403</v>
      </c>
      <c r="AP8" s="106" t="s">
        <v>586</v>
      </c>
      <c r="AQ8" s="107" t="s">
        <v>712</v>
      </c>
      <c r="AR8" s="111"/>
    </row>
    <row r="9" spans="1:44" ht="174">
      <c r="A9" s="126">
        <v>46</v>
      </c>
      <c r="B9" s="127">
        <v>46065.350011574097</v>
      </c>
      <c r="C9" s="127">
        <v>46065.393067129597</v>
      </c>
      <c r="D9" s="128" t="s">
        <v>713</v>
      </c>
      <c r="E9" s="128" t="s">
        <v>714</v>
      </c>
      <c r="F9" s="128" t="s">
        <v>715</v>
      </c>
      <c r="G9" s="128" t="s">
        <v>716</v>
      </c>
      <c r="H9" s="128" t="s">
        <v>75</v>
      </c>
      <c r="I9" s="129" t="s">
        <v>76</v>
      </c>
      <c r="J9" s="129" t="s">
        <v>717</v>
      </c>
      <c r="K9" s="128" t="s">
        <v>657</v>
      </c>
      <c r="L9" s="129" t="s">
        <v>184</v>
      </c>
      <c r="M9" s="129"/>
      <c r="N9" s="129"/>
      <c r="O9" s="132">
        <v>46110</v>
      </c>
      <c r="P9" s="128" t="s">
        <v>718</v>
      </c>
      <c r="Q9" s="129" t="s">
        <v>57</v>
      </c>
      <c r="R9" s="129"/>
      <c r="S9" s="129"/>
      <c r="T9" s="128" t="s">
        <v>719</v>
      </c>
      <c r="U9" s="128" t="s">
        <v>720</v>
      </c>
      <c r="V9" s="128" t="s">
        <v>721</v>
      </c>
      <c r="W9" s="129" t="s">
        <v>722</v>
      </c>
      <c r="X9" s="128" t="s">
        <v>723</v>
      </c>
      <c r="Y9" s="128" t="s">
        <v>724</v>
      </c>
      <c r="Z9" s="129" t="s">
        <v>725</v>
      </c>
      <c r="AA9" s="128" t="s">
        <v>726</v>
      </c>
      <c r="AB9" s="128" t="s">
        <v>727</v>
      </c>
      <c r="AC9" s="128" t="s">
        <v>224</v>
      </c>
      <c r="AD9" s="128" t="s">
        <v>188</v>
      </c>
      <c r="AE9" s="128" t="s">
        <v>728</v>
      </c>
      <c r="AF9" s="128" t="s">
        <v>729</v>
      </c>
      <c r="AG9" s="130"/>
      <c r="AH9" s="99">
        <v>0.75</v>
      </c>
      <c r="AI9" s="100" t="s">
        <v>671</v>
      </c>
      <c r="AJ9" s="100">
        <f>30*35*1.18</f>
        <v>1239</v>
      </c>
      <c r="AK9" s="100" t="s">
        <v>4</v>
      </c>
      <c r="AL9" s="157" t="s">
        <v>730</v>
      </c>
      <c r="AM9" s="100" t="s">
        <v>207</v>
      </c>
      <c r="AN9" s="101" t="s">
        <v>731</v>
      </c>
      <c r="AO9" s="146" t="s">
        <v>403</v>
      </c>
      <c r="AP9" s="142" t="s">
        <v>586</v>
      </c>
      <c r="AQ9" s="142" t="s">
        <v>587</v>
      </c>
      <c r="AR9" s="111"/>
    </row>
    <row r="10" spans="1:44" ht="409.5">
      <c r="A10" s="120">
        <v>51</v>
      </c>
      <c r="B10" s="121">
        <v>46069.480613425898</v>
      </c>
      <c r="C10" s="121">
        <v>46070.595509259299</v>
      </c>
      <c r="D10" s="122" t="s">
        <v>732</v>
      </c>
      <c r="E10" s="122" t="s">
        <v>733</v>
      </c>
      <c r="F10" s="122" t="s">
        <v>734</v>
      </c>
      <c r="G10" s="122" t="s">
        <v>735</v>
      </c>
      <c r="H10" s="122" t="s">
        <v>75</v>
      </c>
      <c r="I10" s="123" t="s">
        <v>76</v>
      </c>
      <c r="J10" s="123" t="s">
        <v>736</v>
      </c>
      <c r="K10" s="122" t="s">
        <v>657</v>
      </c>
      <c r="L10" s="123" t="s">
        <v>184</v>
      </c>
      <c r="M10" s="123"/>
      <c r="N10" s="123"/>
      <c r="O10" s="124">
        <v>46104</v>
      </c>
      <c r="P10" s="122" t="s">
        <v>737</v>
      </c>
      <c r="Q10" s="123" t="s">
        <v>57</v>
      </c>
      <c r="R10" s="123"/>
      <c r="S10" s="123"/>
      <c r="T10" s="122" t="s">
        <v>738</v>
      </c>
      <c r="U10" s="122" t="s">
        <v>739</v>
      </c>
      <c r="V10" s="122" t="s">
        <v>740</v>
      </c>
      <c r="W10" s="123" t="s">
        <v>741</v>
      </c>
      <c r="X10" s="122" t="s">
        <v>742</v>
      </c>
      <c r="Y10" s="122" t="s">
        <v>743</v>
      </c>
      <c r="Z10" s="123" t="s">
        <v>744</v>
      </c>
      <c r="AA10" s="122" t="s">
        <v>745</v>
      </c>
      <c r="AB10" s="122" t="s">
        <v>746</v>
      </c>
      <c r="AC10" s="122" t="s">
        <v>188</v>
      </c>
      <c r="AD10" s="122" t="s">
        <v>224</v>
      </c>
      <c r="AE10" s="122" t="s">
        <v>747</v>
      </c>
      <c r="AF10" s="122" t="s">
        <v>748</v>
      </c>
      <c r="AG10" s="125" t="s">
        <v>749</v>
      </c>
      <c r="AH10" s="97"/>
      <c r="AI10" s="98"/>
      <c r="AJ10" s="98"/>
      <c r="AK10" s="98"/>
      <c r="AL10" s="102"/>
      <c r="AM10" s="98"/>
      <c r="AN10" s="102" t="s">
        <v>585</v>
      </c>
      <c r="AO10" s="144" t="s">
        <v>253</v>
      </c>
      <c r="AP10" s="142" t="s">
        <v>586</v>
      </c>
      <c r="AQ10" s="142" t="s">
        <v>587</v>
      </c>
      <c r="AR10" s="108"/>
    </row>
    <row r="11" spans="1:44" s="65" customFormat="1" ht="130.5">
      <c r="A11" s="120">
        <v>53</v>
      </c>
      <c r="B11" s="121">
        <v>46070.696863425903</v>
      </c>
      <c r="C11" s="121">
        <v>46070.718368055597</v>
      </c>
      <c r="D11" s="122" t="s">
        <v>632</v>
      </c>
      <c r="E11" s="122" t="s">
        <v>633</v>
      </c>
      <c r="F11" s="122" t="s">
        <v>750</v>
      </c>
      <c r="G11" s="122" t="s">
        <v>751</v>
      </c>
      <c r="H11" s="122" t="s">
        <v>342</v>
      </c>
      <c r="I11" s="123" t="s">
        <v>636</v>
      </c>
      <c r="J11" s="123" t="s">
        <v>752</v>
      </c>
      <c r="K11" s="122" t="s">
        <v>638</v>
      </c>
      <c r="L11" s="123"/>
      <c r="M11" s="123" t="s">
        <v>639</v>
      </c>
      <c r="N11" s="123"/>
      <c r="O11" s="124">
        <v>46112</v>
      </c>
      <c r="P11" s="122" t="s">
        <v>640</v>
      </c>
      <c r="Q11" s="123" t="s">
        <v>57</v>
      </c>
      <c r="R11" s="123"/>
      <c r="S11" s="123"/>
      <c r="T11" s="122" t="s">
        <v>753</v>
      </c>
      <c r="U11" s="122" t="s">
        <v>754</v>
      </c>
      <c r="V11" s="122" t="s">
        <v>755</v>
      </c>
      <c r="W11" s="123" t="s">
        <v>756</v>
      </c>
      <c r="X11" s="122" t="s">
        <v>757</v>
      </c>
      <c r="Y11" s="122" t="s">
        <v>758</v>
      </c>
      <c r="Z11" s="123" t="s">
        <v>759</v>
      </c>
      <c r="AA11" s="122" t="s">
        <v>760</v>
      </c>
      <c r="AB11" s="122" t="s">
        <v>761</v>
      </c>
      <c r="AC11" s="122" t="s">
        <v>188</v>
      </c>
      <c r="AD11" s="122" t="s">
        <v>188</v>
      </c>
      <c r="AE11" s="122" t="s">
        <v>762</v>
      </c>
      <c r="AF11" s="122" t="s">
        <v>763</v>
      </c>
      <c r="AG11" s="131" t="s">
        <v>764</v>
      </c>
      <c r="AH11" s="97"/>
      <c r="AI11" s="98"/>
      <c r="AJ11" s="98"/>
      <c r="AK11" s="98"/>
      <c r="AL11" s="156" t="s">
        <v>651</v>
      </c>
      <c r="AM11" s="98"/>
      <c r="AN11" s="102" t="s">
        <v>585</v>
      </c>
      <c r="AO11" s="144" t="s">
        <v>253</v>
      </c>
      <c r="AP11" s="106"/>
      <c r="AQ11" s="107"/>
      <c r="AR11" s="108"/>
    </row>
    <row r="12" spans="1:44" s="65" customFormat="1" ht="261">
      <c r="A12" s="120">
        <v>55</v>
      </c>
      <c r="B12" s="121">
        <v>46071.365555555603</v>
      </c>
      <c r="C12" s="121">
        <v>46071.394305555601</v>
      </c>
      <c r="D12" s="122" t="s">
        <v>765</v>
      </c>
      <c r="E12" s="122" t="s">
        <v>766</v>
      </c>
      <c r="F12" s="122" t="s">
        <v>767</v>
      </c>
      <c r="G12" s="122" t="s">
        <v>768</v>
      </c>
      <c r="H12" s="122" t="s">
        <v>75</v>
      </c>
      <c r="I12" s="123" t="s">
        <v>76</v>
      </c>
      <c r="J12" s="123" t="s">
        <v>769</v>
      </c>
      <c r="K12" s="122" t="s">
        <v>657</v>
      </c>
      <c r="L12" s="123" t="s">
        <v>184</v>
      </c>
      <c r="M12" s="123"/>
      <c r="N12" s="123"/>
      <c r="O12" s="124">
        <v>46102</v>
      </c>
      <c r="P12" s="122" t="s">
        <v>770</v>
      </c>
      <c r="Q12" s="123" t="s">
        <v>57</v>
      </c>
      <c r="R12" s="123"/>
      <c r="S12" s="123"/>
      <c r="T12" s="122" t="s">
        <v>771</v>
      </c>
      <c r="U12" s="122" t="s">
        <v>772</v>
      </c>
      <c r="V12" s="122" t="s">
        <v>773</v>
      </c>
      <c r="W12" s="123" t="s">
        <v>774</v>
      </c>
      <c r="X12" s="122" t="s">
        <v>775</v>
      </c>
      <c r="Y12" s="122" t="s">
        <v>776</v>
      </c>
      <c r="Z12" s="123" t="s">
        <v>777</v>
      </c>
      <c r="AA12" s="122" t="s">
        <v>778</v>
      </c>
      <c r="AB12" s="122" t="s">
        <v>779</v>
      </c>
      <c r="AC12" s="122" t="s">
        <v>188</v>
      </c>
      <c r="AD12" s="122" t="s">
        <v>188</v>
      </c>
      <c r="AE12" s="122" t="s">
        <v>780</v>
      </c>
      <c r="AF12" s="122" t="s">
        <v>781</v>
      </c>
      <c r="AG12" s="125" t="s">
        <v>782</v>
      </c>
      <c r="AH12" s="65" t="s">
        <v>783</v>
      </c>
      <c r="AI12" s="65" t="s">
        <v>606</v>
      </c>
      <c r="AJ12" s="70" t="s">
        <v>784</v>
      </c>
      <c r="AK12" s="65" t="s">
        <v>3</v>
      </c>
      <c r="AL12" s="140" t="s">
        <v>785</v>
      </c>
      <c r="AM12" s="65" t="s">
        <v>631</v>
      </c>
      <c r="AN12" s="69" t="s">
        <v>67</v>
      </c>
      <c r="AO12" s="65" t="s">
        <v>403</v>
      </c>
      <c r="AP12" s="106"/>
      <c r="AQ12" s="107"/>
      <c r="AR12" s="108"/>
    </row>
    <row r="13" spans="1:44" s="65" customFormat="1" ht="101.45">
      <c r="A13" s="126">
        <v>57</v>
      </c>
      <c r="B13" s="127">
        <v>46071.778449074103</v>
      </c>
      <c r="C13" s="127">
        <v>46072.386608796303</v>
      </c>
      <c r="D13" s="128" t="s">
        <v>786</v>
      </c>
      <c r="E13" s="128" t="s">
        <v>787</v>
      </c>
      <c r="F13" s="128" t="s">
        <v>788</v>
      </c>
      <c r="G13" s="128" t="s">
        <v>789</v>
      </c>
      <c r="H13" s="128" t="s">
        <v>158</v>
      </c>
      <c r="I13" s="129" t="s">
        <v>159</v>
      </c>
      <c r="J13" s="134" t="s">
        <v>790</v>
      </c>
      <c r="K13" s="128" t="s">
        <v>572</v>
      </c>
      <c r="L13" s="129"/>
      <c r="M13" s="129"/>
      <c r="N13" s="129" t="s">
        <v>258</v>
      </c>
      <c r="O13" s="132">
        <v>46081</v>
      </c>
      <c r="P13" s="128" t="s">
        <v>791</v>
      </c>
      <c r="Q13" s="129" t="s">
        <v>57</v>
      </c>
      <c r="R13" s="129"/>
      <c r="S13" s="129"/>
      <c r="T13" s="128" t="s">
        <v>792</v>
      </c>
      <c r="U13" s="128" t="s">
        <v>793</v>
      </c>
      <c r="V13" s="128" t="s">
        <v>794</v>
      </c>
      <c r="W13" s="129" t="s">
        <v>795</v>
      </c>
      <c r="X13" s="128" t="s">
        <v>796</v>
      </c>
      <c r="Y13" s="128" t="s">
        <v>797</v>
      </c>
      <c r="Z13" s="129" t="s">
        <v>798</v>
      </c>
      <c r="AA13" s="128" t="s">
        <v>799</v>
      </c>
      <c r="AB13" s="128" t="s">
        <v>623</v>
      </c>
      <c r="AC13" s="128" t="s">
        <v>188</v>
      </c>
      <c r="AD13" s="128" t="s">
        <v>188</v>
      </c>
      <c r="AE13" s="128" t="s">
        <v>800</v>
      </c>
      <c r="AF13" s="128" t="s">
        <v>801</v>
      </c>
      <c r="AG13" s="133" t="s">
        <v>802</v>
      </c>
      <c r="AH13" s="65" t="s">
        <v>627</v>
      </c>
      <c r="AI13" s="65" t="s">
        <v>606</v>
      </c>
      <c r="AJ13" s="65" t="s">
        <v>803</v>
      </c>
      <c r="AK13" s="65" t="s">
        <v>3</v>
      </c>
      <c r="AL13" s="140" t="s">
        <v>804</v>
      </c>
      <c r="AM13" s="100" t="s">
        <v>207</v>
      </c>
      <c r="AN13" s="69" t="s">
        <v>805</v>
      </c>
      <c r="AO13" s="145" t="s">
        <v>403</v>
      </c>
      <c r="AP13" s="109" t="s">
        <v>586</v>
      </c>
      <c r="AQ13" s="110" t="s">
        <v>587</v>
      </c>
      <c r="AR13" s="111"/>
    </row>
    <row r="14" spans="1:44" s="65" customFormat="1" ht="405.95">
      <c r="A14" s="120">
        <v>56</v>
      </c>
      <c r="B14" s="121">
        <v>46071.782685185201</v>
      </c>
      <c r="C14" s="121">
        <v>46071.784108796302</v>
      </c>
      <c r="D14" s="122" t="s">
        <v>765</v>
      </c>
      <c r="E14" s="122" t="s">
        <v>766</v>
      </c>
      <c r="F14" s="122" t="s">
        <v>806</v>
      </c>
      <c r="G14" s="155" t="s">
        <v>807</v>
      </c>
      <c r="H14" s="122" t="s">
        <v>75</v>
      </c>
      <c r="I14" s="123" t="s">
        <v>76</v>
      </c>
      <c r="J14" s="135" t="s">
        <v>808</v>
      </c>
      <c r="K14" s="122" t="s">
        <v>657</v>
      </c>
      <c r="L14" s="123" t="s">
        <v>184</v>
      </c>
      <c r="M14" s="123" t="s">
        <v>639</v>
      </c>
      <c r="N14" s="123" t="s">
        <v>161</v>
      </c>
      <c r="O14" s="124">
        <v>46101</v>
      </c>
      <c r="P14" s="122" t="s">
        <v>809</v>
      </c>
      <c r="Q14" s="123" t="s">
        <v>57</v>
      </c>
      <c r="R14" s="123"/>
      <c r="S14" s="123"/>
      <c r="T14" s="122" t="s">
        <v>810</v>
      </c>
      <c r="U14" s="122" t="s">
        <v>811</v>
      </c>
      <c r="V14" s="122" t="s">
        <v>812</v>
      </c>
      <c r="W14" s="123" t="s">
        <v>813</v>
      </c>
      <c r="X14" s="122" t="s">
        <v>814</v>
      </c>
      <c r="Y14" s="122" t="s">
        <v>815</v>
      </c>
      <c r="Z14" s="123" t="s">
        <v>816</v>
      </c>
      <c r="AA14" s="122" t="s">
        <v>817</v>
      </c>
      <c r="AB14" s="122" t="s">
        <v>818</v>
      </c>
      <c r="AC14" s="122" t="s">
        <v>188</v>
      </c>
      <c r="AD14" s="122" t="s">
        <v>188</v>
      </c>
      <c r="AE14" s="122" t="s">
        <v>819</v>
      </c>
      <c r="AF14" s="122" t="s">
        <v>820</v>
      </c>
      <c r="AG14" s="125" t="s">
        <v>821</v>
      </c>
      <c r="AH14" s="65">
        <v>3</v>
      </c>
      <c r="AI14" s="65" t="s">
        <v>822</v>
      </c>
      <c r="AJ14" s="65">
        <f>3*13500*1.18</f>
        <v>47790</v>
      </c>
      <c r="AK14" s="65" t="s">
        <v>3</v>
      </c>
      <c r="AL14" s="141" t="s">
        <v>823</v>
      </c>
      <c r="AM14" s="65" t="s">
        <v>631</v>
      </c>
      <c r="AN14" s="69" t="s">
        <v>67</v>
      </c>
      <c r="AO14" s="65" t="s">
        <v>403</v>
      </c>
      <c r="AP14" s="112"/>
      <c r="AQ14" s="113" t="s">
        <v>587</v>
      </c>
      <c r="AR14" s="114"/>
    </row>
    <row r="15" spans="1:44" ht="116.1">
      <c r="A15" s="148">
        <v>58</v>
      </c>
      <c r="B15" s="149">
        <v>46077.447870370401</v>
      </c>
      <c r="C15" s="149">
        <v>46077.465486111098</v>
      </c>
      <c r="D15" s="150" t="s">
        <v>824</v>
      </c>
      <c r="E15" s="150" t="s">
        <v>125</v>
      </c>
      <c r="F15" s="150" t="s">
        <v>825</v>
      </c>
      <c r="G15" s="150" t="s">
        <v>826</v>
      </c>
      <c r="H15" s="150" t="s">
        <v>158</v>
      </c>
      <c r="I15" s="150" t="s">
        <v>91</v>
      </c>
      <c r="J15" s="150" t="s">
        <v>827</v>
      </c>
      <c r="K15" s="150" t="s">
        <v>572</v>
      </c>
      <c r="L15" s="150"/>
      <c r="M15" s="150"/>
      <c r="N15" s="150" t="s">
        <v>199</v>
      </c>
      <c r="O15" s="151">
        <v>46078</v>
      </c>
      <c r="P15" s="150" t="s">
        <v>828</v>
      </c>
      <c r="Q15" s="150" t="s">
        <v>57</v>
      </c>
      <c r="R15" s="150"/>
      <c r="S15" s="150" t="s">
        <v>57</v>
      </c>
      <c r="T15" s="150" t="s">
        <v>829</v>
      </c>
      <c r="U15" s="150" t="s">
        <v>830</v>
      </c>
      <c r="V15" s="150" t="s">
        <v>831</v>
      </c>
      <c r="W15" s="150" t="s">
        <v>832</v>
      </c>
      <c r="X15" s="150" t="s">
        <v>833</v>
      </c>
      <c r="Y15" s="150" t="s">
        <v>834</v>
      </c>
      <c r="Z15" s="150" t="s">
        <v>828</v>
      </c>
      <c r="AA15" s="150" t="s">
        <v>835</v>
      </c>
      <c r="AB15" s="150" t="s">
        <v>623</v>
      </c>
      <c r="AC15" s="150" t="s">
        <v>188</v>
      </c>
      <c r="AD15" s="150" t="s">
        <v>188</v>
      </c>
      <c r="AE15" s="150" t="s">
        <v>836</v>
      </c>
      <c r="AF15" s="150" t="s">
        <v>837</v>
      </c>
      <c r="AG15" s="150" t="s">
        <v>838</v>
      </c>
      <c r="AH15" s="10">
        <v>0.75</v>
      </c>
      <c r="AK15" s="10" t="s">
        <v>4</v>
      </c>
      <c r="AM15" s="10" t="s">
        <v>711</v>
      </c>
      <c r="AN15" s="59" t="s">
        <v>390</v>
      </c>
      <c r="AO15" s="10" t="s">
        <v>403</v>
      </c>
    </row>
    <row r="16" spans="1:44">
      <c r="A16" s="10" t="e">
        <f>[1]Sheet1!#REF!</f>
        <v>#REF!</v>
      </c>
      <c r="B16" s="10" t="e">
        <f>[1]Sheet1!#REF!</f>
        <v>#REF!</v>
      </c>
      <c r="C16" s="10" t="e">
        <f>[1]Sheet1!#REF!</f>
        <v>#REF!</v>
      </c>
      <c r="D16" s="10" t="e">
        <f>[1]Sheet1!#REF!</f>
        <v>#REF!</v>
      </c>
      <c r="E16" s="10" t="e">
        <f>[1]Sheet1!#REF!</f>
        <v>#REF!</v>
      </c>
      <c r="F16" s="10" t="e">
        <f>[1]Sheet1!#REF!</f>
        <v>#REF!</v>
      </c>
      <c r="G16" s="10" t="e">
        <f>[1]Sheet1!#REF!</f>
        <v>#REF!</v>
      </c>
      <c r="H16" s="10" t="e">
        <f>[1]Sheet1!#REF!</f>
        <v>#REF!</v>
      </c>
      <c r="I16" s="10" t="e">
        <f>[1]Sheet1!#REF!</f>
        <v>#REF!</v>
      </c>
      <c r="J16" s="10" t="e">
        <f>[1]Sheet1!#REF!</f>
        <v>#REF!</v>
      </c>
      <c r="K16" s="10" t="e">
        <f>[1]Sheet1!#REF!</f>
        <v>#REF!</v>
      </c>
      <c r="L16" s="10" t="e">
        <f>[1]Sheet1!#REF!</f>
        <v>#REF!</v>
      </c>
      <c r="M16" s="10" t="e">
        <f>[1]Sheet1!#REF!</f>
        <v>#REF!</v>
      </c>
      <c r="N16" s="10" t="e">
        <f>[1]Sheet1!#REF!</f>
        <v>#REF!</v>
      </c>
      <c r="O16" s="10" t="e">
        <f>[1]Sheet1!#REF!</f>
        <v>#REF!</v>
      </c>
      <c r="P16" s="10" t="e">
        <f>[1]Sheet1!#REF!</f>
        <v>#REF!</v>
      </c>
      <c r="Q16" s="10" t="e">
        <f>[1]Sheet1!#REF!</f>
        <v>#REF!</v>
      </c>
      <c r="R16" s="10" t="e">
        <f>[1]Sheet1!#REF!</f>
        <v>#REF!</v>
      </c>
      <c r="S16" s="10" t="e">
        <f>[1]Sheet1!#REF!</f>
        <v>#REF!</v>
      </c>
      <c r="T16" s="10" t="e">
        <f>[1]Sheet1!#REF!</f>
        <v>#REF!</v>
      </c>
      <c r="U16" s="10" t="e">
        <f>[1]Sheet1!#REF!</f>
        <v>#REF!</v>
      </c>
      <c r="V16" s="10" t="e">
        <f>[1]Sheet1!#REF!</f>
        <v>#REF!</v>
      </c>
      <c r="W16" s="10" t="e">
        <f>[1]Sheet1!#REF!</f>
        <v>#REF!</v>
      </c>
      <c r="X16" s="10" t="e">
        <f>[1]Sheet1!#REF!</f>
        <v>#REF!</v>
      </c>
      <c r="Y16" s="10" t="e">
        <f>[1]Sheet1!#REF!</f>
        <v>#REF!</v>
      </c>
      <c r="Z16" s="10" t="e">
        <f>[1]Sheet1!#REF!</f>
        <v>#REF!</v>
      </c>
      <c r="AA16" s="10" t="e">
        <f>[1]Sheet1!#REF!</f>
        <v>#REF!</v>
      </c>
      <c r="AB16" s="10" t="e">
        <f>[1]Sheet1!#REF!</f>
        <v>#REF!</v>
      </c>
      <c r="AC16" s="10" t="e">
        <f>[1]Sheet1!#REF!</f>
        <v>#REF!</v>
      </c>
      <c r="AD16" s="10" t="e">
        <f>[1]Sheet1!#REF!</f>
        <v>#REF!</v>
      </c>
      <c r="AE16" s="10" t="e">
        <f>[1]Sheet1!#REF!</f>
        <v>#REF!</v>
      </c>
      <c r="AF16" s="10" t="e">
        <f>[1]Sheet1!#REF!</f>
        <v>#REF!</v>
      </c>
      <c r="AG16" s="10" t="e">
        <f>[1]Sheet1!#REF!</f>
        <v>#REF!</v>
      </c>
    </row>
    <row r="17" spans="1:33">
      <c r="A17" s="10" t="e">
        <f>[1]Sheet1!#REF!</f>
        <v>#REF!</v>
      </c>
      <c r="B17" s="10" t="e">
        <f>[1]Sheet1!#REF!</f>
        <v>#REF!</v>
      </c>
      <c r="C17" s="10" t="e">
        <f>[1]Sheet1!#REF!</f>
        <v>#REF!</v>
      </c>
      <c r="D17" s="10" t="e">
        <f>[1]Sheet1!#REF!</f>
        <v>#REF!</v>
      </c>
      <c r="E17" s="10" t="e">
        <f>[1]Sheet1!#REF!</f>
        <v>#REF!</v>
      </c>
      <c r="F17" s="10" t="e">
        <f>[1]Sheet1!#REF!</f>
        <v>#REF!</v>
      </c>
      <c r="G17" s="10" t="e">
        <f>[1]Sheet1!#REF!</f>
        <v>#REF!</v>
      </c>
      <c r="H17" s="10" t="e">
        <f>[1]Sheet1!#REF!</f>
        <v>#REF!</v>
      </c>
      <c r="I17" s="10" t="e">
        <f>[1]Sheet1!#REF!</f>
        <v>#REF!</v>
      </c>
      <c r="J17" s="10" t="e">
        <f>[1]Sheet1!#REF!</f>
        <v>#REF!</v>
      </c>
      <c r="K17" s="10" t="e">
        <f>[1]Sheet1!#REF!</f>
        <v>#REF!</v>
      </c>
      <c r="L17" s="10" t="e">
        <f>[1]Sheet1!#REF!</f>
        <v>#REF!</v>
      </c>
      <c r="M17" s="10" t="e">
        <f>[1]Sheet1!#REF!</f>
        <v>#REF!</v>
      </c>
      <c r="N17" s="10" t="e">
        <f>[1]Sheet1!#REF!</f>
        <v>#REF!</v>
      </c>
      <c r="O17" s="10" t="e">
        <f>[1]Sheet1!#REF!</f>
        <v>#REF!</v>
      </c>
      <c r="P17" s="10" t="e">
        <f>[1]Sheet1!#REF!</f>
        <v>#REF!</v>
      </c>
      <c r="Q17" s="10" t="e">
        <f>[1]Sheet1!#REF!</f>
        <v>#REF!</v>
      </c>
      <c r="R17" s="10" t="e">
        <f>[1]Sheet1!#REF!</f>
        <v>#REF!</v>
      </c>
      <c r="S17" s="10" t="e">
        <f>[1]Sheet1!#REF!</f>
        <v>#REF!</v>
      </c>
      <c r="T17" s="10" t="e">
        <f>[1]Sheet1!#REF!</f>
        <v>#REF!</v>
      </c>
      <c r="U17" s="10" t="e">
        <f>[1]Sheet1!#REF!</f>
        <v>#REF!</v>
      </c>
      <c r="V17" s="10" t="e">
        <f>[1]Sheet1!#REF!</f>
        <v>#REF!</v>
      </c>
      <c r="W17" s="10" t="e">
        <f>[1]Sheet1!#REF!</f>
        <v>#REF!</v>
      </c>
      <c r="X17" s="10" t="e">
        <f>[1]Sheet1!#REF!</f>
        <v>#REF!</v>
      </c>
      <c r="Y17" s="10" t="e">
        <f>[1]Sheet1!#REF!</f>
        <v>#REF!</v>
      </c>
      <c r="Z17" s="10" t="e">
        <f>[1]Sheet1!#REF!</f>
        <v>#REF!</v>
      </c>
      <c r="AA17" s="10" t="e">
        <f>[1]Sheet1!#REF!</f>
        <v>#REF!</v>
      </c>
      <c r="AB17" s="10" t="e">
        <f>[1]Sheet1!#REF!</f>
        <v>#REF!</v>
      </c>
      <c r="AC17" s="10" t="e">
        <f>[1]Sheet1!#REF!</f>
        <v>#REF!</v>
      </c>
      <c r="AD17" s="10" t="e">
        <f>[1]Sheet1!#REF!</f>
        <v>#REF!</v>
      </c>
      <c r="AE17" s="10" t="e">
        <f>[1]Sheet1!#REF!</f>
        <v>#REF!</v>
      </c>
      <c r="AF17" s="10" t="e">
        <f>[1]Sheet1!#REF!</f>
        <v>#REF!</v>
      </c>
      <c r="AG17" s="10" t="e">
        <f>[1]Sheet1!#REF!</f>
        <v>#REF!</v>
      </c>
    </row>
    <row r="18" spans="1:33">
      <c r="A18" s="10">
        <f>[1]Sheet1!A38</f>
        <v>60</v>
      </c>
      <c r="B18" s="10">
        <f>[1]Sheet1!B38</f>
        <v>46083.704305555599</v>
      </c>
      <c r="C18" s="10">
        <f>[1]Sheet1!C38</f>
        <v>46083.706134259301</v>
      </c>
      <c r="D18" s="10" t="str">
        <f>[1]Sheet1!D38</f>
        <v>carlos.sanchez@laureate.pe</v>
      </c>
      <c r="E18" s="10" t="str">
        <f>[1]Sheet1!E38</f>
        <v>Carlos Sanchez Rubio</v>
      </c>
      <c r="F18" s="10" t="str">
        <f>[1]Sheet1!F38</f>
        <v>MFA para equipos de cómputo administrativos</v>
      </c>
      <c r="G18" s="10"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18" s="10" t="str">
        <f>[1]Sheet1!H38</f>
        <v>CORPORATIVO</v>
      </c>
      <c r="I18" s="10" t="str">
        <f>[1]Sheet1!I38</f>
        <v>Donoban Meza - Director Corp IT Security</v>
      </c>
      <c r="J18" s="10" t="str">
        <f>[1]Sheet1!J38</f>
        <v>Carlos Sánchez</v>
      </c>
      <c r="K18" s="10">
        <f>[1]Sheet1!K38</f>
        <v>0</v>
      </c>
      <c r="L18" s="10" t="str">
        <f>[1]Sheet1!L38</f>
        <v>Ninguno</v>
      </c>
      <c r="M18" s="10">
        <f>[1]Sheet1!M38</f>
        <v>46203</v>
      </c>
      <c r="N18" s="10" t="str">
        <f>[1]Sheet1!N38</f>
        <v>No</v>
      </c>
      <c r="O18" s="10">
        <f>[1]Sheet1!O38</f>
        <v>0</v>
      </c>
      <c r="P18" s="10">
        <f>[1]Sheet1!P38</f>
        <v>0</v>
      </c>
      <c r="Q18" s="10" t="str">
        <f>[1]Sheet1!Q38</f>
        <v>Seguridad TI</v>
      </c>
      <c r="R18" s="10"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18" s="10">
        <f>[1]Sheet1!S38</f>
        <v>0</v>
      </c>
      <c r="T18" s="10" t="str">
        <f>[1]Sheet1!T38</f>
        <v>No Aplica</v>
      </c>
      <c r="U18" s="10">
        <f>[1]Sheet1!U38</f>
        <v>0</v>
      </c>
      <c r="V18" s="10" t="str">
        <f>[1]Sheet1!V38</f>
        <v>Excelencia Operativa</v>
      </c>
      <c r="W18" s="10" t="str">
        <f>[1]Sheet1!W38</f>
        <v>No</v>
      </c>
      <c r="X18" s="10">
        <f>[1]Sheet1!X38</f>
        <v>0</v>
      </c>
      <c r="Y18" s="10"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18" s="10"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18" s="10">
        <f>[1]Sheet1!AA38</f>
        <v>1.2</v>
      </c>
      <c r="AB18" s="10">
        <f>[1]Sheet1!AB38</f>
        <v>0</v>
      </c>
      <c r="AC18" s="10">
        <f>[1]Sheet1!AC38</f>
        <v>0</v>
      </c>
      <c r="AD18" s="10">
        <f>[1]Sheet1!AD38</f>
        <v>0</v>
      </c>
      <c r="AE18" s="10">
        <f>[1]Sheet1!AE38</f>
        <v>0</v>
      </c>
      <c r="AF18" s="10">
        <f>[1]Sheet1!AF38</f>
        <v>0</v>
      </c>
      <c r="AG18" s="10">
        <f>[1]Sheet1!AG38</f>
        <v>0</v>
      </c>
    </row>
    <row r="19" spans="1:33">
      <c r="A19" s="10">
        <f>[1]Sheet1!A39</f>
        <v>61</v>
      </c>
      <c r="B19" s="10">
        <f>[1]Sheet1!B39</f>
        <v>46083.706215277802</v>
      </c>
      <c r="C19" s="10">
        <f>[1]Sheet1!C39</f>
        <v>46083.709166666697</v>
      </c>
      <c r="D19" s="10" t="str">
        <f>[1]Sheet1!D39</f>
        <v>carlos.sanchez@laureate.pe</v>
      </c>
      <c r="E19" s="10" t="str">
        <f>[1]Sheet1!E39</f>
        <v>Carlos Sanchez Rubio</v>
      </c>
      <c r="F19" s="10" t="str">
        <f>[1]Sheet1!F39</f>
        <v>API Pentesting</v>
      </c>
      <c r="G19" s="10"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19" s="10" t="str">
        <f>[1]Sheet1!H39</f>
        <v>CORPORATIVO</v>
      </c>
      <c r="I19" s="10" t="str">
        <f>[1]Sheet1!I39</f>
        <v>Donoban Meza - Director Corp IT Security</v>
      </c>
      <c r="J19" s="10" t="str">
        <f>[1]Sheet1!J39</f>
        <v>Carlos Sánchez</v>
      </c>
      <c r="K19" s="10">
        <f>[1]Sheet1!K39</f>
        <v>0</v>
      </c>
      <c r="L19" s="10" t="str">
        <f>[1]Sheet1!L39</f>
        <v>Ninguno</v>
      </c>
      <c r="M19" s="10">
        <f>[1]Sheet1!M39</f>
        <v>46295</v>
      </c>
      <c r="N19" s="10" t="str">
        <f>[1]Sheet1!N39</f>
        <v>No</v>
      </c>
      <c r="O19" s="10">
        <f>[1]Sheet1!O39</f>
        <v>0</v>
      </c>
      <c r="P19" s="10">
        <f>[1]Sheet1!P39</f>
        <v>0</v>
      </c>
      <c r="Q19" s="10" t="str">
        <f>[1]Sheet1!Q39</f>
        <v>Seguridad TI</v>
      </c>
      <c r="R19" s="10" t="str">
        <f>[1]Sheet1!R39</f>
        <v>Las APIs exponen servicios y datos sensibles, pero no todas cuentan con validaciones de seguridad verificadas de forma periódica. Esto puede permitir explotación de vulnerabilidades como exposición de datos, fallas de autenticación o acceso indebido.</v>
      </c>
      <c r="S19" s="10">
        <f>[1]Sheet1!S39</f>
        <v>0</v>
      </c>
      <c r="T19" s="10" t="str">
        <f>[1]Sheet1!T39</f>
        <v>No Aplica</v>
      </c>
      <c r="U19" s="10">
        <f>[1]Sheet1!U39</f>
        <v>0</v>
      </c>
      <c r="V19" s="10" t="str">
        <f>[1]Sheet1!V39</f>
        <v>Excelencia Operativa</v>
      </c>
      <c r="W19" s="10" t="str">
        <f>[1]Sheet1!W39</f>
        <v>No</v>
      </c>
      <c r="X19" s="10">
        <f>[1]Sheet1!X39</f>
        <v>0</v>
      </c>
      <c r="Y19" s="10"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19" s="10"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19" s="10">
        <f>[1]Sheet1!AA39</f>
        <v>1.2</v>
      </c>
      <c r="AB19" s="10">
        <f>[1]Sheet1!AB39</f>
        <v>0</v>
      </c>
      <c r="AC19" s="10">
        <f>[1]Sheet1!AC39</f>
        <v>0</v>
      </c>
      <c r="AD19" s="10">
        <f>[1]Sheet1!AD39</f>
        <v>0</v>
      </c>
      <c r="AE19" s="10">
        <f>[1]Sheet1!AE39</f>
        <v>0</v>
      </c>
      <c r="AF19" s="10">
        <f>[1]Sheet1!AF39</f>
        <v>0</v>
      </c>
      <c r="AG19" s="10">
        <f>[1]Sheet1!AG39</f>
        <v>0</v>
      </c>
    </row>
    <row r="20" spans="1:33">
      <c r="A20" s="10">
        <f>[1]Sheet1!A40</f>
        <v>62</v>
      </c>
      <c r="B20" s="10">
        <f>[1]Sheet1!B40</f>
        <v>46083.709212962996</v>
      </c>
      <c r="C20" s="10">
        <f>[1]Sheet1!C40</f>
        <v>46083.711898148104</v>
      </c>
      <c r="D20" s="10" t="str">
        <f>[1]Sheet1!D40</f>
        <v>carlos.sanchez@laureate.pe</v>
      </c>
      <c r="E20" s="10" t="str">
        <f>[1]Sheet1!E40</f>
        <v>Carlos Sanchez Rubio</v>
      </c>
      <c r="F20" s="10" t="str">
        <f>[1]Sheet1!F40</f>
        <v>Integración de sistemas críticos con el SIEM</v>
      </c>
      <c r="G20" s="10" t="str">
        <f>[1]Sheet1!G40</f>
        <v>Necesitamos integrar los sistemas críticos al SIEM, para centralizar eventos de seguridad y detectar oportunamente actividades sospechosas o incidentes, logrando mejorar la visibilidad, la capacidad de monitoreo y la respuesta ante amenazas.</v>
      </c>
      <c r="H20" s="10" t="str">
        <f>[1]Sheet1!H40</f>
        <v>CORPORATIVO</v>
      </c>
      <c r="I20" s="10" t="str">
        <f>[1]Sheet1!I40</f>
        <v>Donoban Meza - Director Corp IT Security</v>
      </c>
      <c r="J20" s="10" t="str">
        <f>[1]Sheet1!J40</f>
        <v>Carlos Sánchez</v>
      </c>
      <c r="K20" s="10">
        <f>[1]Sheet1!K40</f>
        <v>0</v>
      </c>
      <c r="L20" s="10" t="str">
        <f>[1]Sheet1!L40</f>
        <v>Ninguno</v>
      </c>
      <c r="M20" s="10">
        <f>[1]Sheet1!M40</f>
        <v>46326</v>
      </c>
      <c r="N20" s="10" t="str">
        <f>[1]Sheet1!N40</f>
        <v>No</v>
      </c>
      <c r="O20" s="10">
        <f>[1]Sheet1!O40</f>
        <v>0</v>
      </c>
      <c r="P20" s="10">
        <f>[1]Sheet1!P40</f>
        <v>0</v>
      </c>
      <c r="Q20" s="10" t="str">
        <f>[1]Sheet1!Q40</f>
        <v>Seguridad TI</v>
      </c>
      <c r="R20" s="10" t="str">
        <f>[1]Sheet1!R40</f>
        <v>Actualmente, no todos los sistemas críticos reportan sus eventos al SIEM, lo que limita la detección temprana de incidentes y reduce la visibilidad sobre actividades anómalas o compromisos de seguridad.</v>
      </c>
      <c r="S20" s="10">
        <f>[1]Sheet1!S40</f>
        <v>0</v>
      </c>
      <c r="T20" s="10" t="str">
        <f>[1]Sheet1!T40</f>
        <v>No Aplica</v>
      </c>
      <c r="U20" s="10" t="str">
        <f>[1]Sheet1!U40</f>
        <v>Ninguno</v>
      </c>
      <c r="V20" s="10" t="str">
        <f>[1]Sheet1!V40</f>
        <v>Excelencia Operativa</v>
      </c>
      <c r="W20" s="10" t="str">
        <f>[1]Sheet1!W40</f>
        <v>No</v>
      </c>
      <c r="X20" s="10" t="str">
        <f>[1]Sheet1!X40</f>
        <v>No cuantificado o S/0</v>
      </c>
      <c r="Y20" s="10" t="str">
        <f>[1]Sheet1!Y40</f>
        <v>Mejora la visibilidad sobre eventos de seguridad, fortalece la capacidad de respuesta ante incidentes y permite una gestión más oportuna de amenazas. Incrementa el control y la trazabilidad sobre sistemas críticos para el negocio.</v>
      </c>
      <c r="Z20" s="10"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20" s="10">
        <f>[1]Sheet1!AA40</f>
        <v>1.3499999999999999</v>
      </c>
      <c r="AB20" s="10">
        <f>[1]Sheet1!AB40</f>
        <v>0</v>
      </c>
      <c r="AC20" s="10">
        <f>[1]Sheet1!AC40</f>
        <v>0</v>
      </c>
      <c r="AD20" s="10">
        <f>[1]Sheet1!AD40</f>
        <v>0</v>
      </c>
      <c r="AE20" s="10">
        <f>[1]Sheet1!AE40</f>
        <v>0</v>
      </c>
      <c r="AF20" s="10">
        <f>[1]Sheet1!AF40</f>
        <v>0</v>
      </c>
      <c r="AG20" s="10">
        <f>[1]Sheet1!AG40</f>
        <v>0</v>
      </c>
    </row>
    <row r="21" spans="1:33">
      <c r="A21" s="10">
        <f>[1]Sheet1!A41</f>
        <v>63</v>
      </c>
      <c r="B21" s="10">
        <f>[1]Sheet1!B41</f>
        <v>46083.712094907401</v>
      </c>
      <c r="C21" s="10">
        <f>[1]Sheet1!C41</f>
        <v>46083.714675925898</v>
      </c>
      <c r="D21" s="10" t="str">
        <f>[1]Sheet1!D41</f>
        <v>carlos.sanchez@laureate.pe</v>
      </c>
      <c r="E21" s="10" t="str">
        <f>[1]Sheet1!E41</f>
        <v>Carlos Sanchez Rubio</v>
      </c>
      <c r="F21" s="10" t="str">
        <f>[1]Sheet1!F41</f>
        <v>Ejecución de BIA para sistemas críticos del negocio</v>
      </c>
      <c r="G21" s="10"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21" s="10" t="str">
        <f>[1]Sheet1!H41</f>
        <v>CORPORATIVO</v>
      </c>
      <c r="I21" s="10" t="str">
        <f>[1]Sheet1!I41</f>
        <v>Donoban Meza - Director Corp IT Security</v>
      </c>
      <c r="J21" s="10" t="str">
        <f>[1]Sheet1!J41</f>
        <v>Carlos Sánchez</v>
      </c>
      <c r="K21" s="10">
        <f>[1]Sheet1!K41</f>
        <v>0</v>
      </c>
      <c r="L21" s="10" t="str">
        <f>[1]Sheet1!L41</f>
        <v>Ninguno</v>
      </c>
      <c r="M21" s="10">
        <f>[1]Sheet1!M41</f>
        <v>46356</v>
      </c>
      <c r="N21" s="10" t="str">
        <f>[1]Sheet1!N41</f>
        <v>No</v>
      </c>
      <c r="O21" s="10">
        <f>[1]Sheet1!O41</f>
        <v>0</v>
      </c>
      <c r="P21" s="10">
        <f>[1]Sheet1!P41</f>
        <v>0</v>
      </c>
      <c r="Q21" s="10" t="str">
        <f>[1]Sheet1!Q41</f>
        <v>Seguridad TI</v>
      </c>
      <c r="R21" s="10" t="str">
        <f>[1]Sheet1!R41</f>
        <v>Actualmente, no se cuenta con una evaluación formal y actualizada del impacto de indisponibilidad de sistemas críticos. Esto dificulta priorizar recuperación, asignar recursos y definir tiempos objetivos de continuidad.</v>
      </c>
      <c r="S21" s="10">
        <f>[1]Sheet1!S41</f>
        <v>0</v>
      </c>
      <c r="T21" s="10" t="str">
        <f>[1]Sheet1!T41</f>
        <v>Proceso de Continuidad del Negocio</v>
      </c>
      <c r="U21" s="10" t="str">
        <f>[1]Sheet1!U41</f>
        <v>Ninguno</v>
      </c>
      <c r="V21" s="10" t="str">
        <f>[1]Sheet1!V41</f>
        <v>Excelencia Operativa</v>
      </c>
      <c r="W21" s="10" t="str">
        <f>[1]Sheet1!W41</f>
        <v>No</v>
      </c>
      <c r="X21" s="10" t="str">
        <f>[1]Sheet1!X41</f>
        <v>No cuantificado o S/0</v>
      </c>
      <c r="Y21" s="10" t="str">
        <f>[1]Sheet1!Y41</f>
        <v>Fortalece la toma de decisiones ante contingencias, mejora la planificación de continuidad y alinea a TI con las prioridades reales del negocio. Permite una gestión más ordenada, objetiva y consensuada sobre sistemas críticos.</v>
      </c>
      <c r="Z21" s="10"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21" s="10">
        <f>[1]Sheet1!AA41</f>
        <v>1.3499999999999999</v>
      </c>
      <c r="AB21" s="10">
        <f>[1]Sheet1!AB41</f>
        <v>0</v>
      </c>
      <c r="AC21" s="10">
        <f>[1]Sheet1!AC41</f>
        <v>0</v>
      </c>
      <c r="AD21" s="10">
        <f>[1]Sheet1!AD41</f>
        <v>0</v>
      </c>
      <c r="AE21" s="10">
        <f>[1]Sheet1!AE41</f>
        <v>0</v>
      </c>
      <c r="AF21" s="10">
        <f>[1]Sheet1!AF41</f>
        <v>0</v>
      </c>
      <c r="AG21" s="10">
        <f>[1]Sheet1!AG41</f>
        <v>0</v>
      </c>
    </row>
    <row r="22" spans="1:33">
      <c r="A22" s="10">
        <f>[1]Sheet1!A42</f>
        <v>64</v>
      </c>
      <c r="B22" s="10">
        <f>[1]Sheet1!B42</f>
        <v>46083.714710648099</v>
      </c>
      <c r="C22" s="10">
        <f>[1]Sheet1!C42</f>
        <v>46083.720902777801</v>
      </c>
      <c r="D22" s="10" t="str">
        <f>[1]Sheet1!D42</f>
        <v>carlos.sanchez@laureate.pe</v>
      </c>
      <c r="E22" s="10" t="str">
        <f>[1]Sheet1!E42</f>
        <v>Carlos Sanchez Rubio</v>
      </c>
      <c r="F22" s="10" t="str">
        <f>[1]Sheet1!F42</f>
        <v>Verificación de Integridad de Backups</v>
      </c>
      <c r="G22" s="10" t="str">
        <f>[1]Sheet1!G42</f>
        <v>Necesitamos implementar un proceso de verificación de integridad de backups, para asegurar que los respaldos sean recuperables y confiables ante incidentes, logrando reducir el riesgo de fallas de restauración y fortalecer la continuidad operativa.</v>
      </c>
      <c r="H22" s="10" t="str">
        <f>[1]Sheet1!H42</f>
        <v>CORPORATIVO</v>
      </c>
      <c r="I22" s="10" t="str">
        <f>[1]Sheet1!I42</f>
        <v>Donoban Meza - Director Corp IT Security</v>
      </c>
      <c r="J22" s="10" t="str">
        <f>[1]Sheet1!J42</f>
        <v>Carlos Sánchez</v>
      </c>
      <c r="K22" s="10">
        <f>[1]Sheet1!K42</f>
        <v>0</v>
      </c>
      <c r="L22" s="10" t="str">
        <f>[1]Sheet1!L42</f>
        <v>Ninguno</v>
      </c>
      <c r="M22" s="10">
        <f>[1]Sheet1!M42</f>
        <v>46295</v>
      </c>
      <c r="N22" s="10" t="str">
        <f>[1]Sheet1!N42</f>
        <v>No</v>
      </c>
      <c r="O22" s="10">
        <f>[1]Sheet1!O42</f>
        <v>0</v>
      </c>
      <c r="P22" s="10">
        <f>[1]Sheet1!P42</f>
        <v>0</v>
      </c>
      <c r="Q22" s="10" t="str">
        <f>[1]Sheet1!Q42</f>
        <v>Seguridad TI</v>
      </c>
      <c r="R22" s="10" t="str">
        <f>[1]Sheet1!R42</f>
        <v>Contar con respaldos no garantiza su recuperación si no se valida periódicamente su integridad. Esto expone a la organización a fallas durante incidentes, ransomware o eventos de pérdida de información.</v>
      </c>
      <c r="S22" s="10">
        <f>[1]Sheet1!S42</f>
        <v>0</v>
      </c>
      <c r="T22" s="10" t="str">
        <f>[1]Sheet1!T42</f>
        <v>Proceso de Respaldo de Sistemas de Información</v>
      </c>
      <c r="U22" s="10">
        <f>[1]Sheet1!U42</f>
        <v>0</v>
      </c>
      <c r="V22" s="10" t="str">
        <f>[1]Sheet1!V42</f>
        <v>Excelencia Operativa</v>
      </c>
      <c r="W22" s="10" t="str">
        <f>[1]Sheet1!W42</f>
        <v>No</v>
      </c>
      <c r="X22" s="10">
        <f>[1]Sheet1!X42</f>
        <v>0</v>
      </c>
      <c r="Y22" s="10" t="str">
        <f>[1]Sheet1!Y42</f>
        <v>Aumenta la confianza en la estrategia de respaldo, fortalece la continuidad operativa y mejora la preparación ante incidentes como ransomware o fallas tecnológicas. Reduce la incertidumbre sobre la capacidad real de recuperación.</v>
      </c>
      <c r="Z22" s="10"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22" s="10">
        <f>[1]Sheet1!AA42</f>
        <v>1.2</v>
      </c>
      <c r="AB22" s="10">
        <f>[1]Sheet1!AB42</f>
        <v>0</v>
      </c>
      <c r="AC22" s="10">
        <f>[1]Sheet1!AC42</f>
        <v>0</v>
      </c>
      <c r="AD22" s="10">
        <f>[1]Sheet1!AD42</f>
        <v>0</v>
      </c>
      <c r="AE22" s="10">
        <f>[1]Sheet1!AE42</f>
        <v>0</v>
      </c>
      <c r="AF22" s="10">
        <f>[1]Sheet1!AF42</f>
        <v>0</v>
      </c>
      <c r="AG22" s="10">
        <f>[1]Sheet1!AG42</f>
        <v>0</v>
      </c>
    </row>
    <row r="23" spans="1:33">
      <c r="A23" s="10">
        <f>[1]Sheet1!A43</f>
        <v>65</v>
      </c>
      <c r="B23" s="10">
        <f>[1]Sheet1!B43</f>
        <v>46083.708483796298</v>
      </c>
      <c r="C23" s="10">
        <f>[1]Sheet1!C43</f>
        <v>46083.737210648098</v>
      </c>
      <c r="D23" s="10" t="str">
        <f>[1]Sheet1!D43</f>
        <v>frank.palomino@cibertec.pe</v>
      </c>
      <c r="E23" s="10" t="str">
        <f>[1]Sheet1!E43</f>
        <v>Frank Palomino Lizano</v>
      </c>
      <c r="F23" s="10" t="str">
        <f>[1]Sheet1!F43</f>
        <v>Reporte de asistencia y tardanza</v>
      </c>
      <c r="G23" s="10" t="str">
        <f>[1]Sheet1!G43</f>
        <v>Análisis de  asistencia y tardanza en base a falla de marcación por error de sistema y/o error humano</v>
      </c>
      <c r="H23" s="10" t="str">
        <f>[1]Sheet1!H43</f>
        <v>CIB</v>
      </c>
      <c r="I23" s="10" t="str">
        <f>[1]Sheet1!I43</f>
        <v>Humberto Marota - Tecnologías y transformación digital</v>
      </c>
      <c r="J23" s="10" t="str">
        <f>[1]Sheet1!J43</f>
        <v>Juan Huapata</v>
      </c>
      <c r="K23" s="10">
        <f>[1]Sheet1!K43</f>
        <v>0</v>
      </c>
      <c r="L23" s="10" t="str">
        <f>[1]Sheet1!L43</f>
        <v>Ángela Lucano</v>
      </c>
      <c r="M23" s="10">
        <f>[1]Sheet1!M43</f>
        <v>46112</v>
      </c>
      <c r="N23" s="10" t="str">
        <f>[1]Sheet1!N43</f>
        <v>No</v>
      </c>
      <c r="O23" s="10">
        <f>[1]Sheet1!O43</f>
        <v>0</v>
      </c>
      <c r="P23" s="10">
        <f>[1]Sheet1!P43</f>
        <v>0</v>
      </c>
      <c r="Q23" s="10" t="str">
        <f>[1]Sheet1!Q43</f>
        <v>Otro</v>
      </c>
      <c r="R23" s="10" t="str">
        <f>[1]Sheet1!R43</f>
        <v xml:space="preserve">Reporte actual en gestión docente para la función no cumple con la necesidad realizando un trabajo manual muy arduo.
</v>
      </c>
      <c r="S23" s="10">
        <f>[1]Sheet1!S43</f>
        <v>0</v>
      </c>
      <c r="T23" s="10" t="str">
        <f>[1]Sheet1!T43</f>
        <v>Proceso planilla, programación de recuperación de clases, proceso de asistencias entre otros.</v>
      </c>
      <c r="U23" s="10">
        <f>[1]Sheet1!U43</f>
        <v>0</v>
      </c>
      <c r="V23" s="10" t="str">
        <f>[1]Sheet1!V43</f>
        <v>Excelencia operativa</v>
      </c>
      <c r="W23" s="10" t="str">
        <f>[1]Sheet1!W43</f>
        <v>No</v>
      </c>
      <c r="X23" s="10">
        <f>[1]Sheet1!X43</f>
        <v>0</v>
      </c>
      <c r="Y23" s="10" t="str">
        <f>[1]Sheet1!Y43</f>
        <v>Las mejoras  como seguimiento de asistencia docente, recuperación de clases y  contratación de docente que cumplan el horario establecido y a la una organización correcta para su pago de planilla</v>
      </c>
      <c r="Z23" s="10">
        <f>[1]Sheet1!Z43</f>
        <v>0</v>
      </c>
      <c r="AA23" s="10">
        <f>[1]Sheet1!AA43</f>
        <v>0.30000000000000004</v>
      </c>
      <c r="AB23" s="10">
        <f>[1]Sheet1!AB43</f>
        <v>0</v>
      </c>
      <c r="AC23" s="10">
        <f>[1]Sheet1!AC43</f>
        <v>0</v>
      </c>
      <c r="AD23" s="10">
        <f>[1]Sheet1!AD43</f>
        <v>0</v>
      </c>
      <c r="AE23" s="10">
        <f>[1]Sheet1!AE43</f>
        <v>0</v>
      </c>
      <c r="AF23" s="10">
        <f>[1]Sheet1!AF43</f>
        <v>0</v>
      </c>
      <c r="AG23" s="10">
        <f>[1]Sheet1!AG43</f>
        <v>0</v>
      </c>
    </row>
    <row r="24" spans="1:33">
      <c r="A24" s="10">
        <f>[1]Sheet1!A44</f>
        <v>66</v>
      </c>
      <c r="B24" s="10">
        <f>[1]Sheet1!B44</f>
        <v>46083.734027777798</v>
      </c>
      <c r="C24" s="10">
        <f>[1]Sheet1!C44</f>
        <v>46083.756967592599</v>
      </c>
      <c r="D24" s="10" t="str">
        <f>[1]Sheet1!D44</f>
        <v>eduardo.paul@cibertec.pe</v>
      </c>
      <c r="E24" s="10" t="str">
        <f>[1]Sheet1!E44</f>
        <v>Eduardo Paul Aguilar</v>
      </c>
      <c r="F24" s="10" t="str">
        <f>[1]Sheet1!F44</f>
        <v>Genesys – Implementación de Timestamps</v>
      </c>
      <c r="G24" s="10"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24" s="10" t="str">
        <f>[1]Sheet1!H44</f>
        <v>LAUREATE</v>
      </c>
      <c r="I24" s="10" t="str">
        <f>[1]Sheet1!I44</f>
        <v>Ivan Olivares - VP Marketing y Comercial</v>
      </c>
      <c r="J24" s="10" t="str">
        <f>[1]Sheet1!J44</f>
        <v>Pedro Guibar</v>
      </c>
      <c r="K24" s="10">
        <f>[1]Sheet1!K44</f>
        <v>0</v>
      </c>
      <c r="L24" s="10" t="str">
        <f>[1]Sheet1!L44</f>
        <v>Jose Paredes</v>
      </c>
      <c r="M24" s="10">
        <f>[1]Sheet1!M44</f>
        <v>46098</v>
      </c>
      <c r="N24" s="10" t="str">
        <f>[1]Sheet1!N44</f>
        <v>No</v>
      </c>
      <c r="O24" s="10">
        <f>[1]Sheet1!O44</f>
        <v>0</v>
      </c>
      <c r="P24" s="10">
        <f>[1]Sheet1!P44</f>
        <v>0</v>
      </c>
      <c r="Q24" s="10" t="str">
        <f>[1]Sheet1!Q44</f>
        <v>Otro</v>
      </c>
      <c r="R24" s="10"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24" s="10">
        <f>[1]Sheet1!S44</f>
        <v>0</v>
      </c>
      <c r="T24" s="10" t="str">
        <f>[1]Sheet1!T44</f>
        <v>.Gestión de campañas outbound.
Seguimiento y trazabilidad de leads.
Medición de SLA comercial.
Reportería operativa y gerencial.</v>
      </c>
      <c r="U24" s="10" t="str">
        <f>[1]Sheet1!U44</f>
        <v>Administrativos</v>
      </c>
      <c r="V24" s="10" t="str">
        <f>[1]Sheet1!V44</f>
        <v>Excelencia Operativa</v>
      </c>
      <c r="W24" s="10" t="str">
        <f>[1]Sheet1!W44</f>
        <v>No</v>
      </c>
      <c r="X24" s="10" t="str">
        <f>[1]Sheet1!X44</f>
        <v>No cuantificado o S/0</v>
      </c>
      <c r="Y24" s="10"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24" s="10" t="str">
        <f>[1]Sheet1!Z44</f>
        <v>https://educorpperu-my.sharepoint.com/personal/diana_zapata_laureate_pe1/_layouts/15/Doc.aspx?sourcedoc=%7B8F59C472-75F3-48E0-9F18-E94B531DC819%7D&amp;file=Solicitud%20de%20requerimientos_Timestamps%201_Eduardo%20Paul%20Aguilar.pptx&amp;action=edit&amp;mobileredirect=true</v>
      </c>
      <c r="AA24" s="10">
        <f>[1]Sheet1!AA44</f>
        <v>0.60000000000000009</v>
      </c>
      <c r="AB24" s="10">
        <f>[1]Sheet1!AB44</f>
        <v>0</v>
      </c>
      <c r="AC24" s="10">
        <f>[1]Sheet1!AC44</f>
        <v>0</v>
      </c>
      <c r="AD24" s="10">
        <f>[1]Sheet1!AD44</f>
        <v>0</v>
      </c>
      <c r="AE24" s="10">
        <f>[1]Sheet1!AE44</f>
        <v>0</v>
      </c>
      <c r="AF24" s="10">
        <f>[1]Sheet1!AF44</f>
        <v>0</v>
      </c>
      <c r="AG24" s="10">
        <f>[1]Sheet1!AG44</f>
        <v>0</v>
      </c>
    </row>
    <row r="25" spans="1:33">
      <c r="A25" s="10">
        <f>[1]Sheet1!A45</f>
        <v>67</v>
      </c>
      <c r="B25" s="10">
        <f>[1]Sheet1!B45</f>
        <v>46086.675891203697</v>
      </c>
      <c r="C25" s="10">
        <f>[1]Sheet1!C45</f>
        <v>46086.694652777798</v>
      </c>
      <c r="D25" s="10" t="str">
        <f>[1]Sheet1!D45</f>
        <v>eduardo.paul@cibertec.pe</v>
      </c>
      <c r="E25" s="10" t="str">
        <f>[1]Sheet1!E45</f>
        <v>Eduardo Paul Aguilar</v>
      </c>
      <c r="F25" s="10" t="str">
        <f>[1]Sheet1!F45</f>
        <v>Visualización Adelantada de Clases - Sistema Gestión Docente</v>
      </c>
      <c r="G25" s="10"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25" s="10" t="str">
        <f>[1]Sheet1!H45</f>
        <v>CIB</v>
      </c>
      <c r="I25" s="10" t="str">
        <f>[1]Sheet1!I45</f>
        <v>Danilo Tauil - GM TecVoc</v>
      </c>
      <c r="J25" s="10" t="str">
        <f>[1]Sheet1!J45</f>
        <v>Davi Paula Lima Goulart</v>
      </c>
      <c r="K25" s="10">
        <f>[1]Sheet1!K45</f>
        <v>0</v>
      </c>
      <c r="L25" s="10" t="str">
        <f>[1]Sheet1!L45</f>
        <v>Frank Palomino</v>
      </c>
      <c r="M25" s="10">
        <f>[1]Sheet1!M45</f>
        <v>46143</v>
      </c>
      <c r="N25" s="10" t="str">
        <f>[1]Sheet1!N45</f>
        <v>No</v>
      </c>
      <c r="O25" s="10">
        <f>[1]Sheet1!O45</f>
        <v>0</v>
      </c>
      <c r="P25" s="10">
        <f>[1]Sheet1!P45</f>
        <v>0</v>
      </c>
      <c r="Q25" s="10" t="str">
        <f>[1]Sheet1!Q45</f>
        <v>Otro</v>
      </c>
      <c r="R25" s="10" t="str">
        <f>[1]Sheet1!R45</f>
        <v>Hoy el equipo de TI ejecuta 10 dias con antes del inicio de clases un conjuntos de pases produccion para que los alumnos y docnetes puedan ver esta información. Luego un par de dias antes retornan a la normalidad los el programa.</v>
      </c>
      <c r="S25" s="10">
        <f>[1]Sheet1!S45</f>
        <v>0</v>
      </c>
      <c r="T25" s="10" t="str">
        <f>[1]Sheet1!T45</f>
        <v>Asignación de Recursos de TI. Proceso de Pase a Producción. Experiencia al estudiante.</v>
      </c>
      <c r="U25" s="10">
        <f>[1]Sheet1!U45</f>
        <v>0</v>
      </c>
      <c r="V25" s="10" t="str">
        <f>[1]Sheet1!V45</f>
        <v>Excelencia Operativa</v>
      </c>
      <c r="W25" s="10" t="str">
        <f>[1]Sheet1!W45</f>
        <v>No</v>
      </c>
      <c r="X25" s="10">
        <f>[1]Sheet1!X45</f>
        <v>0</v>
      </c>
      <c r="Y25" s="10" t="str">
        <f>[1]Sheet1!Y45</f>
        <v>Asegurar la mejora en la experiencia del estudiante.
Reducción de actividades administrativas de TI.</v>
      </c>
      <c r="Z25" s="10" t="str">
        <f>[1]Sheet1!Z45</f>
        <v>https://educorpperu-my.sharepoint.com/personal/diana_zapata_laureate_pe1/_layouts/15/Doc.aspx?sourcedoc=%7BF15528DB-4205-4182-80A5-0A8B8E36B1BE%7D&amp;file=Solicitud%20adelanto%20y%20retorno%20de%20visualizacion_Eduardo%20Paul%20Aguilar.pptx&amp;action=edit&amp;mobileredirect=true</v>
      </c>
      <c r="AA25" s="10">
        <f>[1]Sheet1!AA45</f>
        <v>0.30000000000000004</v>
      </c>
      <c r="AB25" s="10">
        <f>[1]Sheet1!AB45</f>
        <v>0</v>
      </c>
      <c r="AC25" s="10">
        <f>[1]Sheet1!AC45</f>
        <v>0</v>
      </c>
      <c r="AD25" s="10">
        <f>[1]Sheet1!AD45</f>
        <v>0</v>
      </c>
      <c r="AE25" s="10">
        <f>[1]Sheet1!AE45</f>
        <v>0</v>
      </c>
      <c r="AF25" s="10">
        <f>[1]Sheet1!AF45</f>
        <v>0</v>
      </c>
      <c r="AG25" s="10">
        <f>[1]Sheet1!AG45</f>
        <v>0</v>
      </c>
    </row>
    <row r="26" spans="1:33">
      <c r="A26" s="10">
        <f>[1]Sheet1!A46</f>
        <v>68</v>
      </c>
      <c r="B26" s="10">
        <f>[1]Sheet1!B46</f>
        <v>46091.775648148097</v>
      </c>
      <c r="C26" s="10">
        <f>[1]Sheet1!C46</f>
        <v>46091.799606481502</v>
      </c>
      <c r="D26" s="10" t="str">
        <f>[1]Sheet1!D46</f>
        <v>giancarlo.villacorta@upc.pe</v>
      </c>
      <c r="E26" s="10" t="str">
        <f>[1]Sheet1!E46</f>
        <v>Giancarlo Villacorta Quiñones</v>
      </c>
      <c r="F26" s="10" t="str">
        <f>[1]Sheet1!F46</f>
        <v>SUMA: weTALK - Automatización Placement Test WeTALK UPN</v>
      </c>
      <c r="G26" s="10"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26" s="10" t="str">
        <f>[1]Sheet1!H46</f>
        <v>UPN</v>
      </c>
      <c r="I26" s="10" t="str">
        <f>[1]Sheet1!I46</f>
        <v>Milagros Morgan - Rectorado UPC</v>
      </c>
      <c r="J26" s="10" t="str">
        <f>[1]Sheet1!J46</f>
        <v xml:space="preserve">Gali García </v>
      </c>
      <c r="K26" s="10">
        <f>[1]Sheet1!K46</f>
        <v>0</v>
      </c>
      <c r="L26" s="10" t="str">
        <f>[1]Sheet1!L46</f>
        <v>Ángela Lucano</v>
      </c>
      <c r="M26" s="10">
        <f>[1]Sheet1!M46</f>
        <v>46237</v>
      </c>
      <c r="N26" s="10" t="str">
        <f>[1]Sheet1!N46</f>
        <v>Si</v>
      </c>
      <c r="O26" s="10" t="str">
        <f>[1]Sheet1!O46</f>
        <v>Revenue Growth</v>
      </c>
      <c r="P26" s="10">
        <f>[1]Sheet1!P46</f>
        <v>76592</v>
      </c>
      <c r="Q26" s="10" t="str">
        <f>[1]Sheet1!Q46</f>
        <v>Otro</v>
      </c>
      <c r="R26" s="10" t="str">
        <f>[1]Sheet1!R46</f>
        <v>Actualmente todo el proceso de Placement test We talk UPN es soportado de forma manual</v>
      </c>
      <c r="S26" s="10">
        <f>[1]Sheet1!S46</f>
        <v>0</v>
      </c>
      <c r="T26" s="10" t="str">
        <f>[1]Sheet1!T46</f>
        <v>Placement test we talk UPN</v>
      </c>
      <c r="U26" s="10">
        <f>[1]Sheet1!U46</f>
        <v>0</v>
      </c>
      <c r="V26" s="10" t="str">
        <f>[1]Sheet1!V46</f>
        <v>Excelencia operativa</v>
      </c>
      <c r="W26" s="10" t="str">
        <f>[1]Sheet1!W46</f>
        <v>No</v>
      </c>
      <c r="X26" s="10">
        <f>[1]Sheet1!X46</f>
        <v>0</v>
      </c>
      <c r="Y26" s="10"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26" s="10" t="str">
        <f>[1]Sheet1!Z46</f>
        <v>https://educorpperu-my.sharepoint.com/personal/diana_zapata_laureate_pe1/_layouts/15/Doc.aspx?sourcedoc=%7BE82EB908-B186-4F00-836F-E5E173642CCB%7D&amp;file=Solicitud%20de%20requerimientos%20Automatizaci%C3%B3n%20Pl_Giancarlo%20Villacorta.pptx&amp;action=edit&amp;mobileredirect=true</v>
      </c>
      <c r="AA26" s="10">
        <f>[1]Sheet1!AA46</f>
        <v>1.8</v>
      </c>
      <c r="AB26" s="10">
        <f>[1]Sheet1!AB46</f>
        <v>0</v>
      </c>
      <c r="AC26" s="10">
        <f>[1]Sheet1!AC46</f>
        <v>0</v>
      </c>
      <c r="AD26" s="10">
        <f>[1]Sheet1!AD46</f>
        <v>0</v>
      </c>
      <c r="AE26" s="10">
        <f>[1]Sheet1!AE46</f>
        <v>0</v>
      </c>
      <c r="AF26" s="10">
        <f>[1]Sheet1!AF46</f>
        <v>0</v>
      </c>
      <c r="AG26" s="10">
        <f>[1]Sheet1!AG46</f>
        <v>0</v>
      </c>
    </row>
    <row r="27" spans="1:33">
      <c r="A27" s="10">
        <f>[1]Sheet1!A47</f>
        <v>69</v>
      </c>
      <c r="B27" s="10">
        <f>[1]Sheet1!B47</f>
        <v>46093.419641203698</v>
      </c>
      <c r="C27" s="10">
        <f>[1]Sheet1!C47</f>
        <v>46093.4243055556</v>
      </c>
      <c r="D27" s="10" t="str">
        <f>[1]Sheet1!D47</f>
        <v>jose.herbozo@upn.edu.pe</v>
      </c>
      <c r="E27" s="10" t="str">
        <f>[1]Sheet1!E47</f>
        <v>Jose Paredes Herbozo</v>
      </c>
      <c r="F27" s="10" t="str">
        <f>[1]Sheet1!F47</f>
        <v>Admisión online - Habilitación de funcionalidades en CRM UPN - Admisión On Line RITM0603995</v>
      </c>
      <c r="G27" s="10"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27" s="10" t="str">
        <f>[1]Sheet1!H47</f>
        <v>UPN</v>
      </c>
      <c r="I27" s="10" t="str">
        <f>[1]Sheet1!I47</f>
        <v>Humberto Marota - Tecnologías y transformación digital</v>
      </c>
      <c r="J27" s="10" t="str">
        <f>[1]Sheet1!J47</f>
        <v xml:space="preserve">Alejandro Tello Llosa </v>
      </c>
      <c r="K27" s="10">
        <f>[1]Sheet1!K47</f>
        <v>0</v>
      </c>
      <c r="L27" s="10" t="str">
        <f>[1]Sheet1!L47</f>
        <v>Jose Paredes</v>
      </c>
      <c r="M27" s="10">
        <f>[1]Sheet1!M47</f>
        <v>46142</v>
      </c>
      <c r="N27" s="10" t="str">
        <f>[1]Sheet1!N47</f>
        <v>Si</v>
      </c>
      <c r="O27" s="10" t="str">
        <f>[1]Sheet1!O47</f>
        <v>Digital &amp; IA</v>
      </c>
      <c r="P27" s="10">
        <f>[1]Sheet1!P47</f>
        <v>75411</v>
      </c>
      <c r="Q27" s="10" t="str">
        <f>[1]Sheet1!Q47</f>
        <v>Otro</v>
      </c>
      <c r="R27" s="10"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27" s="10">
        <f>[1]Sheet1!S47</f>
        <v>0</v>
      </c>
      <c r="T27" s="10" t="str">
        <f>[1]Sheet1!T47</f>
        <v>Proceso de Admisión</v>
      </c>
      <c r="U27" s="10">
        <f>[1]Sheet1!U47</f>
        <v>0</v>
      </c>
      <c r="V27" s="10" t="str">
        <f>[1]Sheet1!V47</f>
        <v>Crecimiento escalable</v>
      </c>
      <c r="W27" s="10" t="str">
        <f>[1]Sheet1!W47</f>
        <v>No</v>
      </c>
      <c r="X27" s="10">
        <f>[1]Sheet1!X47</f>
        <v>0</v>
      </c>
      <c r="Y27" s="10" t="str">
        <f>[1]Sheet1!Y47</f>
        <v>Mejorar la experiencia del prospecto, reducir la operatividad del equipo de admisión, reducción los tiempos de matrícula en al menos 48 hrs</v>
      </c>
      <c r="Z27" s="10" t="str">
        <f>[1]Sheet1!Z47</f>
        <v>https://educorpperu-my.sharepoint.com/personal/diana_zapata_laureate_pe1/_layouts/15/Doc.aspx?sourcedoc=%7B61466882-7AAC-4A5D-9EE1-5CB4289AD248%7D&amp;file=Solicitud%20de%20requerimientos%20Idea%20nueva%20y%20mejo_Jose%20Paredes%20Herbozo.pptx&amp;action=edit&amp;mobileredirect=true</v>
      </c>
      <c r="AA27" s="10">
        <f>[1]Sheet1!AA47</f>
        <v>2</v>
      </c>
      <c r="AB27" s="10">
        <f>[1]Sheet1!AB47</f>
        <v>0</v>
      </c>
      <c r="AC27" s="10">
        <f>[1]Sheet1!AC47</f>
        <v>0</v>
      </c>
      <c r="AD27" s="10">
        <f>[1]Sheet1!AD47</f>
        <v>0</v>
      </c>
      <c r="AE27" s="10">
        <f>[1]Sheet1!AE47</f>
        <v>0</v>
      </c>
      <c r="AF27" s="10">
        <f>[1]Sheet1!AF47</f>
        <v>0</v>
      </c>
      <c r="AG27" s="10">
        <f>[1]Sheet1!AG47</f>
        <v>0</v>
      </c>
    </row>
    <row r="28" spans="1:33">
      <c r="A28" s="10">
        <f>[1]Sheet1!A48</f>
        <v>70</v>
      </c>
      <c r="B28" s="10">
        <f>[1]Sheet1!B48</f>
        <v>46092.6265277778</v>
      </c>
      <c r="C28" s="10">
        <f>[1]Sheet1!C48</f>
        <v>46093.507175925901</v>
      </c>
      <c r="D28" s="10" t="str">
        <f>[1]Sheet1!D48</f>
        <v>giancarlo.villacorta@upc.pe</v>
      </c>
      <c r="E28" s="10" t="str">
        <f>[1]Sheet1!E48</f>
        <v>Giancarlo Villacorta Quiñones</v>
      </c>
      <c r="F28" s="10" t="str">
        <f>[1]Sheet1!F48</f>
        <v>Automatización de reportería Funnel</v>
      </c>
      <c r="G28" s="10"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28" s="10" t="str">
        <f>[1]Sheet1!H48</f>
        <v>UPC</v>
      </c>
      <c r="I28" s="10" t="str">
        <f>[1]Sheet1!I48</f>
        <v>Ivan Olivares - VP Marketing y Comercial</v>
      </c>
      <c r="J28" s="10" t="str">
        <f>[1]Sheet1!J48</f>
        <v xml:space="preserve">Gianfranco Espinoza </v>
      </c>
      <c r="K28" s="10">
        <f>[1]Sheet1!K48</f>
        <v>0</v>
      </c>
      <c r="L28" s="10" t="str">
        <f>[1]Sheet1!L48</f>
        <v>Giancarlo Villacorta</v>
      </c>
      <c r="M28" s="10">
        <f>[1]Sheet1!M48</f>
        <v>46174</v>
      </c>
      <c r="N28" s="10" t="str">
        <f>[1]Sheet1!N48</f>
        <v>Si</v>
      </c>
      <c r="O28" s="10" t="str">
        <f>[1]Sheet1!O48</f>
        <v>Revenue Growth</v>
      </c>
      <c r="P28" s="10">
        <f>[1]Sheet1!P48</f>
        <v>0</v>
      </c>
      <c r="Q28" s="10" t="str">
        <f>[1]Sheet1!Q48</f>
        <v>Otro</v>
      </c>
      <c r="R28" s="10" t="str">
        <f>[1]Sheet1!R48</f>
        <v>Se requiere desarrollar nuevas funcionalidades para automatización de reportes funnel.</v>
      </c>
      <c r="S28" s="10">
        <f>[1]Sheet1!S48</f>
        <v>0</v>
      </c>
      <c r="T28" s="10" t="str">
        <f>[1]Sheet1!T48</f>
        <v>Inscripciones</v>
      </c>
      <c r="U28" s="10">
        <f>[1]Sheet1!U48</f>
        <v>0</v>
      </c>
      <c r="V28" s="10" t="str">
        <f>[1]Sheet1!V48</f>
        <v>Excelencia Operativa;Innovación y Crecimiento;Transformación Digital</v>
      </c>
      <c r="W28" s="10" t="str">
        <f>[1]Sheet1!W48</f>
        <v>No</v>
      </c>
      <c r="X28" s="10">
        <f>[1]Sheet1!X48</f>
        <v>0</v>
      </c>
      <c r="Y28" s="10" t="str">
        <f>[1]Sheet1!Y48</f>
        <v>Esta iniciativa tiene como objetivo incrementar los ingresos proyectados mediante el aumento del número de estudiantes matriculados en los próximos años, así como mejorar la eficiencia en el servicio brindado a los estudiantes.</v>
      </c>
      <c r="Z28" s="10"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28" s="10">
        <f>[1]Sheet1!AA48</f>
        <v>1.5</v>
      </c>
      <c r="AB28" s="10">
        <f>[1]Sheet1!AB48</f>
        <v>0</v>
      </c>
      <c r="AC28" s="10">
        <f>[1]Sheet1!AC48</f>
        <v>0</v>
      </c>
      <c r="AD28" s="10">
        <f>[1]Sheet1!AD48</f>
        <v>0</v>
      </c>
      <c r="AE28" s="10">
        <f>[1]Sheet1!AE48</f>
        <v>0</v>
      </c>
      <c r="AF28" s="10">
        <f>[1]Sheet1!AF48</f>
        <v>0</v>
      </c>
      <c r="AG28" s="10">
        <f>[1]Sheet1!AG48</f>
        <v>0</v>
      </c>
    </row>
    <row r="29" spans="1:33">
      <c r="A29" s="10">
        <f>[1]Sheet1!A49</f>
        <v>71</v>
      </c>
      <c r="B29" s="10">
        <f>[1]Sheet1!B49</f>
        <v>46093.733761574098</v>
      </c>
      <c r="C29" s="10">
        <f>[1]Sheet1!C49</f>
        <v>46093.827060185198</v>
      </c>
      <c r="D29" s="10" t="str">
        <f>[1]Sheet1!D49</f>
        <v>ronald.benites@laureate.pe</v>
      </c>
      <c r="E29" s="10" t="str">
        <f>[1]Sheet1!E49</f>
        <v>Ronald Benites Vilchez</v>
      </c>
      <c r="F29" s="10" t="str">
        <f>[1]Sheet1!F49</f>
        <v>Automatización end-to-end de la creación de cuentas del AD y cálculo de la denominación del correo institucional mediante HORACIUS en UPN, UPC y CIB. incluyendo la construcción de APIs en HCM.</v>
      </c>
      <c r="G29" s="10"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29" s="10" t="str">
        <f>[1]Sheet1!H49</f>
        <v>LAUREATE</v>
      </c>
      <c r="I29" s="10" t="str">
        <f>[1]Sheet1!I49</f>
        <v>Humberto Marota - Tecnologías y transformación digital</v>
      </c>
      <c r="J29" s="10" t="str">
        <f>[1]Sheet1!J49</f>
        <v xml:space="preserve">Henry Longa </v>
      </c>
      <c r="K29" s="10">
        <f>[1]Sheet1!K49</f>
        <v>0</v>
      </c>
      <c r="L29" s="10" t="str">
        <f>[1]Sheet1!L49</f>
        <v>Ninguno</v>
      </c>
      <c r="M29" s="10">
        <f>[1]Sheet1!M49</f>
        <v>46142</v>
      </c>
      <c r="N29" s="10" t="str">
        <f>[1]Sheet1!N49</f>
        <v>No</v>
      </c>
      <c r="O29" s="10">
        <f>[1]Sheet1!O49</f>
        <v>0</v>
      </c>
      <c r="P29" s="10">
        <f>[1]Sheet1!P49</f>
        <v>0</v>
      </c>
      <c r="Q29" s="10" t="str">
        <f>[1]Sheet1!Q49</f>
        <v>Otro</v>
      </c>
      <c r="R29" s="10"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29" s="10">
        <f>[1]Sheet1!S49</f>
        <v>0</v>
      </c>
      <c r="T29" s="10" t="str">
        <f>[1]Sheet1!T49</f>
        <v>Proceso de incorporación y gestión de colaboradores 
Procesos operativos del negocio que utilizan aplicaciones institucionales, 
Proceso de gestión de identidades y accesos 
Procesos de control y cumplimiento regulatorio</v>
      </c>
      <c r="U29" s="10" t="str">
        <f>[1]Sheet1!U49</f>
        <v>Todos</v>
      </c>
      <c r="V29" s="10" t="str">
        <f>[1]Sheet1!V49</f>
        <v>Excelencia operativa</v>
      </c>
      <c r="W29" s="10" t="str">
        <f>[1]Sheet1!W49</f>
        <v>No</v>
      </c>
      <c r="X29" s="10" t="str">
        <f>[1]Sheet1!X49</f>
        <v>Menor a S/100,000.00</v>
      </c>
      <c r="Y29" s="10"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29" s="10"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29" s="10">
        <f>[1]Sheet1!AA49</f>
        <v>1.35</v>
      </c>
      <c r="AB29" s="10">
        <f>[1]Sheet1!AB49</f>
        <v>0</v>
      </c>
      <c r="AC29" s="10">
        <f>[1]Sheet1!AC49</f>
        <v>0</v>
      </c>
      <c r="AD29" s="10">
        <f>[1]Sheet1!AD49</f>
        <v>0</v>
      </c>
      <c r="AE29" s="10">
        <f>[1]Sheet1!AE49</f>
        <v>0</v>
      </c>
      <c r="AF29" s="10">
        <f>[1]Sheet1!AF49</f>
        <v>0</v>
      </c>
      <c r="AG29" s="10">
        <f>[1]Sheet1!AG49</f>
        <v>0</v>
      </c>
    </row>
    <row r="30" spans="1:33">
      <c r="A30" s="10">
        <f>[1]Sheet1!A50</f>
        <v>72</v>
      </c>
      <c r="B30" s="10">
        <f>[1]Sheet1!B50</f>
        <v>46097.4821296296</v>
      </c>
      <c r="C30" s="10">
        <f>[1]Sheet1!C50</f>
        <v>46097.537592592598</v>
      </c>
      <c r="D30" s="10" t="str">
        <f>[1]Sheet1!D50</f>
        <v>kenjhy.torres@upc.pe</v>
      </c>
      <c r="E30" s="10" t="str">
        <f>[1]Sheet1!E50</f>
        <v>Kenjhy Torres Vidalon</v>
      </c>
      <c r="F30" s="10" t="str">
        <f>[1]Sheet1!F50</f>
        <v>Correcta visualización de requisitos de cursos con equivalencia</v>
      </c>
      <c r="G30" s="10"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30" s="10" t="str">
        <f>[1]Sheet1!H50</f>
        <v>UPC</v>
      </c>
      <c r="I30" s="10" t="str">
        <f>[1]Sheet1!I50</f>
        <v>Milagros Morgan - Rectorado UPC</v>
      </c>
      <c r="J30" s="10" t="str">
        <f>[1]Sheet1!J50</f>
        <v xml:space="preserve">Alice Rodrigues Hoyer </v>
      </c>
      <c r="K30" s="10">
        <f>[1]Sheet1!K50</f>
        <v>0</v>
      </c>
      <c r="L30" s="10" t="str">
        <f>[1]Sheet1!L50</f>
        <v>Ángela Lucano</v>
      </c>
      <c r="M30" s="10">
        <f>[1]Sheet1!M50</f>
        <v>46142</v>
      </c>
      <c r="N30" s="10" t="str">
        <f>[1]Sheet1!N50</f>
        <v>No</v>
      </c>
      <c r="O30" s="10">
        <f>[1]Sheet1!O50</f>
        <v>0</v>
      </c>
      <c r="P30" s="10">
        <f>[1]Sheet1!P50</f>
        <v>0</v>
      </c>
      <c r="Q30" s="10" t="str">
        <f>[1]Sheet1!Q50</f>
        <v>Otro</v>
      </c>
      <c r="R30" s="10"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30" s="10">
        <f>[1]Sheet1!S50</f>
        <v>0</v>
      </c>
      <c r="T30" s="10" t="str">
        <f>[1]Sheet1!T50</f>
        <v>Soporte al alumno (mesa de ayuda, atención académica, otros canales) y Auditorías externas (por ejemplo: WASC, SUNEDU u otros procesos de acreditación).</v>
      </c>
      <c r="U30" s="10" t="str">
        <f>[1]Sheet1!U50</f>
        <v>Alumnos</v>
      </c>
      <c r="V30" s="10" t="str">
        <f>[1]Sheet1!V50</f>
        <v>Excelencia académica</v>
      </c>
      <c r="W30" s="10" t="str">
        <f>[1]Sheet1!W50</f>
        <v>Si</v>
      </c>
      <c r="X30" s="10" t="str">
        <f>[1]Sheet1!X50</f>
        <v>No cuantificado o S/0</v>
      </c>
      <c r="Y30" s="10"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30" s="10" t="str">
        <f>[1]Sheet1!Z50</f>
        <v>https://educorpperu-my.sharepoint.com/personal/diana_zapata_laureate_pe1/_layouts/15/Doc.aspx?sourcedoc=%7BC9CB0B93-1AE9-4CFC-A069-B7549900B901%7D&amp;file=Correcta%20visualizaci%C3%B3n%20de%20requisitos%20de%20curso_Kenjhy%20Torres%20Vidalo.pptx&amp;action=edit&amp;mobileredirect=true</v>
      </c>
      <c r="AA30" s="10">
        <f>[1]Sheet1!AA50</f>
        <v>1.4</v>
      </c>
      <c r="AB30" s="10">
        <f>[1]Sheet1!AB50</f>
        <v>0</v>
      </c>
      <c r="AC30" s="10">
        <f>[1]Sheet1!AC50</f>
        <v>0</v>
      </c>
      <c r="AD30" s="10">
        <f>[1]Sheet1!AD50</f>
        <v>0</v>
      </c>
      <c r="AE30" s="10">
        <f>[1]Sheet1!AE50</f>
        <v>0</v>
      </c>
      <c r="AF30" s="10">
        <f>[1]Sheet1!AF50</f>
        <v>0</v>
      </c>
      <c r="AG30" s="10">
        <f>[1]Sheet1!AG50</f>
        <v>0</v>
      </c>
    </row>
  </sheetData>
  <sheetProtection autoFilter="0"/>
  <protectedRanges>
    <protectedRange algorithmName="SHA-512" hashValue="22rEZDOLaaAzExp0xxQCGNby3L6gXjGHIg9yH60f4Eq8XFziCgY0/JIYc2E2Nq4g+VRVZfuCR88Vp60KM5L1Fw==" saltValue="qJpW/Ecdk5+EDugQ3hU7fw==" spinCount="100000" sqref="A1:AG14" name="Rango1"/>
    <protectedRange algorithmName="SHA-512" hashValue="22rEZDOLaaAzExp0xxQCGNby3L6gXjGHIg9yH60f4Eq8XFziCgY0/JIYc2E2Nq4g+VRVZfuCR88Vp60KM5L1Fw==" saltValue="qJpW/Ecdk5+EDugQ3hU7fw==" spinCount="100000" sqref="AJ12" name="Rango1_7"/>
  </protectedRanges>
  <autoFilter ref="A1:AR30" xr:uid="{E2995521-A973-4EBC-930E-5DF1CF46E120}"/>
  <dataValidations count="1">
    <dataValidation type="list" allowBlank="1" showInputMessage="1" showErrorMessage="1" sqref="AO2:AO30" xr:uid="{2767D45C-13F9-433B-A877-83CBBD3627D9}">
      <formula1>#REF!</formula1>
    </dataValidation>
  </dataValidations>
  <hyperlinks>
    <hyperlink ref="D9" r:id="rId1" xr:uid="{DB1E6939-35F8-4C6C-B790-9114DA15BF76}"/>
    <hyperlink ref="AG3" r:id="rId2" display="https://educorpperu-my.sharepoint.com/personal/diana_zapata_laureate_pe1/_layouts/15/Doc.aspx?sourcedoc=%7B7C571A66-11AC-480F-B19C-571BDF070428%7D&amp;file=Implementaci%C3%B3n%20de%20informacion%20en%20CRM_Variable_Jose%20Paredes%20Herbozo.pptx&amp;action=edit&amp;mobileredirect=true" xr:uid="{C07EDC12-22AB-487E-892C-3E7752C54A0C}"/>
    <hyperlink ref="AG11" r:id="rId3" display="https://educorpperu-my.sharepoint.com/personal/diana_zapata_laureate_pe1/_layouts/15/Doc.aspx?sourcedoc=%7B7C53894D-03AA-42F5-A4BD-49E3C8456DE1%7D&amp;file=Formato%20Solicitud%20de%20Requerimientos%201_Eduardo%20Paul%20Aguilar.pptx&amp;action=edit&amp;mobileredirect=true" xr:uid="{7758F028-6A9C-48E9-B424-AC3BA0FCE04B}"/>
    <hyperlink ref="AG13" r:id="rId4" display="https://educorpperu-my.sharepoint.com/personal/diana_zapata_laureate_pe1/_layouts/15/Doc.aspx?sourcedoc=%7B59F35CDD-C20F-46ED-B2D2-4E433C29DE75%7D&amp;file=RQ%202026.02.18%20-%20Registro%20de%20matricula%20en%20CRM_Carlos%20Rau%20Olivera%20F.pptx&amp;action=edit&amp;mobileredirect=true" xr:uid="{19A3706C-8D0E-488E-A499-CFD322961E2B}"/>
    <hyperlink ref="AG6" r:id="rId5" display="https://educorpperu-my.sharepoint.com/personal/diana_zapata_laureate_pe1/_layouts/15/Doc.aspx?sourcedoc=%7BDFC21620-6800-4A8A-BA6E-F348AECF7EBE%7D&amp;file=Solicitud%20de%20requerimientos_Mejora%20para%20la%20Pl_Giancarlo%20Villacorta.pptx&amp;action=edit&amp;mobileredirect=true" xr:uid="{D8853C2C-1029-4E2C-B691-40FB1EF8741D}"/>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65" customWidth="1"/>
    <col min="2" max="2" width="20.85546875" style="82" customWidth="1"/>
    <col min="3" max="3" width="23.42578125" style="82" customWidth="1"/>
    <col min="4" max="5" width="29.85546875" style="65" customWidth="1"/>
    <col min="6" max="6" width="31.140625" style="65" customWidth="1"/>
    <col min="7" max="7" width="29.140625" style="65" customWidth="1"/>
    <col min="8" max="8" width="32.85546875" style="65" customWidth="1"/>
    <col min="9" max="9" width="42" style="65" customWidth="1"/>
    <col min="10" max="10" width="22.42578125" style="85" customWidth="1"/>
    <col min="11" max="11" width="15" style="85" customWidth="1"/>
    <col min="12" max="12" width="21.85546875" style="65" customWidth="1"/>
    <col min="13" max="13" width="18.42578125" style="65" customWidth="1"/>
    <col min="14" max="14" width="19" style="65" customWidth="1"/>
    <col min="15" max="15" width="19.140625" style="65" customWidth="1"/>
    <col min="16" max="16" width="42.140625" style="85" customWidth="1"/>
    <col min="17" max="17" width="38.85546875" style="85" customWidth="1"/>
    <col min="18" max="18" width="22.140625" style="65" customWidth="1"/>
    <col min="19" max="19" width="43.140625" style="65" customWidth="1"/>
    <col min="20" max="20" width="19" style="65" customWidth="1"/>
    <col min="21" max="21" width="26.140625" style="85" customWidth="1"/>
    <col min="22" max="22" width="21.140625" style="65" customWidth="1"/>
    <col min="23" max="23" width="51.85546875" style="65" customWidth="1"/>
    <col min="24" max="24" width="37.42578125" style="85" customWidth="1"/>
    <col min="25" max="25" width="61.42578125" style="65" customWidth="1"/>
    <col min="26" max="26" width="95.140625" style="65" customWidth="1"/>
    <col min="27" max="27" width="115.42578125" style="65" customWidth="1"/>
    <col min="28" max="28" width="88.42578125" style="65" customWidth="1"/>
    <col min="29" max="29" width="41.140625" style="65" customWidth="1"/>
    <col min="30" max="30" width="52.42578125" style="65" customWidth="1"/>
    <col min="31" max="31" width="99.42578125" style="65" customWidth="1"/>
    <col min="32" max="32" width="115.42578125" style="65" customWidth="1"/>
    <col min="33" max="33" width="43.85546875" style="65" customWidth="1"/>
    <col min="34" max="34" width="25.140625" style="65" customWidth="1"/>
    <col min="35" max="35" width="16.85546875" style="65" customWidth="1"/>
    <col min="36" max="36" width="20" style="65" customWidth="1"/>
    <col min="37" max="37" width="76" style="65" customWidth="1"/>
    <col min="38" max="38" width="115.42578125" style="65" customWidth="1"/>
    <col min="39" max="39" width="63.140625" style="65" customWidth="1"/>
    <col min="40" max="40" width="16.42578125" style="65" customWidth="1"/>
    <col min="41" max="41" width="17.140625" style="65" bestFit="1" customWidth="1"/>
    <col min="42" max="42" width="17.140625" style="65" customWidth="1"/>
    <col min="43" max="43" width="67.85546875" style="65" customWidth="1"/>
    <col min="44" max="44" width="44.85546875" style="69" customWidth="1"/>
    <col min="45" max="45" width="18.42578125" style="65" customWidth="1"/>
    <col min="46" max="46" width="29.42578125" style="65" customWidth="1"/>
    <col min="47" max="47" width="17.42578125" style="65" customWidth="1"/>
    <col min="48" max="48" width="23.140625" style="65" customWidth="1"/>
    <col min="49" max="55" width="22.85546875" style="65" customWidth="1"/>
    <col min="56" max="16384" width="115.42578125" style="65"/>
  </cols>
  <sheetData>
    <row r="1" spans="1:170" s="69" customFormat="1" ht="43.5">
      <c r="A1" s="59" t="s">
        <v>5</v>
      </c>
      <c r="B1" s="67" t="s">
        <v>6</v>
      </c>
      <c r="C1" s="67" t="s">
        <v>7</v>
      </c>
      <c r="D1" s="59" t="s">
        <v>8</v>
      </c>
      <c r="E1" s="59" t="s">
        <v>9</v>
      </c>
      <c r="F1" s="59" t="s">
        <v>10</v>
      </c>
      <c r="G1" s="59" t="s">
        <v>12</v>
      </c>
      <c r="H1" s="59" t="s">
        <v>13</v>
      </c>
      <c r="I1" s="59" t="s">
        <v>543</v>
      </c>
      <c r="J1" s="83" t="s">
        <v>839</v>
      </c>
      <c r="K1" s="83" t="s">
        <v>840</v>
      </c>
      <c r="L1" s="59" t="s">
        <v>545</v>
      </c>
      <c r="M1" s="59" t="s">
        <v>546</v>
      </c>
      <c r="N1" s="59" t="s">
        <v>547</v>
      </c>
      <c r="O1" s="59" t="s">
        <v>544</v>
      </c>
      <c r="P1" s="83" t="s">
        <v>841</v>
      </c>
      <c r="Q1" s="83" t="s">
        <v>842</v>
      </c>
      <c r="R1" s="59" t="s">
        <v>18</v>
      </c>
      <c r="S1" s="59" t="s">
        <v>550</v>
      </c>
      <c r="T1" s="59" t="s">
        <v>551</v>
      </c>
      <c r="U1" s="83" t="s">
        <v>843</v>
      </c>
      <c r="V1" s="68" t="s">
        <v>548</v>
      </c>
      <c r="W1" s="59" t="s">
        <v>549</v>
      </c>
      <c r="X1" s="83" t="s">
        <v>844</v>
      </c>
      <c r="Y1" s="59" t="s">
        <v>22</v>
      </c>
      <c r="Z1" s="59" t="s">
        <v>552</v>
      </c>
      <c r="AA1" s="59" t="s">
        <v>23</v>
      </c>
      <c r="AB1" s="59" t="s">
        <v>553</v>
      </c>
      <c r="AC1" s="59" t="s">
        <v>554</v>
      </c>
      <c r="AD1" s="59" t="s">
        <v>556</v>
      </c>
      <c r="AE1" s="59" t="s">
        <v>555</v>
      </c>
      <c r="AF1" s="59" t="s">
        <v>557</v>
      </c>
      <c r="AG1" s="59" t="s">
        <v>11</v>
      </c>
      <c r="AH1" s="59" t="s">
        <v>26</v>
      </c>
      <c r="AI1" s="59" t="s">
        <v>27</v>
      </c>
      <c r="AJ1" s="59" t="s">
        <v>558</v>
      </c>
      <c r="AK1" s="59" t="s">
        <v>559</v>
      </c>
      <c r="AL1" s="59" t="s">
        <v>29</v>
      </c>
      <c r="AM1" s="59" t="s">
        <v>560</v>
      </c>
      <c r="AN1" s="66" t="s">
        <v>39</v>
      </c>
      <c r="AO1" s="66" t="s">
        <v>561</v>
      </c>
      <c r="AP1" s="66" t="s">
        <v>562</v>
      </c>
      <c r="AQ1" s="66" t="s">
        <v>536</v>
      </c>
      <c r="AR1" s="66" t="s">
        <v>42</v>
      </c>
      <c r="AS1" s="66" t="s">
        <v>43</v>
      </c>
      <c r="AT1" s="66" t="s">
        <v>33</v>
      </c>
      <c r="AU1" s="66" t="s">
        <v>45</v>
      </c>
      <c r="AV1" s="69" t="s">
        <v>563</v>
      </c>
      <c r="AW1" s="69" t="s">
        <v>564</v>
      </c>
      <c r="AX1" s="69" t="s">
        <v>565</v>
      </c>
    </row>
    <row r="2" spans="1:170" s="73" customFormat="1" ht="43.5">
      <c r="A2" s="59"/>
      <c r="B2" s="67">
        <v>45974</v>
      </c>
      <c r="C2" s="67"/>
      <c r="D2" s="62"/>
      <c r="E2" s="62"/>
      <c r="F2" s="62" t="s">
        <v>845</v>
      </c>
      <c r="G2" s="62" t="s">
        <v>158</v>
      </c>
      <c r="H2" s="59"/>
      <c r="I2" s="59" t="s">
        <v>846</v>
      </c>
      <c r="J2" s="84" t="s">
        <v>847</v>
      </c>
      <c r="K2" s="83"/>
      <c r="L2" s="59"/>
      <c r="M2" s="59"/>
      <c r="N2" s="59"/>
      <c r="O2" s="62" t="s">
        <v>572</v>
      </c>
      <c r="P2" s="86" t="s">
        <v>848</v>
      </c>
      <c r="Q2" s="84"/>
      <c r="R2" s="59" t="s">
        <v>57</v>
      </c>
      <c r="S2" s="59"/>
      <c r="T2" s="59"/>
      <c r="U2" s="83"/>
      <c r="V2" s="68"/>
      <c r="W2" s="62"/>
      <c r="X2" s="84"/>
      <c r="Y2" s="59" t="s">
        <v>849</v>
      </c>
      <c r="Z2" s="10" t="s">
        <v>850</v>
      </c>
      <c r="AA2" s="59"/>
      <c r="AB2" s="62"/>
      <c r="AC2" s="62"/>
      <c r="AD2" s="59"/>
      <c r="AE2" s="62"/>
      <c r="AF2" s="62"/>
      <c r="AG2" s="62"/>
      <c r="AH2" s="62"/>
      <c r="AI2" s="62"/>
      <c r="AJ2" s="62"/>
      <c r="AK2" s="62"/>
      <c r="AL2" s="62"/>
      <c r="AM2" s="62"/>
      <c r="AN2" s="65"/>
      <c r="AO2" s="65"/>
      <c r="AP2" s="72"/>
      <c r="AQ2" s="65"/>
      <c r="AR2" s="91" t="s">
        <v>851</v>
      </c>
      <c r="AS2" s="65"/>
      <c r="AT2" s="65" t="s">
        <v>97</v>
      </c>
      <c r="AU2" s="65" t="s">
        <v>253</v>
      </c>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5"/>
      <c r="DT2" s="65"/>
      <c r="DU2" s="65"/>
      <c r="DV2" s="65"/>
      <c r="DW2" s="65"/>
      <c r="DX2" s="65"/>
      <c r="DY2" s="65"/>
      <c r="DZ2" s="65"/>
      <c r="EA2" s="65"/>
      <c r="EB2" s="65"/>
      <c r="EC2" s="65"/>
      <c r="ED2" s="65"/>
      <c r="EE2" s="65"/>
      <c r="EF2" s="65"/>
      <c r="EG2" s="65"/>
      <c r="EH2" s="65"/>
      <c r="EI2" s="65"/>
      <c r="EJ2" s="65"/>
      <c r="EK2" s="65"/>
      <c r="EL2" s="65"/>
      <c r="EM2" s="65"/>
      <c r="EN2" s="65"/>
      <c r="EO2" s="65"/>
      <c r="EP2" s="65"/>
      <c r="EQ2" s="65"/>
      <c r="ER2" s="65"/>
      <c r="ES2" s="65"/>
      <c r="ET2" s="65"/>
      <c r="EU2" s="65"/>
      <c r="EV2" s="65"/>
      <c r="EW2" s="65"/>
      <c r="EX2" s="65"/>
      <c r="EY2" s="65"/>
      <c r="EZ2" s="65"/>
      <c r="FA2" s="65"/>
      <c r="FB2" s="65"/>
      <c r="FC2" s="65"/>
      <c r="FD2" s="65"/>
      <c r="FE2" s="65"/>
      <c r="FF2" s="65"/>
      <c r="FG2" s="65"/>
      <c r="FH2" s="65"/>
      <c r="FI2" s="65"/>
      <c r="FJ2" s="65"/>
      <c r="FK2" s="65"/>
      <c r="FL2" s="65"/>
      <c r="FM2" s="65"/>
      <c r="FN2" s="65"/>
    </row>
    <row r="3" spans="1:170" s="73" customFormat="1" ht="43.5" hidden="1">
      <c r="A3" s="59"/>
      <c r="B3" s="67">
        <v>45974</v>
      </c>
      <c r="C3" s="67"/>
      <c r="D3" s="62"/>
      <c r="E3" s="62"/>
      <c r="F3" s="62" t="s">
        <v>845</v>
      </c>
      <c r="G3" s="10" t="s">
        <v>158</v>
      </c>
      <c r="H3" s="59"/>
      <c r="I3" s="62" t="s">
        <v>846</v>
      </c>
      <c r="J3" s="84" t="s">
        <v>847</v>
      </c>
      <c r="K3" s="83"/>
      <c r="L3" s="59"/>
      <c r="M3" s="59"/>
      <c r="N3" s="59"/>
      <c r="O3" s="62" t="s">
        <v>572</v>
      </c>
      <c r="P3" s="86" t="s">
        <v>848</v>
      </c>
      <c r="Q3" s="89"/>
      <c r="R3" s="59" t="s">
        <v>83</v>
      </c>
      <c r="S3" s="59" t="s">
        <v>487</v>
      </c>
      <c r="T3" s="59"/>
      <c r="U3" s="83"/>
      <c r="V3" s="60">
        <v>46082</v>
      </c>
      <c r="W3" s="62"/>
      <c r="X3" s="84"/>
      <c r="Y3" s="62"/>
      <c r="Z3" s="10" t="s">
        <v>852</v>
      </c>
      <c r="AA3" s="59"/>
      <c r="AB3" s="62"/>
      <c r="AC3" s="62"/>
      <c r="AD3" s="59"/>
      <c r="AE3" s="62"/>
      <c r="AF3" s="62"/>
      <c r="AG3" s="62"/>
      <c r="AH3" s="62"/>
      <c r="AI3" s="62"/>
      <c r="AJ3" s="62"/>
      <c r="AK3" s="62"/>
      <c r="AL3" s="62"/>
      <c r="AM3" s="62"/>
      <c r="AN3" s="65">
        <v>1</v>
      </c>
      <c r="AO3" s="65" t="s">
        <v>671</v>
      </c>
      <c r="AP3" s="72">
        <v>4500</v>
      </c>
      <c r="AQ3" s="65" t="s">
        <v>3</v>
      </c>
      <c r="AR3" s="69" t="s">
        <v>853</v>
      </c>
      <c r="AS3" s="65" t="s">
        <v>631</v>
      </c>
      <c r="AT3" s="65" t="s">
        <v>731</v>
      </c>
      <c r="AU3" s="65" t="s">
        <v>403</v>
      </c>
      <c r="AV3" s="65"/>
      <c r="AW3" s="65" t="s">
        <v>854</v>
      </c>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row>
    <row r="4" spans="1:170" s="73" customFormat="1" ht="188.45">
      <c r="A4" s="59">
        <v>15</v>
      </c>
      <c r="B4" s="67">
        <v>46006.494525463</v>
      </c>
      <c r="C4" s="67">
        <v>46008.703298611101</v>
      </c>
      <c r="D4" s="62" t="s">
        <v>855</v>
      </c>
      <c r="E4" s="62" t="s">
        <v>856</v>
      </c>
      <c r="F4" s="62" t="s">
        <v>857</v>
      </c>
      <c r="G4" s="62" t="s">
        <v>75</v>
      </c>
      <c r="H4" s="59" t="s">
        <v>91</v>
      </c>
      <c r="I4" s="59" t="s">
        <v>858</v>
      </c>
      <c r="J4" s="84"/>
      <c r="K4" s="83"/>
      <c r="L4" s="59" t="s">
        <v>859</v>
      </c>
      <c r="M4" s="59"/>
      <c r="N4" s="59"/>
      <c r="O4" s="62" t="s">
        <v>657</v>
      </c>
      <c r="P4" s="87" t="s">
        <v>860</v>
      </c>
      <c r="Q4" s="84"/>
      <c r="R4" s="59" t="s">
        <v>57</v>
      </c>
      <c r="S4" s="59"/>
      <c r="T4" s="59"/>
      <c r="U4" s="83"/>
      <c r="V4" s="68">
        <v>46057</v>
      </c>
      <c r="W4" s="70" t="s">
        <v>861</v>
      </c>
      <c r="X4" s="84"/>
      <c r="Y4" s="70" t="s">
        <v>862</v>
      </c>
      <c r="Z4" s="70" t="s">
        <v>863</v>
      </c>
      <c r="AA4" s="71" t="s">
        <v>864</v>
      </c>
      <c r="AB4" s="70" t="s">
        <v>865</v>
      </c>
      <c r="AC4" s="70" t="s">
        <v>866</v>
      </c>
      <c r="AD4" s="71" t="s">
        <v>867</v>
      </c>
      <c r="AE4" s="70" t="s">
        <v>868</v>
      </c>
      <c r="AF4" s="70" t="s">
        <v>869</v>
      </c>
      <c r="AG4" s="70" t="s">
        <v>870</v>
      </c>
      <c r="AH4" s="62" t="s">
        <v>623</v>
      </c>
      <c r="AI4" s="62" t="s">
        <v>188</v>
      </c>
      <c r="AJ4" s="62" t="s">
        <v>188</v>
      </c>
      <c r="AK4" s="70" t="s">
        <v>871</v>
      </c>
      <c r="AL4" s="70" t="s">
        <v>872</v>
      </c>
      <c r="AM4" s="74" t="s">
        <v>873</v>
      </c>
      <c r="AN4" s="65"/>
      <c r="AO4" s="65"/>
      <c r="AP4" s="72"/>
      <c r="AQ4" s="65"/>
      <c r="AR4" s="69" t="s">
        <v>874</v>
      </c>
      <c r="AS4" s="65"/>
      <c r="AT4" s="65" t="s">
        <v>251</v>
      </c>
      <c r="AU4" s="65" t="s">
        <v>253</v>
      </c>
      <c r="AV4" s="65"/>
      <c r="AW4" s="65"/>
      <c r="AX4" s="91" t="s">
        <v>875</v>
      </c>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row>
    <row r="5" spans="1:170" s="73" customFormat="1" ht="409.5">
      <c r="A5" s="64">
        <v>11</v>
      </c>
      <c r="B5" s="75">
        <v>46006.715266203697</v>
      </c>
      <c r="C5" s="75">
        <v>46006.728645833296</v>
      </c>
      <c r="D5" s="63" t="s">
        <v>652</v>
      </c>
      <c r="E5" s="63" t="s">
        <v>653</v>
      </c>
      <c r="F5" s="63" t="s">
        <v>876</v>
      </c>
      <c r="G5" s="63" t="s">
        <v>75</v>
      </c>
      <c r="H5" s="64" t="s">
        <v>76</v>
      </c>
      <c r="I5" s="64" t="s">
        <v>877</v>
      </c>
      <c r="J5" s="84" t="s">
        <v>847</v>
      </c>
      <c r="K5" s="83"/>
      <c r="L5" s="64" t="s">
        <v>658</v>
      </c>
      <c r="M5" s="64"/>
      <c r="N5" s="64"/>
      <c r="O5" s="63" t="s">
        <v>657</v>
      </c>
      <c r="P5" s="87" t="s">
        <v>878</v>
      </c>
      <c r="Q5" s="84"/>
      <c r="R5" s="64" t="s">
        <v>57</v>
      </c>
      <c r="S5" s="64"/>
      <c r="T5" s="64"/>
      <c r="U5" s="83"/>
      <c r="V5" s="77">
        <v>46104</v>
      </c>
      <c r="W5" s="76" t="s">
        <v>879</v>
      </c>
      <c r="X5" s="84"/>
      <c r="Y5" s="76" t="s">
        <v>880</v>
      </c>
      <c r="Z5" s="76" t="s">
        <v>881</v>
      </c>
      <c r="AA5" s="78" t="s">
        <v>882</v>
      </c>
      <c r="AB5" s="76" t="s">
        <v>883</v>
      </c>
      <c r="AC5" s="76" t="s">
        <v>884</v>
      </c>
      <c r="AD5" s="78" t="s">
        <v>885</v>
      </c>
      <c r="AE5" s="76" t="s">
        <v>886</v>
      </c>
      <c r="AF5" s="76" t="s">
        <v>887</v>
      </c>
      <c r="AG5" s="76" t="s">
        <v>888</v>
      </c>
      <c r="AH5" s="63" t="s">
        <v>889</v>
      </c>
      <c r="AI5" s="63" t="s">
        <v>188</v>
      </c>
      <c r="AJ5" s="63" t="s">
        <v>188</v>
      </c>
      <c r="AK5" s="76" t="s">
        <v>890</v>
      </c>
      <c r="AL5" s="76" t="s">
        <v>891</v>
      </c>
      <c r="AM5" s="79" t="s">
        <v>892</v>
      </c>
      <c r="AN5" s="65"/>
      <c r="AO5" s="65"/>
      <c r="AP5" s="72"/>
      <c r="AQ5" s="65"/>
      <c r="AR5" s="69"/>
      <c r="AS5" s="65"/>
      <c r="AT5" s="65" t="s">
        <v>585</v>
      </c>
      <c r="AU5" s="65" t="s">
        <v>253</v>
      </c>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row>
    <row r="6" spans="1:170" ht="318.95" hidden="1">
      <c r="A6" s="64">
        <v>12</v>
      </c>
      <c r="B6" s="75">
        <v>46006.730393518497</v>
      </c>
      <c r="C6" s="75">
        <v>46006.763402777797</v>
      </c>
      <c r="D6" s="63" t="s">
        <v>652</v>
      </c>
      <c r="E6" s="63" t="s">
        <v>653</v>
      </c>
      <c r="F6" s="63" t="s">
        <v>893</v>
      </c>
      <c r="G6" s="63" t="s">
        <v>75</v>
      </c>
      <c r="H6" s="64" t="s">
        <v>76</v>
      </c>
      <c r="I6" s="64" t="s">
        <v>894</v>
      </c>
      <c r="J6" s="84" t="s">
        <v>847</v>
      </c>
      <c r="K6" s="83"/>
      <c r="L6" s="64" t="s">
        <v>658</v>
      </c>
      <c r="M6" s="64"/>
      <c r="N6" s="64"/>
      <c r="O6" s="63" t="s">
        <v>657</v>
      </c>
      <c r="P6" s="87" t="s">
        <v>895</v>
      </c>
      <c r="Q6" s="84"/>
      <c r="R6" s="64" t="s">
        <v>57</v>
      </c>
      <c r="S6" s="64"/>
      <c r="T6" s="64"/>
      <c r="U6" s="83"/>
      <c r="V6" s="77">
        <v>46127</v>
      </c>
      <c r="W6" s="76" t="s">
        <v>659</v>
      </c>
      <c r="X6" s="84"/>
      <c r="Y6" s="76" t="s">
        <v>896</v>
      </c>
      <c r="Z6" s="76" t="s">
        <v>897</v>
      </c>
      <c r="AA6" s="78" t="s">
        <v>898</v>
      </c>
      <c r="AB6" s="76" t="s">
        <v>899</v>
      </c>
      <c r="AC6" s="76" t="s">
        <v>900</v>
      </c>
      <c r="AD6" s="78" t="s">
        <v>901</v>
      </c>
      <c r="AE6" s="76" t="s">
        <v>902</v>
      </c>
      <c r="AF6" s="76" t="s">
        <v>903</v>
      </c>
      <c r="AG6" s="76" t="s">
        <v>904</v>
      </c>
      <c r="AH6" s="63" t="s">
        <v>905</v>
      </c>
      <c r="AI6" s="63" t="s">
        <v>188</v>
      </c>
      <c r="AJ6" s="63" t="s">
        <v>188</v>
      </c>
      <c r="AK6" s="76" t="s">
        <v>906</v>
      </c>
      <c r="AL6" s="76" t="s">
        <v>907</v>
      </c>
      <c r="AM6" s="79" t="s">
        <v>908</v>
      </c>
      <c r="AN6" s="65" t="s">
        <v>909</v>
      </c>
      <c r="AP6" s="72"/>
      <c r="AQ6" s="65" t="s">
        <v>3</v>
      </c>
      <c r="AR6" s="69" t="s">
        <v>910</v>
      </c>
      <c r="AS6" s="65" t="s">
        <v>207</v>
      </c>
      <c r="AT6" s="65" t="s">
        <v>694</v>
      </c>
      <c r="AU6" s="65" t="s">
        <v>674</v>
      </c>
    </row>
    <row r="7" spans="1:170" ht="217.5" hidden="1">
      <c r="A7" s="64">
        <v>13</v>
      </c>
      <c r="B7" s="75">
        <v>46006.763842592598</v>
      </c>
      <c r="C7" s="75">
        <v>46006.772430555597</v>
      </c>
      <c r="D7" s="63" t="s">
        <v>652</v>
      </c>
      <c r="E7" s="63" t="s">
        <v>653</v>
      </c>
      <c r="F7" s="63" t="s">
        <v>911</v>
      </c>
      <c r="G7" s="63" t="s">
        <v>75</v>
      </c>
      <c r="H7" s="64" t="s">
        <v>76</v>
      </c>
      <c r="I7" s="64" t="s">
        <v>912</v>
      </c>
      <c r="J7" s="84" t="s">
        <v>847</v>
      </c>
      <c r="K7" s="83"/>
      <c r="L7" s="64" t="s">
        <v>658</v>
      </c>
      <c r="M7" s="64"/>
      <c r="N7" s="64"/>
      <c r="O7" s="63" t="s">
        <v>657</v>
      </c>
      <c r="P7" s="87" t="s">
        <v>913</v>
      </c>
      <c r="Q7" s="84"/>
      <c r="R7" s="64" t="s">
        <v>57</v>
      </c>
      <c r="S7" s="64"/>
      <c r="T7" s="64"/>
      <c r="U7" s="83"/>
      <c r="V7" s="77">
        <v>46266</v>
      </c>
      <c r="W7" s="76" t="s">
        <v>659</v>
      </c>
      <c r="X7" s="84"/>
      <c r="Y7" s="76" t="s">
        <v>914</v>
      </c>
      <c r="Z7" s="76" t="s">
        <v>915</v>
      </c>
      <c r="AA7" s="78" t="s">
        <v>916</v>
      </c>
      <c r="AB7" s="76" t="s">
        <v>917</v>
      </c>
      <c r="AC7" s="76" t="s">
        <v>918</v>
      </c>
      <c r="AD7" s="78" t="s">
        <v>919</v>
      </c>
      <c r="AE7" s="76" t="s">
        <v>920</v>
      </c>
      <c r="AF7" s="76" t="s">
        <v>921</v>
      </c>
      <c r="AG7" s="76" t="s">
        <v>922</v>
      </c>
      <c r="AH7" s="63" t="s">
        <v>923</v>
      </c>
      <c r="AI7" s="63" t="s">
        <v>188</v>
      </c>
      <c r="AJ7" s="63" t="s">
        <v>188</v>
      </c>
      <c r="AK7" s="76" t="s">
        <v>924</v>
      </c>
      <c r="AL7" s="76" t="s">
        <v>925</v>
      </c>
      <c r="AM7" s="79" t="s">
        <v>926</v>
      </c>
      <c r="AN7" s="65" t="s">
        <v>927</v>
      </c>
      <c r="AP7" s="72"/>
      <c r="AQ7" s="65" t="s">
        <v>4</v>
      </c>
      <c r="AR7" s="69" t="s">
        <v>928</v>
      </c>
      <c r="AS7" s="65" t="s">
        <v>711</v>
      </c>
      <c r="AT7" s="65" t="s">
        <v>694</v>
      </c>
      <c r="AU7" s="65" t="s">
        <v>403</v>
      </c>
      <c r="AV7" s="65" t="s">
        <v>586</v>
      </c>
      <c r="AW7" s="65" t="s">
        <v>675</v>
      </c>
    </row>
    <row r="8" spans="1:170" s="73" customFormat="1" ht="231.95">
      <c r="A8" s="64">
        <v>14</v>
      </c>
      <c r="B8" s="75">
        <v>46007.387604166703</v>
      </c>
      <c r="C8" s="75">
        <v>46007.429722222201</v>
      </c>
      <c r="D8" s="63" t="s">
        <v>652</v>
      </c>
      <c r="E8" s="63" t="s">
        <v>653</v>
      </c>
      <c r="F8" s="63" t="s">
        <v>929</v>
      </c>
      <c r="G8" s="63" t="s">
        <v>75</v>
      </c>
      <c r="H8" s="64" t="s">
        <v>76</v>
      </c>
      <c r="I8" s="64" t="s">
        <v>930</v>
      </c>
      <c r="J8" s="84" t="s">
        <v>847</v>
      </c>
      <c r="K8" s="83"/>
      <c r="L8" s="64" t="s">
        <v>658</v>
      </c>
      <c r="M8" s="64"/>
      <c r="N8" s="64"/>
      <c r="O8" s="63" t="s">
        <v>657</v>
      </c>
      <c r="P8" s="87" t="s">
        <v>931</v>
      </c>
      <c r="Q8" s="84"/>
      <c r="R8" s="64" t="s">
        <v>57</v>
      </c>
      <c r="S8" s="64"/>
      <c r="T8" s="64"/>
      <c r="U8" s="83"/>
      <c r="V8" s="77">
        <v>46146</v>
      </c>
      <c r="W8" s="76" t="s">
        <v>659</v>
      </c>
      <c r="X8" s="84"/>
      <c r="Y8" s="76" t="s">
        <v>932</v>
      </c>
      <c r="Z8" s="76" t="s">
        <v>933</v>
      </c>
      <c r="AA8" s="78" t="s">
        <v>934</v>
      </c>
      <c r="AB8" s="76" t="s">
        <v>935</v>
      </c>
      <c r="AC8" s="76" t="s">
        <v>936</v>
      </c>
      <c r="AD8" s="78" t="s">
        <v>937</v>
      </c>
      <c r="AE8" s="76" t="s">
        <v>938</v>
      </c>
      <c r="AF8" s="76" t="s">
        <v>939</v>
      </c>
      <c r="AG8" s="76" t="s">
        <v>940</v>
      </c>
      <c r="AH8" s="63" t="s">
        <v>941</v>
      </c>
      <c r="AI8" s="63" t="s">
        <v>188</v>
      </c>
      <c r="AJ8" s="63" t="s">
        <v>188</v>
      </c>
      <c r="AK8" s="76" t="s">
        <v>942</v>
      </c>
      <c r="AL8" s="76" t="s">
        <v>943</v>
      </c>
      <c r="AM8" s="79" t="s">
        <v>944</v>
      </c>
      <c r="AN8" s="65">
        <v>1</v>
      </c>
      <c r="AO8" s="65"/>
      <c r="AP8" s="72"/>
      <c r="AQ8" s="65"/>
      <c r="AR8" s="69" t="s">
        <v>945</v>
      </c>
      <c r="AS8" s="65" t="s">
        <v>711</v>
      </c>
      <c r="AT8" s="65" t="s">
        <v>585</v>
      </c>
      <c r="AU8" s="65" t="s">
        <v>253</v>
      </c>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row>
    <row r="9" spans="1:170" s="73" customFormat="1" ht="409.5" hidden="1">
      <c r="A9" s="59">
        <v>16</v>
      </c>
      <c r="B9" s="67">
        <v>46036.440231481502</v>
      </c>
      <c r="C9" s="67">
        <v>46036.443657407399</v>
      </c>
      <c r="D9" s="62" t="s">
        <v>652</v>
      </c>
      <c r="E9" s="62" t="s">
        <v>653</v>
      </c>
      <c r="F9" s="62" t="s">
        <v>946</v>
      </c>
      <c r="G9" s="62" t="s">
        <v>75</v>
      </c>
      <c r="H9" s="59" t="s">
        <v>280</v>
      </c>
      <c r="I9" s="59" t="s">
        <v>947</v>
      </c>
      <c r="J9" s="84"/>
      <c r="K9" s="83"/>
      <c r="L9" s="59" t="s">
        <v>658</v>
      </c>
      <c r="M9" s="59"/>
      <c r="N9" s="59"/>
      <c r="O9" s="62" t="s">
        <v>657</v>
      </c>
      <c r="P9" s="87" t="s">
        <v>948</v>
      </c>
      <c r="Q9" s="84"/>
      <c r="R9" s="59" t="s">
        <v>57</v>
      </c>
      <c r="S9" s="59"/>
      <c r="T9" s="59"/>
      <c r="U9" s="83"/>
      <c r="V9" s="68">
        <v>46045</v>
      </c>
      <c r="W9" s="70" t="s">
        <v>57</v>
      </c>
      <c r="X9" s="84"/>
      <c r="Y9" s="70" t="s">
        <v>949</v>
      </c>
      <c r="Z9" s="70" t="s">
        <v>950</v>
      </c>
      <c r="AA9" s="71" t="s">
        <v>951</v>
      </c>
      <c r="AB9" s="70" t="s">
        <v>952</v>
      </c>
      <c r="AC9" s="70" t="s">
        <v>953</v>
      </c>
      <c r="AD9" s="71" t="s">
        <v>954</v>
      </c>
      <c r="AE9" s="70" t="s">
        <v>955</v>
      </c>
      <c r="AF9" s="70" t="s">
        <v>956</v>
      </c>
      <c r="AG9" s="70" t="s">
        <v>957</v>
      </c>
      <c r="AH9" s="62" t="s">
        <v>958</v>
      </c>
      <c r="AI9" s="62" t="s">
        <v>188</v>
      </c>
      <c r="AJ9" s="62" t="s">
        <v>224</v>
      </c>
      <c r="AK9" s="70" t="s">
        <v>959</v>
      </c>
      <c r="AL9" s="70" t="s">
        <v>960</v>
      </c>
      <c r="AM9" s="74" t="s">
        <v>961</v>
      </c>
      <c r="AN9" s="65" t="s">
        <v>909</v>
      </c>
      <c r="AO9" s="65" t="s">
        <v>671</v>
      </c>
      <c r="AP9" s="72">
        <v>4500</v>
      </c>
      <c r="AQ9" s="65" t="s">
        <v>3</v>
      </c>
      <c r="AR9" s="69" t="s">
        <v>962</v>
      </c>
      <c r="AS9" s="65"/>
      <c r="AT9" s="65" t="s">
        <v>694</v>
      </c>
      <c r="AU9" s="65" t="s">
        <v>403</v>
      </c>
      <c r="AV9" s="65" t="s">
        <v>586</v>
      </c>
      <c r="AW9" s="65" t="s">
        <v>587</v>
      </c>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row>
    <row r="10" spans="1:170" s="73" customFormat="1" ht="116.1" hidden="1">
      <c r="A10" s="64">
        <v>17</v>
      </c>
      <c r="B10" s="75">
        <v>46036.460659722201</v>
      </c>
      <c r="C10" s="75">
        <v>46036.534895833298</v>
      </c>
      <c r="D10" s="63" t="s">
        <v>963</v>
      </c>
      <c r="E10" s="63" t="s">
        <v>964</v>
      </c>
      <c r="F10" s="63" t="s">
        <v>965</v>
      </c>
      <c r="G10" s="63" t="s">
        <v>75</v>
      </c>
      <c r="H10" s="64" t="s">
        <v>197</v>
      </c>
      <c r="I10" s="64" t="s">
        <v>966</v>
      </c>
      <c r="J10" s="84" t="s">
        <v>847</v>
      </c>
      <c r="K10" s="83"/>
      <c r="L10" s="64" t="s">
        <v>658</v>
      </c>
      <c r="M10" s="64"/>
      <c r="N10" s="64"/>
      <c r="O10" s="63" t="s">
        <v>657</v>
      </c>
      <c r="P10" s="87" t="s">
        <v>967</v>
      </c>
      <c r="Q10" s="84"/>
      <c r="R10" s="64" t="s">
        <v>57</v>
      </c>
      <c r="S10" s="64"/>
      <c r="T10" s="64"/>
      <c r="U10" s="83"/>
      <c r="V10" s="77">
        <v>46076</v>
      </c>
      <c r="W10" s="76" t="s">
        <v>879</v>
      </c>
      <c r="X10" s="84"/>
      <c r="Y10" s="76" t="s">
        <v>968</v>
      </c>
      <c r="Z10" s="76" t="s">
        <v>969</v>
      </c>
      <c r="AA10" s="78" t="s">
        <v>970</v>
      </c>
      <c r="AB10" s="76" t="s">
        <v>971</v>
      </c>
      <c r="AC10" s="76" t="s">
        <v>972</v>
      </c>
      <c r="AD10" s="78" t="s">
        <v>973</v>
      </c>
      <c r="AE10" s="76" t="s">
        <v>974</v>
      </c>
      <c r="AF10" s="76" t="s">
        <v>975</v>
      </c>
      <c r="AG10" s="76" t="s">
        <v>976</v>
      </c>
      <c r="AH10" s="63" t="s">
        <v>977</v>
      </c>
      <c r="AI10" s="63" t="s">
        <v>224</v>
      </c>
      <c r="AJ10" s="63" t="s">
        <v>188</v>
      </c>
      <c r="AK10" s="76" t="s">
        <v>978</v>
      </c>
      <c r="AL10" s="76" t="s">
        <v>979</v>
      </c>
      <c r="AM10" s="79" t="s">
        <v>980</v>
      </c>
      <c r="AN10" s="65" t="s">
        <v>981</v>
      </c>
      <c r="AO10" s="65"/>
      <c r="AP10" s="72"/>
      <c r="AQ10" s="65" t="s">
        <v>2</v>
      </c>
      <c r="AR10" s="69" t="s">
        <v>982</v>
      </c>
      <c r="AS10" s="65" t="s">
        <v>711</v>
      </c>
      <c r="AT10" s="65" t="s">
        <v>694</v>
      </c>
      <c r="AU10" s="65" t="s">
        <v>403</v>
      </c>
      <c r="AV10" s="65" t="s">
        <v>586</v>
      </c>
      <c r="AW10" s="65" t="s">
        <v>587</v>
      </c>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row>
    <row r="11" spans="1:170" s="73" customFormat="1" ht="304.5" hidden="1">
      <c r="A11" s="64">
        <v>18</v>
      </c>
      <c r="B11" s="75">
        <v>46036.650069444397</v>
      </c>
      <c r="C11" s="75">
        <v>46036.730034722197</v>
      </c>
      <c r="D11" s="63" t="s">
        <v>48</v>
      </c>
      <c r="E11" s="63" t="s">
        <v>49</v>
      </c>
      <c r="F11" s="63" t="s">
        <v>983</v>
      </c>
      <c r="G11" s="63" t="s">
        <v>984</v>
      </c>
      <c r="H11" s="64" t="s">
        <v>197</v>
      </c>
      <c r="I11" s="64" t="s">
        <v>985</v>
      </c>
      <c r="J11" s="84" t="s">
        <v>847</v>
      </c>
      <c r="K11" s="83"/>
      <c r="L11" s="64"/>
      <c r="M11" s="64"/>
      <c r="N11" s="64" t="s">
        <v>161</v>
      </c>
      <c r="O11" s="63" t="s">
        <v>572</v>
      </c>
      <c r="P11" s="87" t="s">
        <v>986</v>
      </c>
      <c r="Q11" s="84"/>
      <c r="R11" s="64" t="s">
        <v>57</v>
      </c>
      <c r="S11" s="64"/>
      <c r="T11" s="64"/>
      <c r="U11" s="83"/>
      <c r="V11" s="77">
        <v>46112</v>
      </c>
      <c r="W11" s="76" t="s">
        <v>987</v>
      </c>
      <c r="X11" s="84"/>
      <c r="Y11" s="76" t="s">
        <v>988</v>
      </c>
      <c r="Z11" s="76" t="s">
        <v>989</v>
      </c>
      <c r="AA11" s="78" t="s">
        <v>990</v>
      </c>
      <c r="AB11" s="76" t="s">
        <v>991</v>
      </c>
      <c r="AC11" s="76" t="s">
        <v>992</v>
      </c>
      <c r="AD11" s="78" t="s">
        <v>993</v>
      </c>
      <c r="AE11" s="76" t="s">
        <v>994</v>
      </c>
      <c r="AF11" s="76" t="s">
        <v>995</v>
      </c>
      <c r="AG11" s="76" t="s">
        <v>996</v>
      </c>
      <c r="AH11" s="63" t="s">
        <v>623</v>
      </c>
      <c r="AI11" s="63" t="s">
        <v>188</v>
      </c>
      <c r="AJ11" s="63" t="s">
        <v>188</v>
      </c>
      <c r="AK11" s="76" t="s">
        <v>997</v>
      </c>
      <c r="AL11" s="76" t="s">
        <v>998</v>
      </c>
      <c r="AM11" s="79" t="s">
        <v>999</v>
      </c>
      <c r="AN11" s="65">
        <v>1</v>
      </c>
      <c r="AO11" s="65" t="s">
        <v>671</v>
      </c>
      <c r="AP11" s="72">
        <v>8500</v>
      </c>
      <c r="AQ11" s="65"/>
      <c r="AR11" s="69" t="s">
        <v>1000</v>
      </c>
      <c r="AS11" s="65"/>
      <c r="AT11" s="65" t="s">
        <v>694</v>
      </c>
      <c r="AU11" s="65" t="s">
        <v>403</v>
      </c>
      <c r="AV11" s="65"/>
      <c r="AW11" s="65" t="s">
        <v>587</v>
      </c>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row>
    <row r="12" spans="1:170" s="73" customFormat="1" ht="304.5" hidden="1">
      <c r="A12" s="64">
        <v>19</v>
      </c>
      <c r="B12" s="75">
        <v>46036.730115740698</v>
      </c>
      <c r="C12" s="75">
        <v>46036.767407407402</v>
      </c>
      <c r="D12" s="63" t="s">
        <v>48</v>
      </c>
      <c r="E12" s="63" t="s">
        <v>49</v>
      </c>
      <c r="F12" s="63" t="s">
        <v>1001</v>
      </c>
      <c r="G12" s="63" t="s">
        <v>984</v>
      </c>
      <c r="H12" s="64" t="s">
        <v>197</v>
      </c>
      <c r="I12" s="64" t="s">
        <v>1002</v>
      </c>
      <c r="J12" s="84" t="s">
        <v>847</v>
      </c>
      <c r="K12" s="83"/>
      <c r="L12" s="64"/>
      <c r="M12" s="64"/>
      <c r="N12" s="64" t="s">
        <v>161</v>
      </c>
      <c r="O12" s="63" t="s">
        <v>572</v>
      </c>
      <c r="P12" s="87" t="s">
        <v>1003</v>
      </c>
      <c r="Q12" s="84"/>
      <c r="R12" s="64" t="s">
        <v>57</v>
      </c>
      <c r="S12" s="64"/>
      <c r="T12" s="64"/>
      <c r="U12" s="83"/>
      <c r="V12" s="77">
        <v>46081</v>
      </c>
      <c r="W12" s="76" t="s">
        <v>1004</v>
      </c>
      <c r="X12" s="84"/>
      <c r="Y12" s="76" t="s">
        <v>1005</v>
      </c>
      <c r="Z12" s="76" t="s">
        <v>989</v>
      </c>
      <c r="AA12" s="78" t="s">
        <v>1006</v>
      </c>
      <c r="AB12" s="76" t="s">
        <v>1005</v>
      </c>
      <c r="AC12" s="76" t="s">
        <v>992</v>
      </c>
      <c r="AD12" s="78" t="s">
        <v>993</v>
      </c>
      <c r="AE12" s="76" t="s">
        <v>994</v>
      </c>
      <c r="AF12" s="76" t="s">
        <v>995</v>
      </c>
      <c r="AG12" s="76" t="s">
        <v>1007</v>
      </c>
      <c r="AH12" s="63" t="s">
        <v>623</v>
      </c>
      <c r="AI12" s="63" t="s">
        <v>188</v>
      </c>
      <c r="AJ12" s="63" t="s">
        <v>188</v>
      </c>
      <c r="AK12" s="76" t="s">
        <v>997</v>
      </c>
      <c r="AL12" s="76" t="s">
        <v>998</v>
      </c>
      <c r="AM12" s="79" t="s">
        <v>1008</v>
      </c>
      <c r="AN12" s="65">
        <v>1</v>
      </c>
      <c r="AO12" s="65"/>
      <c r="AP12" s="72"/>
      <c r="AQ12" s="65" t="s">
        <v>3</v>
      </c>
      <c r="AR12" s="69" t="s">
        <v>1009</v>
      </c>
      <c r="AS12" s="65" t="s">
        <v>711</v>
      </c>
      <c r="AT12" s="69" t="s">
        <v>609</v>
      </c>
      <c r="AU12" s="65" t="s">
        <v>674</v>
      </c>
      <c r="AV12" s="65" t="s">
        <v>586</v>
      </c>
      <c r="AW12" s="65" t="s">
        <v>587</v>
      </c>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row>
    <row r="13" spans="1:170" s="10" customFormat="1" ht="304.5" hidden="1">
      <c r="A13" s="64">
        <v>20</v>
      </c>
      <c r="B13" s="75">
        <v>46036.767638888901</v>
      </c>
      <c r="C13" s="75">
        <v>46036.774097222202</v>
      </c>
      <c r="D13" s="63" t="s">
        <v>48</v>
      </c>
      <c r="E13" s="63" t="s">
        <v>49</v>
      </c>
      <c r="F13" s="63" t="s">
        <v>1010</v>
      </c>
      <c r="G13" s="63" t="s">
        <v>1011</v>
      </c>
      <c r="H13" s="64" t="s">
        <v>197</v>
      </c>
      <c r="I13" s="64" t="s">
        <v>1002</v>
      </c>
      <c r="J13" s="84" t="s">
        <v>847</v>
      </c>
      <c r="K13" s="83"/>
      <c r="L13" s="64" t="s">
        <v>859</v>
      </c>
      <c r="M13" s="64"/>
      <c r="N13" s="64"/>
      <c r="O13" s="63" t="s">
        <v>657</v>
      </c>
      <c r="P13" s="87" t="s">
        <v>1012</v>
      </c>
      <c r="Q13" s="84"/>
      <c r="R13" s="64" t="s">
        <v>57</v>
      </c>
      <c r="S13" s="64"/>
      <c r="T13" s="64"/>
      <c r="U13" s="83"/>
      <c r="V13" s="77">
        <v>46112</v>
      </c>
      <c r="W13" s="76" t="s">
        <v>1013</v>
      </c>
      <c r="X13" s="84"/>
      <c r="Y13" s="76" t="s">
        <v>1014</v>
      </c>
      <c r="Z13" s="76" t="s">
        <v>1015</v>
      </c>
      <c r="AA13" s="78" t="s">
        <v>1016</v>
      </c>
      <c r="AB13" s="76" t="s">
        <v>1017</v>
      </c>
      <c r="AC13" s="76" t="s">
        <v>1018</v>
      </c>
      <c r="AD13" s="78" t="s">
        <v>1019</v>
      </c>
      <c r="AE13" s="76" t="s">
        <v>1019</v>
      </c>
      <c r="AF13" s="76" t="s">
        <v>1020</v>
      </c>
      <c r="AG13" s="76" t="s">
        <v>1021</v>
      </c>
      <c r="AH13" s="63" t="s">
        <v>623</v>
      </c>
      <c r="AI13" s="63" t="s">
        <v>188</v>
      </c>
      <c r="AJ13" s="63" t="s">
        <v>188</v>
      </c>
      <c r="AK13" s="76" t="s">
        <v>997</v>
      </c>
      <c r="AL13" s="76" t="s">
        <v>998</v>
      </c>
      <c r="AM13" s="79" t="s">
        <v>1022</v>
      </c>
      <c r="AU13" s="10" t="s">
        <v>1004</v>
      </c>
    </row>
    <row r="14" spans="1:170" ht="304.5" hidden="1">
      <c r="A14" s="64">
        <v>21</v>
      </c>
      <c r="B14" s="75">
        <v>46036.774143518502</v>
      </c>
      <c r="C14" s="75">
        <v>46036.779120370396</v>
      </c>
      <c r="D14" s="63" t="s">
        <v>48</v>
      </c>
      <c r="E14" s="63" t="s">
        <v>49</v>
      </c>
      <c r="F14" s="63" t="s">
        <v>1023</v>
      </c>
      <c r="G14" s="63" t="s">
        <v>984</v>
      </c>
      <c r="H14" s="64" t="s">
        <v>197</v>
      </c>
      <c r="I14" s="64" t="s">
        <v>1002</v>
      </c>
      <c r="J14" s="84" t="s">
        <v>847</v>
      </c>
      <c r="K14" s="83"/>
      <c r="L14" s="64" t="s">
        <v>859</v>
      </c>
      <c r="M14" s="64"/>
      <c r="N14" s="64"/>
      <c r="O14" s="63" t="s">
        <v>657</v>
      </c>
      <c r="P14" s="87" t="s">
        <v>1012</v>
      </c>
      <c r="Q14" s="84"/>
      <c r="R14" s="64" t="s">
        <v>57</v>
      </c>
      <c r="S14" s="64"/>
      <c r="T14" s="64"/>
      <c r="U14" s="83"/>
      <c r="V14" s="77">
        <v>46112</v>
      </c>
      <c r="W14" s="76" t="s">
        <v>1024</v>
      </c>
      <c r="X14" s="84"/>
      <c r="Y14" s="76" t="s">
        <v>1025</v>
      </c>
      <c r="Z14" s="76" t="s">
        <v>1026</v>
      </c>
      <c r="AA14" s="78" t="s">
        <v>1027</v>
      </c>
      <c r="AB14" s="76" t="s">
        <v>1025</v>
      </c>
      <c r="AC14" s="76" t="s">
        <v>1028</v>
      </c>
      <c r="AD14" s="78" t="s">
        <v>1029</v>
      </c>
      <c r="AE14" s="76" t="s">
        <v>1030</v>
      </c>
      <c r="AF14" s="76" t="s">
        <v>995</v>
      </c>
      <c r="AG14" s="76" t="s">
        <v>1031</v>
      </c>
      <c r="AH14" s="63" t="s">
        <v>623</v>
      </c>
      <c r="AI14" s="63" t="s">
        <v>188</v>
      </c>
      <c r="AJ14" s="63" t="s">
        <v>188</v>
      </c>
      <c r="AK14" s="76" t="s">
        <v>997</v>
      </c>
      <c r="AL14" s="76" t="s">
        <v>998</v>
      </c>
      <c r="AM14" s="79" t="s">
        <v>1032</v>
      </c>
      <c r="AN14" s="65">
        <v>1</v>
      </c>
      <c r="AP14" s="72"/>
      <c r="AQ14" s="65" t="s">
        <v>3</v>
      </c>
      <c r="AR14" s="65"/>
      <c r="AS14" s="65" t="s">
        <v>711</v>
      </c>
      <c r="AT14" s="65" t="s">
        <v>97</v>
      </c>
      <c r="AU14" s="65" t="s">
        <v>403</v>
      </c>
      <c r="AW14" s="65" t="s">
        <v>675</v>
      </c>
    </row>
    <row r="15" spans="1:170" ht="217.5">
      <c r="A15" s="59">
        <v>22</v>
      </c>
      <c r="B15" s="67">
        <v>46042.586782407401</v>
      </c>
      <c r="C15" s="67">
        <v>46042.665289351797</v>
      </c>
      <c r="D15" s="62" t="s">
        <v>481</v>
      </c>
      <c r="E15" s="62" t="s">
        <v>482</v>
      </c>
      <c r="F15" s="62" t="s">
        <v>1033</v>
      </c>
      <c r="G15" s="62" t="s">
        <v>158</v>
      </c>
      <c r="H15" s="59" t="s">
        <v>197</v>
      </c>
      <c r="I15" s="59" t="s">
        <v>1034</v>
      </c>
      <c r="J15" s="84"/>
      <c r="K15" s="83"/>
      <c r="L15" s="59"/>
      <c r="M15" s="59"/>
      <c r="N15" s="59" t="s">
        <v>199</v>
      </c>
      <c r="O15" s="62" t="s">
        <v>572</v>
      </c>
      <c r="P15" s="87" t="s">
        <v>1035</v>
      </c>
      <c r="Q15" s="84"/>
      <c r="R15" s="59" t="s">
        <v>83</v>
      </c>
      <c r="S15" s="59">
        <v>75411</v>
      </c>
      <c r="T15" s="59"/>
      <c r="U15" s="90"/>
      <c r="V15" s="68">
        <v>46063</v>
      </c>
      <c r="W15" s="70" t="s">
        <v>1036</v>
      </c>
      <c r="X15" s="84"/>
      <c r="Y15" s="70" t="s">
        <v>1037</v>
      </c>
      <c r="Z15" s="70" t="s">
        <v>1038</v>
      </c>
      <c r="AA15" s="71" t="s">
        <v>1039</v>
      </c>
      <c r="AB15" s="70" t="s">
        <v>1040</v>
      </c>
      <c r="AC15" s="70" t="s">
        <v>1041</v>
      </c>
      <c r="AD15" s="71" t="s">
        <v>1042</v>
      </c>
      <c r="AE15" s="70" t="s">
        <v>1043</v>
      </c>
      <c r="AF15" s="70" t="s">
        <v>1044</v>
      </c>
      <c r="AG15" s="70" t="s">
        <v>1045</v>
      </c>
      <c r="AH15" s="62" t="s">
        <v>1046</v>
      </c>
      <c r="AI15" s="62" t="s">
        <v>188</v>
      </c>
      <c r="AJ15" s="62" t="s">
        <v>188</v>
      </c>
      <c r="AK15" s="70" t="s">
        <v>1047</v>
      </c>
      <c r="AL15" s="70" t="s">
        <v>1048</v>
      </c>
      <c r="AM15" s="74" t="s">
        <v>1049</v>
      </c>
      <c r="AP15" s="72"/>
      <c r="AT15" s="65" t="s">
        <v>251</v>
      </c>
      <c r="AU15" s="65" t="s">
        <v>253</v>
      </c>
    </row>
    <row r="16" spans="1:170" ht="188.45" hidden="1">
      <c r="A16" s="59">
        <v>23</v>
      </c>
      <c r="B16" s="67">
        <v>46042.744837963</v>
      </c>
      <c r="C16" s="67">
        <v>46042.760972222197</v>
      </c>
      <c r="D16" s="62" t="s">
        <v>855</v>
      </c>
      <c r="E16" s="62" t="s">
        <v>856</v>
      </c>
      <c r="F16" s="62" t="s">
        <v>1050</v>
      </c>
      <c r="G16" s="62" t="s">
        <v>75</v>
      </c>
      <c r="H16" s="59" t="s">
        <v>91</v>
      </c>
      <c r="I16" s="59" t="s">
        <v>1051</v>
      </c>
      <c r="J16" s="84"/>
      <c r="K16" s="83"/>
      <c r="L16" s="59" t="s">
        <v>859</v>
      </c>
      <c r="M16" s="59"/>
      <c r="N16" s="59"/>
      <c r="O16" s="62" t="s">
        <v>657</v>
      </c>
      <c r="P16" s="87" t="s">
        <v>1052</v>
      </c>
      <c r="Q16" s="84"/>
      <c r="R16" s="59" t="s">
        <v>57</v>
      </c>
      <c r="S16" s="59"/>
      <c r="T16" s="59"/>
      <c r="U16" s="83"/>
      <c r="V16" s="68">
        <v>46112</v>
      </c>
      <c r="W16" s="70" t="s">
        <v>1053</v>
      </c>
      <c r="X16" s="84"/>
      <c r="Y16" s="70" t="s">
        <v>1054</v>
      </c>
      <c r="Z16" s="70" t="s">
        <v>1055</v>
      </c>
      <c r="AA16" s="71" t="s">
        <v>1056</v>
      </c>
      <c r="AB16" s="70" t="s">
        <v>1057</v>
      </c>
      <c r="AC16" s="70" t="s">
        <v>1058</v>
      </c>
      <c r="AD16" s="71" t="s">
        <v>1059</v>
      </c>
      <c r="AE16" s="70" t="s">
        <v>1060</v>
      </c>
      <c r="AF16" s="70" t="s">
        <v>1061</v>
      </c>
      <c r="AG16" s="70" t="s">
        <v>1062</v>
      </c>
      <c r="AH16" s="62" t="s">
        <v>623</v>
      </c>
      <c r="AI16" s="62" t="s">
        <v>188</v>
      </c>
      <c r="AJ16" s="62" t="s">
        <v>224</v>
      </c>
      <c r="AK16" s="70" t="s">
        <v>1063</v>
      </c>
      <c r="AL16" s="70" t="s">
        <v>1064</v>
      </c>
      <c r="AM16" s="74" t="s">
        <v>1065</v>
      </c>
      <c r="AN16" s="65" t="s">
        <v>627</v>
      </c>
      <c r="AP16" s="72"/>
      <c r="AQ16" s="65" t="s">
        <v>3</v>
      </c>
      <c r="AR16" s="65"/>
      <c r="AS16" s="65" t="s">
        <v>711</v>
      </c>
      <c r="AT16" s="65" t="s">
        <v>390</v>
      </c>
      <c r="AU16" s="65" t="s">
        <v>403</v>
      </c>
      <c r="AV16" s="65" t="s">
        <v>586</v>
      </c>
      <c r="AW16" s="65" t="s">
        <v>675</v>
      </c>
    </row>
    <row r="17" spans="1:50" ht="203.1" hidden="1">
      <c r="A17" s="59">
        <v>24</v>
      </c>
      <c r="B17" s="67">
        <v>46043.4691550926</v>
      </c>
      <c r="C17" s="67">
        <v>46043.537372685198</v>
      </c>
      <c r="D17" s="62" t="s">
        <v>1066</v>
      </c>
      <c r="E17" s="62" t="s">
        <v>1067</v>
      </c>
      <c r="F17" s="62" t="s">
        <v>1068</v>
      </c>
      <c r="G17" s="62" t="s">
        <v>75</v>
      </c>
      <c r="H17" s="59" t="s">
        <v>159</v>
      </c>
      <c r="I17" s="59" t="s">
        <v>1069</v>
      </c>
      <c r="J17" s="84"/>
      <c r="K17" s="83"/>
      <c r="L17" s="59" t="s">
        <v>184</v>
      </c>
      <c r="M17" s="59"/>
      <c r="N17" s="59"/>
      <c r="O17" s="62" t="s">
        <v>657</v>
      </c>
      <c r="P17" s="87" t="s">
        <v>1070</v>
      </c>
      <c r="Q17" s="84"/>
      <c r="R17" s="59" t="s">
        <v>57</v>
      </c>
      <c r="S17" s="59"/>
      <c r="T17" s="59"/>
      <c r="U17" s="83"/>
      <c r="V17" s="68">
        <v>46087</v>
      </c>
      <c r="W17" s="70" t="s">
        <v>1071</v>
      </c>
      <c r="X17" s="84"/>
      <c r="Y17" s="70" t="s">
        <v>1072</v>
      </c>
      <c r="Z17" s="70" t="s">
        <v>1073</v>
      </c>
      <c r="AA17" s="71" t="s">
        <v>1074</v>
      </c>
      <c r="AB17" s="70" t="s">
        <v>1075</v>
      </c>
      <c r="AC17" s="70" t="s">
        <v>1076</v>
      </c>
      <c r="AD17" s="71" t="s">
        <v>1077</v>
      </c>
      <c r="AE17" s="70" t="s">
        <v>1078</v>
      </c>
      <c r="AF17" s="70" t="s">
        <v>1079</v>
      </c>
      <c r="AG17" s="70" t="s">
        <v>1080</v>
      </c>
      <c r="AH17" s="62" t="s">
        <v>1081</v>
      </c>
      <c r="AI17" s="62" t="s">
        <v>224</v>
      </c>
      <c r="AJ17" s="62" t="s">
        <v>188</v>
      </c>
      <c r="AK17" s="70" t="s">
        <v>1082</v>
      </c>
      <c r="AL17" s="70" t="s">
        <v>1083</v>
      </c>
      <c r="AM17" s="74" t="s">
        <v>1084</v>
      </c>
      <c r="AN17" s="65">
        <v>3</v>
      </c>
      <c r="AP17" s="72"/>
      <c r="AQ17" s="65" t="s">
        <v>2</v>
      </c>
      <c r="AR17" s="69" t="s">
        <v>1085</v>
      </c>
      <c r="AS17" s="65" t="s">
        <v>711</v>
      </c>
      <c r="AT17" s="69" t="s">
        <v>1086</v>
      </c>
      <c r="AU17" s="65" t="s">
        <v>403</v>
      </c>
      <c r="AV17" s="65" t="s">
        <v>586</v>
      </c>
      <c r="AW17" s="65" t="s">
        <v>675</v>
      </c>
    </row>
    <row r="18" spans="1:50" ht="29.1">
      <c r="A18" s="59"/>
      <c r="B18" s="67">
        <v>46045</v>
      </c>
      <c r="C18" s="67"/>
      <c r="D18" s="62"/>
      <c r="E18" s="62"/>
      <c r="F18" s="62" t="s">
        <v>1087</v>
      </c>
      <c r="G18" s="62" t="s">
        <v>1088</v>
      </c>
      <c r="H18" s="59"/>
      <c r="I18" s="59" t="s">
        <v>1089</v>
      </c>
      <c r="J18" s="84" t="s">
        <v>847</v>
      </c>
      <c r="K18" s="83"/>
      <c r="L18" s="59"/>
      <c r="M18" s="59"/>
      <c r="N18" s="59"/>
      <c r="O18" s="62"/>
      <c r="P18" s="88" t="s">
        <v>1090</v>
      </c>
      <c r="Q18" s="84"/>
      <c r="R18" s="59" t="s">
        <v>57</v>
      </c>
      <c r="S18" s="59"/>
      <c r="T18" s="59"/>
      <c r="U18" s="83"/>
      <c r="V18" s="68"/>
      <c r="W18" s="62"/>
      <c r="X18" s="84"/>
      <c r="Y18" s="59" t="s">
        <v>1091</v>
      </c>
      <c r="Z18" s="10" t="s">
        <v>1092</v>
      </c>
      <c r="AA18" s="59"/>
      <c r="AB18" s="62"/>
      <c r="AC18" s="62"/>
      <c r="AD18" s="59"/>
      <c r="AE18" s="62"/>
      <c r="AF18" s="62"/>
      <c r="AG18" s="62"/>
      <c r="AH18" s="62"/>
      <c r="AI18" s="62"/>
      <c r="AJ18" s="62"/>
      <c r="AK18" s="62"/>
      <c r="AL18" s="62"/>
      <c r="AM18" s="62"/>
      <c r="AP18" s="72"/>
      <c r="AT18" s="65" t="s">
        <v>152</v>
      </c>
      <c r="AU18" s="65" t="s">
        <v>253</v>
      </c>
    </row>
    <row r="19" spans="1:50" ht="43.5" hidden="1">
      <c r="A19" s="59"/>
      <c r="B19" s="58">
        <v>46045</v>
      </c>
      <c r="C19" s="67"/>
      <c r="D19" s="62"/>
      <c r="E19" s="62"/>
      <c r="F19" s="62" t="s">
        <v>1093</v>
      </c>
      <c r="G19" s="62" t="s">
        <v>158</v>
      </c>
      <c r="H19" s="59"/>
      <c r="I19" s="59" t="s">
        <v>1094</v>
      </c>
      <c r="J19" s="84" t="s">
        <v>847</v>
      </c>
      <c r="K19" s="83"/>
      <c r="L19" s="59"/>
      <c r="M19" s="59"/>
      <c r="N19" s="59"/>
      <c r="O19" s="62" t="s">
        <v>572</v>
      </c>
      <c r="P19" s="86" t="s">
        <v>1095</v>
      </c>
      <c r="Q19" s="84"/>
      <c r="R19" s="59" t="s">
        <v>57</v>
      </c>
      <c r="S19" s="59"/>
      <c r="T19" s="59"/>
      <c r="U19" s="83"/>
      <c r="V19" s="68"/>
      <c r="W19" s="62"/>
      <c r="X19" s="84"/>
      <c r="Y19" s="59" t="s">
        <v>1096</v>
      </c>
      <c r="Z19" s="10" t="s">
        <v>850</v>
      </c>
      <c r="AA19" s="59"/>
      <c r="AB19" s="62"/>
      <c r="AC19" s="62"/>
      <c r="AD19" s="59"/>
      <c r="AE19" s="62"/>
      <c r="AF19" s="62"/>
      <c r="AG19" s="62"/>
      <c r="AH19" s="62"/>
      <c r="AI19" s="62"/>
      <c r="AJ19" s="62"/>
      <c r="AK19" s="62"/>
      <c r="AL19" s="62"/>
      <c r="AM19" s="62"/>
      <c r="AN19" s="65" t="s">
        <v>627</v>
      </c>
      <c r="AP19" s="72"/>
      <c r="AQ19" s="65" t="s">
        <v>3</v>
      </c>
      <c r="AR19" s="65"/>
      <c r="AS19" s="65" t="s">
        <v>711</v>
      </c>
      <c r="AT19" s="65" t="s">
        <v>390</v>
      </c>
      <c r="AU19" s="65" t="s">
        <v>403</v>
      </c>
      <c r="AW19" s="65" t="s">
        <v>587</v>
      </c>
    </row>
    <row r="20" spans="1:50" ht="101.45">
      <c r="A20" s="59"/>
      <c r="B20" s="67">
        <v>46045</v>
      </c>
      <c r="C20" s="67"/>
      <c r="D20" s="62"/>
      <c r="E20" s="62"/>
      <c r="F20" s="62" t="s">
        <v>1097</v>
      </c>
      <c r="G20" s="62" t="s">
        <v>342</v>
      </c>
      <c r="H20" s="59"/>
      <c r="I20" s="59" t="s">
        <v>1098</v>
      </c>
      <c r="J20" s="84" t="s">
        <v>847</v>
      </c>
      <c r="K20" s="83"/>
      <c r="L20" s="59"/>
      <c r="M20" s="59"/>
      <c r="N20" s="59"/>
      <c r="O20" s="62" t="s">
        <v>638</v>
      </c>
      <c r="P20" s="88" t="s">
        <v>1099</v>
      </c>
      <c r="Q20" s="84"/>
      <c r="R20" s="59" t="s">
        <v>57</v>
      </c>
      <c r="S20" s="59"/>
      <c r="T20" s="59"/>
      <c r="U20" s="83"/>
      <c r="V20" s="68"/>
      <c r="W20" s="62"/>
      <c r="X20" s="84"/>
      <c r="Y20" s="59" t="s">
        <v>1100</v>
      </c>
      <c r="Z20" s="59" t="s">
        <v>1101</v>
      </c>
      <c r="AA20" s="59"/>
      <c r="AB20" s="62"/>
      <c r="AC20" s="62"/>
      <c r="AD20" s="59"/>
      <c r="AE20" s="62"/>
      <c r="AF20" s="62"/>
      <c r="AG20" s="62"/>
      <c r="AH20" s="62"/>
      <c r="AI20" s="62"/>
      <c r="AJ20" s="62"/>
      <c r="AK20" s="62"/>
      <c r="AL20" s="62"/>
      <c r="AM20" s="62"/>
      <c r="AP20" s="72"/>
      <c r="AT20" s="65" t="s">
        <v>585</v>
      </c>
      <c r="AU20" s="65" t="s">
        <v>253</v>
      </c>
    </row>
    <row r="21" spans="1:50" ht="101.45" hidden="1">
      <c r="A21" s="59"/>
      <c r="B21" s="67">
        <v>46045</v>
      </c>
      <c r="C21" s="67"/>
      <c r="D21" s="62"/>
      <c r="E21" s="62"/>
      <c r="F21" s="62" t="s">
        <v>1097</v>
      </c>
      <c r="G21" s="62" t="s">
        <v>75</v>
      </c>
      <c r="H21" s="59"/>
      <c r="I21" s="59" t="s">
        <v>1102</v>
      </c>
      <c r="J21" s="84" t="s">
        <v>847</v>
      </c>
      <c r="K21" s="83"/>
      <c r="L21" s="59"/>
      <c r="M21" s="59"/>
      <c r="N21" s="59"/>
      <c r="O21" s="62" t="s">
        <v>657</v>
      </c>
      <c r="P21" s="88" t="s">
        <v>1103</v>
      </c>
      <c r="Q21" s="84"/>
      <c r="R21" s="59" t="s">
        <v>57</v>
      </c>
      <c r="S21" s="59"/>
      <c r="T21" s="59"/>
      <c r="U21" s="83"/>
      <c r="V21" s="68"/>
      <c r="W21" s="62"/>
      <c r="X21" s="84"/>
      <c r="Y21" s="59" t="s">
        <v>1104</v>
      </c>
      <c r="Z21" s="59" t="s">
        <v>1101</v>
      </c>
      <c r="AA21" s="59"/>
      <c r="AB21" s="62"/>
      <c r="AC21" s="62"/>
      <c r="AD21" s="59"/>
      <c r="AE21" s="62"/>
      <c r="AF21" s="62"/>
      <c r="AG21" s="62"/>
      <c r="AH21" s="62"/>
      <c r="AI21" s="62"/>
      <c r="AJ21" s="62"/>
      <c r="AK21" s="62"/>
      <c r="AL21" s="62"/>
      <c r="AM21" s="62"/>
      <c r="AN21" s="65">
        <v>2</v>
      </c>
      <c r="AO21" s="65" t="s">
        <v>671</v>
      </c>
      <c r="AP21" s="72">
        <v>13000</v>
      </c>
      <c r="AQ21" s="65" t="s">
        <v>3</v>
      </c>
      <c r="AR21" s="69" t="s">
        <v>672</v>
      </c>
      <c r="AS21" s="65" t="s">
        <v>207</v>
      </c>
      <c r="AT21" s="65" t="s">
        <v>694</v>
      </c>
      <c r="AU21" s="65" t="s">
        <v>674</v>
      </c>
    </row>
    <row r="22" spans="1:50" ht="29.1" hidden="1">
      <c r="A22" s="59"/>
      <c r="B22" s="58">
        <v>46045</v>
      </c>
      <c r="C22" s="67"/>
      <c r="D22" s="62"/>
      <c r="E22" s="62"/>
      <c r="F22" s="62" t="s">
        <v>1105</v>
      </c>
      <c r="G22" s="62" t="s">
        <v>158</v>
      </c>
      <c r="H22" s="59"/>
      <c r="I22" s="59" t="s">
        <v>1106</v>
      </c>
      <c r="J22" s="84" t="s">
        <v>847</v>
      </c>
      <c r="K22" s="83"/>
      <c r="L22" s="59"/>
      <c r="M22" s="59"/>
      <c r="N22" s="59"/>
      <c r="O22" s="62" t="s">
        <v>572</v>
      </c>
      <c r="P22" s="86" t="s">
        <v>1107</v>
      </c>
      <c r="Q22" s="84"/>
      <c r="R22" s="59" t="s">
        <v>57</v>
      </c>
      <c r="S22" s="59"/>
      <c r="T22" s="59"/>
      <c r="U22" s="83"/>
      <c r="V22" s="68"/>
      <c r="W22" s="62"/>
      <c r="X22" s="84"/>
      <c r="Y22" s="59" t="s">
        <v>1108</v>
      </c>
      <c r="Z22" s="10" t="s">
        <v>1109</v>
      </c>
      <c r="AA22" s="59"/>
      <c r="AB22" s="62"/>
      <c r="AC22" s="62"/>
      <c r="AD22" s="59"/>
      <c r="AE22" s="62"/>
      <c r="AF22" s="62"/>
      <c r="AG22" s="62"/>
      <c r="AH22" s="62"/>
      <c r="AI22" s="62"/>
      <c r="AJ22" s="62"/>
      <c r="AK22" s="62"/>
      <c r="AL22" s="62"/>
      <c r="AM22" s="62"/>
      <c r="AN22" s="65">
        <v>1</v>
      </c>
      <c r="AP22" s="72"/>
      <c r="AQ22" s="65" t="s">
        <v>4</v>
      </c>
      <c r="AR22" s="69" t="s">
        <v>1110</v>
      </c>
      <c r="AS22" s="65" t="s">
        <v>711</v>
      </c>
      <c r="AT22" s="65" t="s">
        <v>390</v>
      </c>
      <c r="AU22" s="65" t="s">
        <v>403</v>
      </c>
      <c r="AW22" s="65" t="s">
        <v>854</v>
      </c>
    </row>
    <row r="23" spans="1:50" ht="29.1">
      <c r="A23" s="59"/>
      <c r="B23" s="67">
        <v>46045</v>
      </c>
      <c r="C23" s="67"/>
      <c r="D23" s="62"/>
      <c r="E23" s="62"/>
      <c r="F23" s="62" t="s">
        <v>1087</v>
      </c>
      <c r="G23" s="10" t="s">
        <v>1088</v>
      </c>
      <c r="H23" s="59"/>
      <c r="I23" s="93" t="s">
        <v>1111</v>
      </c>
      <c r="J23" s="84" t="s">
        <v>847</v>
      </c>
      <c r="K23" s="83"/>
      <c r="L23" s="59"/>
      <c r="M23" s="59"/>
      <c r="N23" s="59"/>
      <c r="O23" s="62"/>
      <c r="P23" s="86" t="s">
        <v>1090</v>
      </c>
      <c r="Q23" s="89"/>
      <c r="R23" s="59" t="s">
        <v>83</v>
      </c>
      <c r="S23" s="59" t="s">
        <v>487</v>
      </c>
      <c r="T23" s="59"/>
      <c r="U23" s="83"/>
      <c r="V23" s="60">
        <v>46082</v>
      </c>
      <c r="W23" s="62"/>
      <c r="X23" s="84"/>
      <c r="Y23" s="62"/>
      <c r="Z23" s="10" t="s">
        <v>1112</v>
      </c>
      <c r="AA23" s="59"/>
      <c r="AB23" s="62"/>
      <c r="AC23" s="62"/>
      <c r="AD23" s="59"/>
      <c r="AE23" s="62"/>
      <c r="AF23" s="62"/>
      <c r="AG23" s="62"/>
      <c r="AH23" s="62"/>
      <c r="AI23" s="62"/>
      <c r="AJ23" s="62"/>
      <c r="AK23" s="62"/>
      <c r="AL23" s="62"/>
      <c r="AM23" s="62"/>
      <c r="AP23" s="72"/>
      <c r="AR23" s="69" t="s">
        <v>1113</v>
      </c>
      <c r="AT23" s="65" t="s">
        <v>694</v>
      </c>
      <c r="AU23" s="65" t="s">
        <v>253</v>
      </c>
    </row>
    <row r="24" spans="1:50" ht="101.45" hidden="1">
      <c r="A24" s="59"/>
      <c r="B24" s="58">
        <v>46045</v>
      </c>
      <c r="C24" s="67"/>
      <c r="D24" s="62"/>
      <c r="E24" s="62"/>
      <c r="F24" s="62" t="s">
        <v>1097</v>
      </c>
      <c r="G24" s="10" t="s">
        <v>342</v>
      </c>
      <c r="H24" s="59"/>
      <c r="I24" s="93" t="s">
        <v>1111</v>
      </c>
      <c r="J24" s="84" t="s">
        <v>847</v>
      </c>
      <c r="K24" s="83"/>
      <c r="L24" s="59"/>
      <c r="M24" s="59"/>
      <c r="N24" s="59"/>
      <c r="O24" s="62" t="s">
        <v>638</v>
      </c>
      <c r="P24" s="86" t="s">
        <v>1099</v>
      </c>
      <c r="Q24" s="89"/>
      <c r="R24" s="59" t="s">
        <v>83</v>
      </c>
      <c r="S24" s="59"/>
      <c r="T24" s="59"/>
      <c r="U24" s="83"/>
      <c r="V24" s="60">
        <v>46157</v>
      </c>
      <c r="W24" s="62"/>
      <c r="X24" s="84"/>
      <c r="Y24" s="62"/>
      <c r="Z24" s="10" t="s">
        <v>1114</v>
      </c>
      <c r="AA24" s="59"/>
      <c r="AB24" s="62"/>
      <c r="AC24" s="62"/>
      <c r="AD24" s="59"/>
      <c r="AE24" s="62"/>
      <c r="AF24" s="62"/>
      <c r="AG24" s="62"/>
      <c r="AH24" s="62"/>
      <c r="AI24" s="62"/>
      <c r="AJ24" s="62"/>
      <c r="AK24" s="62"/>
      <c r="AL24" s="62"/>
      <c r="AM24" s="62"/>
      <c r="AN24" s="65">
        <v>5</v>
      </c>
      <c r="AO24" s="65" t="s">
        <v>671</v>
      </c>
      <c r="AP24" s="72">
        <v>47000</v>
      </c>
      <c r="AQ24" s="65" t="s">
        <v>2</v>
      </c>
      <c r="AR24" s="69" t="s">
        <v>1115</v>
      </c>
      <c r="AS24" s="65" t="s">
        <v>631</v>
      </c>
      <c r="AT24" s="65" t="s">
        <v>694</v>
      </c>
      <c r="AU24" s="65" t="s">
        <v>403</v>
      </c>
      <c r="AW24" s="65" t="s">
        <v>675</v>
      </c>
    </row>
    <row r="25" spans="1:50" s="10" customFormat="1" ht="101.45">
      <c r="A25" s="59"/>
      <c r="B25" s="58">
        <v>46045</v>
      </c>
      <c r="C25" s="67"/>
      <c r="D25" s="62"/>
      <c r="E25" s="62"/>
      <c r="F25" s="62" t="s">
        <v>1097</v>
      </c>
      <c r="G25" s="10" t="s">
        <v>75</v>
      </c>
      <c r="H25" s="59"/>
      <c r="I25" s="93" t="s">
        <v>1111</v>
      </c>
      <c r="J25" s="84" t="s">
        <v>847</v>
      </c>
      <c r="K25" s="83"/>
      <c r="L25" s="59"/>
      <c r="M25" s="59"/>
      <c r="N25" s="59"/>
      <c r="O25" s="62" t="s">
        <v>657</v>
      </c>
      <c r="P25" s="86" t="s">
        <v>1116</v>
      </c>
      <c r="Q25" s="84"/>
      <c r="R25" s="59" t="s">
        <v>83</v>
      </c>
      <c r="S25" s="59"/>
      <c r="T25" s="59"/>
      <c r="U25" s="83"/>
      <c r="V25" s="60">
        <v>46188</v>
      </c>
      <c r="W25" s="62"/>
      <c r="X25" s="84"/>
      <c r="Y25" s="62"/>
      <c r="Z25" s="10" t="s">
        <v>1117</v>
      </c>
      <c r="AA25" s="59"/>
      <c r="AB25" s="62"/>
      <c r="AC25" s="62"/>
      <c r="AD25" s="59"/>
      <c r="AE25" s="62"/>
      <c r="AF25" s="62"/>
      <c r="AG25" s="62"/>
      <c r="AH25" s="62"/>
      <c r="AI25" s="62"/>
      <c r="AJ25" s="62"/>
      <c r="AK25" s="62"/>
      <c r="AL25" s="62"/>
      <c r="AM25" s="62"/>
      <c r="AU25" s="10" t="s">
        <v>1118</v>
      </c>
      <c r="AW25" s="10" t="s">
        <v>854</v>
      </c>
    </row>
    <row r="26" spans="1:50" s="10" customFormat="1" ht="101.45">
      <c r="A26" s="59"/>
      <c r="B26" s="58">
        <v>46045</v>
      </c>
      <c r="C26" s="67"/>
      <c r="D26" s="62"/>
      <c r="E26" s="62"/>
      <c r="F26" s="62" t="s">
        <v>1097</v>
      </c>
      <c r="G26" s="10" t="s">
        <v>158</v>
      </c>
      <c r="H26" s="59"/>
      <c r="I26" s="93" t="s">
        <v>1111</v>
      </c>
      <c r="J26" s="84" t="s">
        <v>847</v>
      </c>
      <c r="K26" s="83"/>
      <c r="L26" s="59"/>
      <c r="M26" s="59"/>
      <c r="N26" s="59"/>
      <c r="O26" s="62" t="s">
        <v>572</v>
      </c>
      <c r="P26" s="86" t="s">
        <v>1119</v>
      </c>
      <c r="Q26" s="84"/>
      <c r="R26" s="59" t="s">
        <v>83</v>
      </c>
      <c r="S26" s="59"/>
      <c r="T26" s="59"/>
      <c r="U26" s="83"/>
      <c r="V26" s="60">
        <v>46127</v>
      </c>
      <c r="W26" s="62"/>
      <c r="X26" s="84"/>
      <c r="Y26" s="62"/>
      <c r="Z26" s="10" t="s">
        <v>1120</v>
      </c>
      <c r="AA26" s="59"/>
      <c r="AB26" s="62"/>
      <c r="AC26" s="62"/>
      <c r="AD26" s="59"/>
      <c r="AE26" s="62"/>
      <c r="AF26" s="62"/>
      <c r="AG26" s="62"/>
      <c r="AH26" s="62"/>
      <c r="AI26" s="62"/>
      <c r="AJ26" s="62"/>
      <c r="AK26" s="62"/>
      <c r="AL26" s="62"/>
      <c r="AM26" s="62"/>
      <c r="AU26" s="10" t="s">
        <v>1118</v>
      </c>
      <c r="AW26" s="10" t="s">
        <v>854</v>
      </c>
    </row>
    <row r="27" spans="1:50" s="10" customFormat="1" ht="29.1">
      <c r="A27" s="59"/>
      <c r="B27" s="58">
        <v>46048</v>
      </c>
      <c r="C27" s="67"/>
      <c r="D27" s="62"/>
      <c r="E27" s="62"/>
      <c r="F27" s="62" t="s">
        <v>1121</v>
      </c>
      <c r="G27" s="62" t="s">
        <v>1088</v>
      </c>
      <c r="H27" s="59"/>
      <c r="I27" s="59" t="s">
        <v>1089</v>
      </c>
      <c r="J27" s="84" t="s">
        <v>847</v>
      </c>
      <c r="K27" s="83"/>
      <c r="L27" s="59"/>
      <c r="M27" s="59"/>
      <c r="N27" s="59"/>
      <c r="O27" s="62"/>
      <c r="P27" s="88" t="s">
        <v>1122</v>
      </c>
      <c r="Q27" s="84"/>
      <c r="R27" s="59" t="s">
        <v>57</v>
      </c>
      <c r="S27" s="59"/>
      <c r="T27" s="59"/>
      <c r="U27" s="83"/>
      <c r="V27" s="62"/>
      <c r="W27" s="62"/>
      <c r="X27" s="84"/>
      <c r="Y27" s="59" t="s">
        <v>1123</v>
      </c>
      <c r="Z27" s="62"/>
      <c r="AA27" s="59"/>
      <c r="AB27" s="62"/>
      <c r="AC27" s="62"/>
      <c r="AD27" s="59"/>
      <c r="AE27" s="62"/>
      <c r="AF27" s="62"/>
      <c r="AG27" s="62"/>
      <c r="AH27" s="62"/>
      <c r="AI27" s="62"/>
      <c r="AJ27" s="62"/>
      <c r="AK27" s="62"/>
      <c r="AL27" s="62"/>
      <c r="AM27" s="62"/>
      <c r="AU27" s="10" t="s">
        <v>1118</v>
      </c>
      <c r="AW27" s="10" t="s">
        <v>854</v>
      </c>
    </row>
    <row r="28" spans="1:50" s="10" customFormat="1" ht="29.1">
      <c r="A28" s="59"/>
      <c r="B28" s="58">
        <v>46048</v>
      </c>
      <c r="C28" s="67"/>
      <c r="D28" s="62"/>
      <c r="E28" s="62"/>
      <c r="F28" s="62" t="s">
        <v>1121</v>
      </c>
      <c r="G28" s="10" t="s">
        <v>1088</v>
      </c>
      <c r="H28" s="59"/>
      <c r="I28" s="59" t="s">
        <v>1111</v>
      </c>
      <c r="J28" s="84" t="s">
        <v>847</v>
      </c>
      <c r="K28" s="83"/>
      <c r="L28" s="59"/>
      <c r="M28" s="59"/>
      <c r="N28" s="59"/>
      <c r="O28" s="62"/>
      <c r="P28" s="86" t="s">
        <v>1122</v>
      </c>
      <c r="Q28" s="84"/>
      <c r="R28" s="59" t="s">
        <v>83</v>
      </c>
      <c r="S28" s="59"/>
      <c r="T28" s="59"/>
      <c r="U28" s="83"/>
      <c r="V28" s="60">
        <v>46068</v>
      </c>
      <c r="W28" s="62"/>
      <c r="X28" s="84"/>
      <c r="Y28" s="62"/>
      <c r="Z28" s="10" t="s">
        <v>1124</v>
      </c>
      <c r="AA28" s="59"/>
      <c r="AB28" s="62"/>
      <c r="AC28" s="62"/>
      <c r="AD28" s="59"/>
      <c r="AE28" s="62"/>
      <c r="AF28" s="62"/>
      <c r="AG28" s="62"/>
      <c r="AH28" s="62"/>
      <c r="AI28" s="62"/>
      <c r="AJ28" s="62"/>
      <c r="AK28" s="62"/>
      <c r="AL28" s="62"/>
      <c r="AM28" s="62"/>
      <c r="AU28" s="10" t="s">
        <v>1118</v>
      </c>
      <c r="AW28" s="10" t="s">
        <v>854</v>
      </c>
    </row>
    <row r="29" spans="1:50" s="10" customFormat="1" ht="116.1">
      <c r="A29" s="59">
        <v>25</v>
      </c>
      <c r="B29" s="67">
        <v>46048.5886342593</v>
      </c>
      <c r="C29" s="67">
        <v>46048.615358796298</v>
      </c>
      <c r="D29" s="62" t="s">
        <v>566</v>
      </c>
      <c r="E29" s="62" t="s">
        <v>567</v>
      </c>
      <c r="F29" s="62" t="s">
        <v>1125</v>
      </c>
      <c r="G29" s="62" t="s">
        <v>158</v>
      </c>
      <c r="H29" s="59" t="s">
        <v>570</v>
      </c>
      <c r="I29" s="59" t="s">
        <v>1126</v>
      </c>
      <c r="J29" s="84"/>
      <c r="K29" s="83"/>
      <c r="L29" s="59"/>
      <c r="M29" s="59"/>
      <c r="N29" s="59" t="s">
        <v>161</v>
      </c>
      <c r="O29" s="62" t="s">
        <v>572</v>
      </c>
      <c r="P29" s="87" t="s">
        <v>1127</v>
      </c>
      <c r="Q29" s="84"/>
      <c r="R29" s="59" t="s">
        <v>83</v>
      </c>
      <c r="S29" s="59">
        <v>76553</v>
      </c>
      <c r="T29" s="59"/>
      <c r="U29" s="83"/>
      <c r="V29" s="68">
        <v>46083</v>
      </c>
      <c r="W29" s="70" t="s">
        <v>582</v>
      </c>
      <c r="X29" s="84"/>
      <c r="Y29" s="70" t="s">
        <v>1128</v>
      </c>
      <c r="Z29" s="70" t="s">
        <v>1129</v>
      </c>
      <c r="AA29" s="71" t="s">
        <v>1130</v>
      </c>
      <c r="AB29" s="70" t="s">
        <v>1131</v>
      </c>
      <c r="AC29" s="70" t="s">
        <v>1132</v>
      </c>
      <c r="AD29" s="71" t="s">
        <v>1133</v>
      </c>
      <c r="AE29" s="70" t="s">
        <v>1134</v>
      </c>
      <c r="AF29" s="70" t="s">
        <v>1135</v>
      </c>
      <c r="AG29" s="70" t="s">
        <v>1136</v>
      </c>
      <c r="AH29" s="62" t="s">
        <v>581</v>
      </c>
      <c r="AI29" s="62" t="s">
        <v>188</v>
      </c>
      <c r="AJ29" s="62" t="s">
        <v>188</v>
      </c>
      <c r="AK29" s="70" t="s">
        <v>1137</v>
      </c>
      <c r="AL29" s="70" t="s">
        <v>1138</v>
      </c>
      <c r="AM29" s="74" t="s">
        <v>1139</v>
      </c>
      <c r="AU29" s="10" t="s">
        <v>1118</v>
      </c>
      <c r="AW29" s="10" t="s">
        <v>675</v>
      </c>
      <c r="AX29" s="59" t="s">
        <v>1140</v>
      </c>
    </row>
    <row r="30" spans="1:50" s="10" customFormat="1" ht="101.45">
      <c r="A30" s="59">
        <v>26</v>
      </c>
      <c r="B30" s="67">
        <v>46048.615775462997</v>
      </c>
      <c r="C30" s="67">
        <v>46048.6236921296</v>
      </c>
      <c r="D30" s="62" t="s">
        <v>566</v>
      </c>
      <c r="E30" s="62" t="s">
        <v>567</v>
      </c>
      <c r="F30" s="62" t="s">
        <v>568</v>
      </c>
      <c r="G30" s="62" t="s">
        <v>158</v>
      </c>
      <c r="H30" s="59" t="s">
        <v>570</v>
      </c>
      <c r="I30" s="59" t="s">
        <v>571</v>
      </c>
      <c r="J30" s="84"/>
      <c r="K30" s="83"/>
      <c r="L30" s="59"/>
      <c r="M30" s="59"/>
      <c r="N30" s="59" t="s">
        <v>161</v>
      </c>
      <c r="O30" s="62" t="s">
        <v>572</v>
      </c>
      <c r="P30" s="87" t="s">
        <v>1141</v>
      </c>
      <c r="Q30" s="84"/>
      <c r="R30" s="59" t="s">
        <v>83</v>
      </c>
      <c r="S30" s="59">
        <v>76553</v>
      </c>
      <c r="T30" s="59"/>
      <c r="U30" s="83"/>
      <c r="V30" s="68">
        <v>46035</v>
      </c>
      <c r="W30" s="70" t="s">
        <v>573</v>
      </c>
      <c r="X30" s="84"/>
      <c r="Y30" s="70" t="s">
        <v>574</v>
      </c>
      <c r="Z30" s="70" t="s">
        <v>575</v>
      </c>
      <c r="AA30" s="71" t="s">
        <v>576</v>
      </c>
      <c r="AB30" s="70" t="s">
        <v>574</v>
      </c>
      <c r="AC30" s="70" t="s">
        <v>577</v>
      </c>
      <c r="AD30" s="71" t="s">
        <v>579</v>
      </c>
      <c r="AE30" s="70" t="s">
        <v>578</v>
      </c>
      <c r="AF30" s="70" t="s">
        <v>580</v>
      </c>
      <c r="AG30" s="70" t="s">
        <v>569</v>
      </c>
      <c r="AH30" s="62" t="s">
        <v>581</v>
      </c>
      <c r="AI30" s="62" t="s">
        <v>188</v>
      </c>
      <c r="AJ30" s="62" t="s">
        <v>224</v>
      </c>
      <c r="AK30" s="70" t="s">
        <v>582</v>
      </c>
      <c r="AL30" s="70" t="s">
        <v>577</v>
      </c>
      <c r="AM30" s="74" t="s">
        <v>583</v>
      </c>
      <c r="AU30" s="10" t="s">
        <v>1118</v>
      </c>
      <c r="AV30" s="10" t="s">
        <v>586</v>
      </c>
      <c r="AW30" s="10" t="s">
        <v>587</v>
      </c>
    </row>
    <row r="31" spans="1:50" s="10" customFormat="1" ht="87">
      <c r="A31" s="59">
        <v>27</v>
      </c>
      <c r="B31" s="67">
        <v>46048.633923611102</v>
      </c>
      <c r="C31" s="67">
        <v>46048.648668981499</v>
      </c>
      <c r="D31" s="62" t="s">
        <v>566</v>
      </c>
      <c r="E31" s="62" t="s">
        <v>567</v>
      </c>
      <c r="F31" s="62" t="s">
        <v>1142</v>
      </c>
      <c r="G31" s="62" t="s">
        <v>158</v>
      </c>
      <c r="H31" s="59" t="s">
        <v>570</v>
      </c>
      <c r="I31" s="59" t="s">
        <v>1143</v>
      </c>
      <c r="J31" s="84"/>
      <c r="K31" s="83"/>
      <c r="L31" s="59"/>
      <c r="M31" s="59"/>
      <c r="N31" s="59" t="s">
        <v>161</v>
      </c>
      <c r="O31" s="62" t="s">
        <v>572</v>
      </c>
      <c r="P31" s="87" t="s">
        <v>1144</v>
      </c>
      <c r="Q31" s="84"/>
      <c r="R31" s="59" t="s">
        <v>83</v>
      </c>
      <c r="S31" s="59">
        <v>76553</v>
      </c>
      <c r="T31" s="59"/>
      <c r="U31" s="83"/>
      <c r="V31" s="68">
        <v>46113</v>
      </c>
      <c r="W31" s="70" t="s">
        <v>573</v>
      </c>
      <c r="X31" s="84"/>
      <c r="Y31" s="70" t="s">
        <v>1145</v>
      </c>
      <c r="Z31" s="70" t="s">
        <v>1146</v>
      </c>
      <c r="AA31" s="71" t="s">
        <v>1147</v>
      </c>
      <c r="AB31" s="70" t="s">
        <v>1148</v>
      </c>
      <c r="AC31" s="70" t="s">
        <v>1149</v>
      </c>
      <c r="AD31" s="71" t="s">
        <v>579</v>
      </c>
      <c r="AE31" s="70" t="s">
        <v>1150</v>
      </c>
      <c r="AF31" s="70" t="s">
        <v>1151</v>
      </c>
      <c r="AG31" s="70" t="s">
        <v>1152</v>
      </c>
      <c r="AH31" s="62" t="s">
        <v>581</v>
      </c>
      <c r="AI31" s="62" t="s">
        <v>188</v>
      </c>
      <c r="AJ31" s="62" t="s">
        <v>188</v>
      </c>
      <c r="AK31" s="70" t="s">
        <v>582</v>
      </c>
      <c r="AL31" s="70" t="s">
        <v>1153</v>
      </c>
      <c r="AM31" s="74" t="s">
        <v>1154</v>
      </c>
      <c r="AU31" s="10" t="s">
        <v>1118</v>
      </c>
      <c r="AW31" s="10" t="s">
        <v>675</v>
      </c>
      <c r="AX31" s="59"/>
    </row>
    <row r="32" spans="1:50" s="10" customFormat="1" ht="130.5">
      <c r="A32" s="59">
        <v>28</v>
      </c>
      <c r="B32" s="67">
        <v>46048.633958333303</v>
      </c>
      <c r="C32" s="67">
        <v>46048.654606481497</v>
      </c>
      <c r="D32" s="62" t="s">
        <v>566</v>
      </c>
      <c r="E32" s="62" t="s">
        <v>567</v>
      </c>
      <c r="F32" s="62" t="s">
        <v>1155</v>
      </c>
      <c r="G32" s="62" t="s">
        <v>158</v>
      </c>
      <c r="H32" s="59" t="s">
        <v>570</v>
      </c>
      <c r="I32" s="59" t="s">
        <v>1143</v>
      </c>
      <c r="J32" s="84"/>
      <c r="K32" s="83"/>
      <c r="L32" s="59"/>
      <c r="M32" s="59"/>
      <c r="N32" s="59" t="s">
        <v>161</v>
      </c>
      <c r="O32" s="62" t="s">
        <v>572</v>
      </c>
      <c r="P32" s="87" t="s">
        <v>1156</v>
      </c>
      <c r="Q32" s="84"/>
      <c r="R32" s="59" t="s">
        <v>83</v>
      </c>
      <c r="S32" s="59">
        <v>76553</v>
      </c>
      <c r="T32" s="59"/>
      <c r="U32" s="83"/>
      <c r="V32" s="68">
        <v>46113</v>
      </c>
      <c r="W32" s="70" t="s">
        <v>573</v>
      </c>
      <c r="X32" s="84"/>
      <c r="Y32" s="70" t="s">
        <v>1157</v>
      </c>
      <c r="Z32" s="70" t="s">
        <v>1158</v>
      </c>
      <c r="AA32" s="71" t="s">
        <v>1159</v>
      </c>
      <c r="AB32" s="70" t="s">
        <v>1160</v>
      </c>
      <c r="AC32" s="70" t="s">
        <v>1161</v>
      </c>
      <c r="AD32" s="71" t="s">
        <v>1162</v>
      </c>
      <c r="AE32" s="70" t="s">
        <v>1163</v>
      </c>
      <c r="AF32" s="70" t="s">
        <v>1151</v>
      </c>
      <c r="AG32" s="70" t="s">
        <v>1164</v>
      </c>
      <c r="AH32" s="62" t="s">
        <v>581</v>
      </c>
      <c r="AI32" s="62" t="s">
        <v>188</v>
      </c>
      <c r="AJ32" s="62" t="s">
        <v>188</v>
      </c>
      <c r="AK32" s="70" t="s">
        <v>573</v>
      </c>
      <c r="AL32" s="70" t="s">
        <v>1165</v>
      </c>
      <c r="AM32" s="74" t="s">
        <v>1166</v>
      </c>
      <c r="AU32" s="10" t="s">
        <v>1118</v>
      </c>
      <c r="AW32" s="10" t="s">
        <v>675</v>
      </c>
    </row>
    <row r="33" spans="1:50" s="10" customFormat="1" ht="101.45">
      <c r="A33" s="59">
        <v>29</v>
      </c>
      <c r="B33" s="67">
        <v>46048.633969907401</v>
      </c>
      <c r="C33" s="67">
        <v>46048.662210648203</v>
      </c>
      <c r="D33" s="62" t="s">
        <v>566</v>
      </c>
      <c r="E33" s="62" t="s">
        <v>567</v>
      </c>
      <c r="F33" s="62" t="s">
        <v>1167</v>
      </c>
      <c r="G33" s="62" t="s">
        <v>158</v>
      </c>
      <c r="H33" s="59" t="s">
        <v>570</v>
      </c>
      <c r="I33" s="59" t="s">
        <v>1143</v>
      </c>
      <c r="J33" s="84"/>
      <c r="K33" s="83"/>
      <c r="L33" s="59"/>
      <c r="M33" s="59"/>
      <c r="N33" s="59" t="s">
        <v>161</v>
      </c>
      <c r="O33" s="62" t="s">
        <v>572</v>
      </c>
      <c r="P33" s="87" t="s">
        <v>1168</v>
      </c>
      <c r="Q33" s="84"/>
      <c r="R33" s="59" t="s">
        <v>83</v>
      </c>
      <c r="S33" s="59">
        <v>76553</v>
      </c>
      <c r="T33" s="59"/>
      <c r="U33" s="83"/>
      <c r="V33" s="68">
        <v>46113</v>
      </c>
      <c r="W33" s="70" t="s">
        <v>573</v>
      </c>
      <c r="X33" s="84"/>
      <c r="Y33" s="70" t="s">
        <v>1169</v>
      </c>
      <c r="Z33" s="70" t="s">
        <v>1170</v>
      </c>
      <c r="AA33" s="71" t="s">
        <v>1171</v>
      </c>
      <c r="AB33" s="70" t="s">
        <v>1172</v>
      </c>
      <c r="AC33" s="70" t="s">
        <v>1173</v>
      </c>
      <c r="AD33" s="71" t="s">
        <v>579</v>
      </c>
      <c r="AE33" s="70" t="s">
        <v>1174</v>
      </c>
      <c r="AF33" s="70" t="s">
        <v>1175</v>
      </c>
      <c r="AG33" s="70" t="s">
        <v>1176</v>
      </c>
      <c r="AH33" s="62" t="s">
        <v>581</v>
      </c>
      <c r="AI33" s="62" t="s">
        <v>188</v>
      </c>
      <c r="AJ33" s="62" t="s">
        <v>188</v>
      </c>
      <c r="AK33" s="70" t="s">
        <v>573</v>
      </c>
      <c r="AL33" s="70" t="s">
        <v>1177</v>
      </c>
      <c r="AM33" s="74" t="s">
        <v>1178</v>
      </c>
      <c r="AU33" s="10" t="s">
        <v>1118</v>
      </c>
      <c r="AW33" s="10" t="s">
        <v>675</v>
      </c>
    </row>
    <row r="34" spans="1:50" s="10" customFormat="1" ht="231.95">
      <c r="A34" s="59">
        <v>31</v>
      </c>
      <c r="B34" s="67">
        <v>46048.646111111098</v>
      </c>
      <c r="C34" s="67">
        <v>46048.673055555599</v>
      </c>
      <c r="D34" s="62" t="s">
        <v>588</v>
      </c>
      <c r="E34" s="62" t="s">
        <v>589</v>
      </c>
      <c r="F34" s="62" t="s">
        <v>590</v>
      </c>
      <c r="G34" s="62" t="s">
        <v>158</v>
      </c>
      <c r="H34" s="59" t="s">
        <v>215</v>
      </c>
      <c r="I34" s="59" t="s">
        <v>592</v>
      </c>
      <c r="J34" s="84"/>
      <c r="K34" s="83"/>
      <c r="L34" s="59"/>
      <c r="M34" s="59"/>
      <c r="N34" s="59" t="s">
        <v>199</v>
      </c>
      <c r="O34" s="62" t="s">
        <v>572</v>
      </c>
      <c r="P34" s="87" t="s">
        <v>1179</v>
      </c>
      <c r="Q34" s="84"/>
      <c r="R34" s="59" t="s">
        <v>57</v>
      </c>
      <c r="S34" s="59"/>
      <c r="T34" s="59"/>
      <c r="U34" s="83"/>
      <c r="V34" s="68">
        <v>46081</v>
      </c>
      <c r="W34" s="70" t="s">
        <v>593</v>
      </c>
      <c r="X34" s="84"/>
      <c r="Y34" s="70" t="s">
        <v>594</v>
      </c>
      <c r="Z34" s="70" t="s">
        <v>595</v>
      </c>
      <c r="AA34" s="71" t="s">
        <v>597</v>
      </c>
      <c r="AB34" s="70" t="s">
        <v>596</v>
      </c>
      <c r="AC34" s="70" t="s">
        <v>598</v>
      </c>
      <c r="AD34" s="71" t="s">
        <v>600</v>
      </c>
      <c r="AE34" s="70" t="s">
        <v>599</v>
      </c>
      <c r="AF34" s="70" t="s">
        <v>601</v>
      </c>
      <c r="AG34" s="70" t="s">
        <v>591</v>
      </c>
      <c r="AH34" s="62" t="s">
        <v>602</v>
      </c>
      <c r="AI34" s="62" t="s">
        <v>188</v>
      </c>
      <c r="AJ34" s="62" t="s">
        <v>188</v>
      </c>
      <c r="AK34" s="70" t="s">
        <v>603</v>
      </c>
      <c r="AL34" s="70" t="s">
        <v>604</v>
      </c>
      <c r="AM34" s="74" t="s">
        <v>605</v>
      </c>
      <c r="AU34" s="10" t="s">
        <v>1118</v>
      </c>
      <c r="AW34" s="10" t="s">
        <v>587</v>
      </c>
    </row>
    <row r="35" spans="1:50" s="10" customFormat="1" ht="116.1">
      <c r="A35" s="59">
        <v>30</v>
      </c>
      <c r="B35" s="67">
        <v>46048.651817129597</v>
      </c>
      <c r="C35" s="67">
        <v>46048.669687499998</v>
      </c>
      <c r="D35" s="62" t="s">
        <v>1180</v>
      </c>
      <c r="E35" s="62" t="s">
        <v>1181</v>
      </c>
      <c r="F35" s="62" t="s">
        <v>1182</v>
      </c>
      <c r="G35" s="62" t="s">
        <v>158</v>
      </c>
      <c r="H35" s="59" t="s">
        <v>280</v>
      </c>
      <c r="I35" s="64" t="s">
        <v>1183</v>
      </c>
      <c r="J35" s="84"/>
      <c r="K35" s="83"/>
      <c r="L35" s="59"/>
      <c r="M35" s="59"/>
      <c r="N35" s="59" t="s">
        <v>258</v>
      </c>
      <c r="O35" s="62" t="s">
        <v>572</v>
      </c>
      <c r="P35" s="87" t="s">
        <v>1184</v>
      </c>
      <c r="Q35" s="84"/>
      <c r="R35" s="59" t="s">
        <v>57</v>
      </c>
      <c r="S35" s="59"/>
      <c r="T35" s="59"/>
      <c r="U35" s="83"/>
      <c r="V35" s="68">
        <v>46078</v>
      </c>
      <c r="W35" s="70" t="s">
        <v>57</v>
      </c>
      <c r="X35" s="84"/>
      <c r="Y35" s="70" t="s">
        <v>1185</v>
      </c>
      <c r="Z35" s="70" t="s">
        <v>1186</v>
      </c>
      <c r="AA35" s="71" t="s">
        <v>1187</v>
      </c>
      <c r="AB35" s="70" t="s">
        <v>1188</v>
      </c>
      <c r="AC35" s="70" t="s">
        <v>1004</v>
      </c>
      <c r="AD35" s="71" t="s">
        <v>1189</v>
      </c>
      <c r="AE35" s="70" t="s">
        <v>370</v>
      </c>
      <c r="AF35" s="70" t="s">
        <v>1190</v>
      </c>
      <c r="AG35" s="70" t="s">
        <v>1191</v>
      </c>
      <c r="AH35" s="62" t="s">
        <v>1081</v>
      </c>
      <c r="AI35" s="62" t="s">
        <v>188</v>
      </c>
      <c r="AJ35" s="62" t="s">
        <v>224</v>
      </c>
      <c r="AK35" s="70" t="s">
        <v>1004</v>
      </c>
      <c r="AL35" s="70" t="s">
        <v>1192</v>
      </c>
      <c r="AM35" s="74" t="s">
        <v>1193</v>
      </c>
      <c r="AU35" s="10" t="s">
        <v>1118</v>
      </c>
      <c r="AW35" s="10" t="s">
        <v>675</v>
      </c>
    </row>
    <row r="36" spans="1:50" s="10" customFormat="1" ht="87">
      <c r="A36" s="59">
        <v>32</v>
      </c>
      <c r="B36" s="67">
        <v>46048.673553240696</v>
      </c>
      <c r="C36" s="67">
        <v>46048.690682870401</v>
      </c>
      <c r="D36" s="62" t="s">
        <v>588</v>
      </c>
      <c r="E36" s="62" t="s">
        <v>589</v>
      </c>
      <c r="F36" s="62" t="s">
        <v>1194</v>
      </c>
      <c r="G36" s="62" t="s">
        <v>158</v>
      </c>
      <c r="H36" s="59" t="s">
        <v>91</v>
      </c>
      <c r="I36" s="59" t="s">
        <v>1195</v>
      </c>
      <c r="J36" s="84"/>
      <c r="K36" s="83"/>
      <c r="L36" s="59"/>
      <c r="M36" s="59"/>
      <c r="N36" s="59" t="s">
        <v>199</v>
      </c>
      <c r="O36" s="62" t="s">
        <v>572</v>
      </c>
      <c r="P36" s="87" t="s">
        <v>1196</v>
      </c>
      <c r="Q36" s="84"/>
      <c r="R36" s="59" t="s">
        <v>57</v>
      </c>
      <c r="S36" s="59"/>
      <c r="T36" s="59"/>
      <c r="U36" s="83"/>
      <c r="V36" s="68">
        <v>46080</v>
      </c>
      <c r="W36" s="70" t="s">
        <v>1197</v>
      </c>
      <c r="X36" s="84"/>
      <c r="Y36" s="70" t="s">
        <v>1198</v>
      </c>
      <c r="Z36" s="70" t="s">
        <v>1199</v>
      </c>
      <c r="AA36" s="71" t="s">
        <v>1200</v>
      </c>
      <c r="AB36" s="70" t="s">
        <v>1201</v>
      </c>
      <c r="AC36" s="70" t="s">
        <v>1202</v>
      </c>
      <c r="AD36" s="71" t="s">
        <v>1203</v>
      </c>
      <c r="AE36" s="70" t="s">
        <v>1204</v>
      </c>
      <c r="AF36" s="70" t="s">
        <v>1205</v>
      </c>
      <c r="AG36" s="70" t="s">
        <v>1206</v>
      </c>
      <c r="AH36" s="62" t="s">
        <v>623</v>
      </c>
      <c r="AI36" s="62" t="s">
        <v>188</v>
      </c>
      <c r="AJ36" s="62" t="s">
        <v>188</v>
      </c>
      <c r="AK36" s="70" t="s">
        <v>1207</v>
      </c>
      <c r="AL36" s="70" t="s">
        <v>1208</v>
      </c>
      <c r="AM36" s="74" t="s">
        <v>1209</v>
      </c>
      <c r="AU36" s="10" t="s">
        <v>1118</v>
      </c>
      <c r="AW36" s="10" t="s">
        <v>675</v>
      </c>
    </row>
    <row r="37" spans="1:50" s="10" customFormat="1" ht="159.6">
      <c r="A37" s="59">
        <v>33</v>
      </c>
      <c r="B37" s="67">
        <v>46049.461261574099</v>
      </c>
      <c r="C37" s="67">
        <v>46049.472210648099</v>
      </c>
      <c r="D37" s="62" t="s">
        <v>610</v>
      </c>
      <c r="E37" s="62" t="s">
        <v>611</v>
      </c>
      <c r="F37" s="62" t="s">
        <v>612</v>
      </c>
      <c r="G37" s="62" t="s">
        <v>158</v>
      </c>
      <c r="H37" s="59" t="s">
        <v>197</v>
      </c>
      <c r="I37" s="59" t="s">
        <v>614</v>
      </c>
      <c r="J37" s="84"/>
      <c r="K37" s="83"/>
      <c r="L37" s="59"/>
      <c r="M37" s="59"/>
      <c r="N37" s="59" t="s">
        <v>199</v>
      </c>
      <c r="O37" s="62" t="s">
        <v>572</v>
      </c>
      <c r="P37" s="87" t="s">
        <v>1210</v>
      </c>
      <c r="Q37" s="84"/>
      <c r="R37" s="59" t="s">
        <v>83</v>
      </c>
      <c r="S37" s="59">
        <v>75364</v>
      </c>
      <c r="T37" s="59"/>
      <c r="U37" s="83"/>
      <c r="V37" s="68">
        <v>46081</v>
      </c>
      <c r="W37" s="70" t="s">
        <v>615</v>
      </c>
      <c r="X37" s="84"/>
      <c r="Y37" s="70" t="s">
        <v>616</v>
      </c>
      <c r="Z37" s="70" t="s">
        <v>617</v>
      </c>
      <c r="AA37" s="71" t="s">
        <v>619</v>
      </c>
      <c r="AB37" s="70" t="s">
        <v>618</v>
      </c>
      <c r="AC37" s="70" t="s">
        <v>620</v>
      </c>
      <c r="AD37" s="71" t="s">
        <v>621</v>
      </c>
      <c r="AE37" s="70" t="s">
        <v>621</v>
      </c>
      <c r="AF37" s="70" t="s">
        <v>622</v>
      </c>
      <c r="AG37" s="70" t="s">
        <v>613</v>
      </c>
      <c r="AH37" s="62" t="s">
        <v>623</v>
      </c>
      <c r="AI37" s="62" t="s">
        <v>188</v>
      </c>
      <c r="AJ37" s="62" t="s">
        <v>188</v>
      </c>
      <c r="AK37" s="70" t="s">
        <v>624</v>
      </c>
      <c r="AL37" s="70" t="s">
        <v>625</v>
      </c>
      <c r="AM37" s="74" t="s">
        <v>626</v>
      </c>
      <c r="AU37" s="10" t="s">
        <v>1118</v>
      </c>
      <c r="AW37" s="10" t="s">
        <v>587</v>
      </c>
    </row>
    <row r="38" spans="1:50" s="10" customFormat="1" ht="130.5">
      <c r="A38" s="59">
        <v>34</v>
      </c>
      <c r="B38" s="67">
        <v>46049.599756944401</v>
      </c>
      <c r="C38" s="67">
        <v>46049.717407407399</v>
      </c>
      <c r="D38" s="62" t="s">
        <v>632</v>
      </c>
      <c r="E38" s="62" t="s">
        <v>633</v>
      </c>
      <c r="F38" s="62" t="s">
        <v>1211</v>
      </c>
      <c r="G38" s="62" t="s">
        <v>342</v>
      </c>
      <c r="H38" s="59" t="s">
        <v>636</v>
      </c>
      <c r="I38" s="59" t="s">
        <v>752</v>
      </c>
      <c r="J38" s="84"/>
      <c r="K38" s="83"/>
      <c r="L38" s="59"/>
      <c r="M38" s="59" t="s">
        <v>639</v>
      </c>
      <c r="N38" s="59"/>
      <c r="O38" s="62" t="s">
        <v>638</v>
      </c>
      <c r="P38" s="87" t="s">
        <v>1212</v>
      </c>
      <c r="Q38" s="84"/>
      <c r="R38" s="59" t="s">
        <v>57</v>
      </c>
      <c r="S38" s="59"/>
      <c r="T38" s="59"/>
      <c r="U38" s="83"/>
      <c r="V38" s="68">
        <v>46081</v>
      </c>
      <c r="W38" s="70" t="s">
        <v>188</v>
      </c>
      <c r="X38" s="84"/>
      <c r="Y38" s="70" t="s">
        <v>1213</v>
      </c>
      <c r="Z38" s="70" t="s">
        <v>1214</v>
      </c>
      <c r="AA38" s="71" t="s">
        <v>1215</v>
      </c>
      <c r="AB38" s="70" t="s">
        <v>1216</v>
      </c>
      <c r="AC38" s="70" t="s">
        <v>1217</v>
      </c>
      <c r="AD38" s="71" t="s">
        <v>1218</v>
      </c>
      <c r="AE38" s="70" t="s">
        <v>1219</v>
      </c>
      <c r="AF38" s="70" t="s">
        <v>1220</v>
      </c>
      <c r="AG38" s="70" t="s">
        <v>1221</v>
      </c>
      <c r="AH38" s="62" t="s">
        <v>623</v>
      </c>
      <c r="AI38" s="62" t="s">
        <v>188</v>
      </c>
      <c r="AJ38" s="62" t="s">
        <v>188</v>
      </c>
      <c r="AK38" s="70" t="s">
        <v>1222</v>
      </c>
      <c r="AL38" s="70" t="s">
        <v>1223</v>
      </c>
      <c r="AM38" s="74" t="s">
        <v>1224</v>
      </c>
      <c r="AU38" s="10" t="s">
        <v>1118</v>
      </c>
      <c r="AW38" s="10" t="s">
        <v>587</v>
      </c>
    </row>
    <row r="39" spans="1:50" s="10" customFormat="1" ht="130.5">
      <c r="A39" s="59">
        <v>36</v>
      </c>
      <c r="B39" s="67">
        <v>46055.426550925898</v>
      </c>
      <c r="C39" s="67">
        <v>46055.469699074099</v>
      </c>
      <c r="D39" s="62" t="s">
        <v>824</v>
      </c>
      <c r="E39" s="62" t="s">
        <v>125</v>
      </c>
      <c r="F39" s="62" t="s">
        <v>1225</v>
      </c>
      <c r="G39" s="62" t="s">
        <v>158</v>
      </c>
      <c r="H39" s="59" t="s">
        <v>241</v>
      </c>
      <c r="I39" s="59" t="s">
        <v>1226</v>
      </c>
      <c r="J39" s="84"/>
      <c r="K39" s="83"/>
      <c r="L39" s="59"/>
      <c r="M39" s="59"/>
      <c r="N39" s="59" t="s">
        <v>161</v>
      </c>
      <c r="O39" s="62" t="s">
        <v>572</v>
      </c>
      <c r="P39" s="87" t="s">
        <v>1227</v>
      </c>
      <c r="Q39" s="84"/>
      <c r="R39" s="59" t="s">
        <v>57</v>
      </c>
      <c r="S39" s="59"/>
      <c r="T39" s="59"/>
      <c r="U39" s="83"/>
      <c r="V39" s="68">
        <v>46068</v>
      </c>
      <c r="W39" s="70" t="s">
        <v>1228</v>
      </c>
      <c r="X39" s="84"/>
      <c r="Y39" s="70" t="s">
        <v>1229</v>
      </c>
      <c r="Z39" s="70" t="s">
        <v>1230</v>
      </c>
      <c r="AA39" s="71" t="s">
        <v>1231</v>
      </c>
      <c r="AB39" s="70" t="s">
        <v>1232</v>
      </c>
      <c r="AC39" s="70" t="s">
        <v>1233</v>
      </c>
      <c r="AD39" s="71" t="s">
        <v>1234</v>
      </c>
      <c r="AE39" s="70" t="s">
        <v>1235</v>
      </c>
      <c r="AF39" s="70" t="s">
        <v>1236</v>
      </c>
      <c r="AG39" s="70" t="s">
        <v>1237</v>
      </c>
      <c r="AH39" s="62" t="s">
        <v>581</v>
      </c>
      <c r="AI39" s="62" t="s">
        <v>188</v>
      </c>
      <c r="AJ39" s="62" t="s">
        <v>188</v>
      </c>
      <c r="AK39" s="70" t="s">
        <v>1238</v>
      </c>
      <c r="AL39" s="70" t="s">
        <v>1239</v>
      </c>
      <c r="AM39" s="74" t="s">
        <v>1240</v>
      </c>
      <c r="AU39" s="10" t="s">
        <v>1118</v>
      </c>
      <c r="AV39" s="59"/>
      <c r="AW39" s="10" t="s">
        <v>587</v>
      </c>
      <c r="AX39" s="59" t="s">
        <v>1241</v>
      </c>
    </row>
    <row r="40" spans="1:50" s="10" customFormat="1" ht="116.1">
      <c r="A40" s="59">
        <v>37</v>
      </c>
      <c r="B40" s="67">
        <v>46055.469803240703</v>
      </c>
      <c r="C40" s="67">
        <v>46055.481655092597</v>
      </c>
      <c r="D40" s="62" t="s">
        <v>824</v>
      </c>
      <c r="E40" s="62" t="s">
        <v>125</v>
      </c>
      <c r="F40" s="62" t="s">
        <v>1242</v>
      </c>
      <c r="G40" s="62" t="s">
        <v>158</v>
      </c>
      <c r="H40" s="59" t="s">
        <v>241</v>
      </c>
      <c r="I40" s="59" t="s">
        <v>1243</v>
      </c>
      <c r="J40" s="84"/>
      <c r="K40" s="83"/>
      <c r="L40" s="59"/>
      <c r="M40" s="59"/>
      <c r="N40" s="59" t="s">
        <v>161</v>
      </c>
      <c r="O40" s="62" t="s">
        <v>572</v>
      </c>
      <c r="P40" s="84"/>
      <c r="Q40" s="84"/>
      <c r="R40" s="59" t="s">
        <v>57</v>
      </c>
      <c r="S40" s="59"/>
      <c r="T40" s="59"/>
      <c r="U40" s="83"/>
      <c r="V40" s="68">
        <v>46056</v>
      </c>
      <c r="W40" s="70" t="s">
        <v>582</v>
      </c>
      <c r="X40" s="84"/>
      <c r="Y40" s="70" t="s">
        <v>1244</v>
      </c>
      <c r="Z40" s="70" t="s">
        <v>1245</v>
      </c>
      <c r="AA40" s="71" t="s">
        <v>1246</v>
      </c>
      <c r="AB40" s="70" t="s">
        <v>1247</v>
      </c>
      <c r="AC40" s="70" t="s">
        <v>1248</v>
      </c>
      <c r="AD40" s="71" t="s">
        <v>1249</v>
      </c>
      <c r="AE40" s="70" t="s">
        <v>1250</v>
      </c>
      <c r="AF40" s="70" t="s">
        <v>1251</v>
      </c>
      <c r="AG40" s="70" t="s">
        <v>1252</v>
      </c>
      <c r="AH40" s="62" t="s">
        <v>581</v>
      </c>
      <c r="AI40" s="62" t="s">
        <v>188</v>
      </c>
      <c r="AJ40" s="62" t="s">
        <v>188</v>
      </c>
      <c r="AK40" s="70" t="s">
        <v>1253</v>
      </c>
      <c r="AL40" s="70" t="s">
        <v>1254</v>
      </c>
      <c r="AM40" s="74" t="s">
        <v>1255</v>
      </c>
      <c r="AU40" s="10" t="s">
        <v>1118</v>
      </c>
      <c r="AW40" s="10" t="s">
        <v>675</v>
      </c>
      <c r="AX40" s="59" t="s">
        <v>1256</v>
      </c>
    </row>
    <row r="41" spans="1:50" s="10" customFormat="1" ht="159.6">
      <c r="A41" s="59">
        <v>41</v>
      </c>
      <c r="B41" s="67">
        <v>46055.481724537</v>
      </c>
      <c r="C41" s="67">
        <v>46057.623043981497</v>
      </c>
      <c r="D41" s="62" t="s">
        <v>824</v>
      </c>
      <c r="E41" s="62" t="s">
        <v>125</v>
      </c>
      <c r="F41" s="62" t="s">
        <v>1257</v>
      </c>
      <c r="G41" s="62" t="s">
        <v>158</v>
      </c>
      <c r="H41" s="59" t="s">
        <v>570</v>
      </c>
      <c r="I41" s="59" t="s">
        <v>1258</v>
      </c>
      <c r="J41" s="84"/>
      <c r="K41" s="83"/>
      <c r="L41" s="59"/>
      <c r="M41" s="59"/>
      <c r="N41" s="59" t="s">
        <v>161</v>
      </c>
      <c r="O41" s="62" t="s">
        <v>572</v>
      </c>
      <c r="P41" s="87" t="s">
        <v>1259</v>
      </c>
      <c r="Q41" s="84"/>
      <c r="R41" s="59" t="s">
        <v>57</v>
      </c>
      <c r="S41" s="59"/>
      <c r="T41" s="59"/>
      <c r="U41" s="83"/>
      <c r="V41" s="68">
        <v>46108</v>
      </c>
      <c r="W41" s="70" t="s">
        <v>57</v>
      </c>
      <c r="X41" s="84"/>
      <c r="Y41" s="70" t="s">
        <v>1260</v>
      </c>
      <c r="Z41" s="70" t="s">
        <v>1261</v>
      </c>
      <c r="AA41" s="71" t="s">
        <v>1262</v>
      </c>
      <c r="AB41" s="70" t="s">
        <v>1263</v>
      </c>
      <c r="AC41" s="70" t="s">
        <v>1264</v>
      </c>
      <c r="AD41" s="71" t="s">
        <v>1265</v>
      </c>
      <c r="AE41" s="70" t="s">
        <v>370</v>
      </c>
      <c r="AF41" s="70" t="s">
        <v>1266</v>
      </c>
      <c r="AG41" s="70" t="s">
        <v>1267</v>
      </c>
      <c r="AH41" s="62" t="s">
        <v>761</v>
      </c>
      <c r="AI41" s="62" t="s">
        <v>188</v>
      </c>
      <c r="AJ41" s="62" t="s">
        <v>188</v>
      </c>
      <c r="AK41" s="70" t="s">
        <v>1268</v>
      </c>
      <c r="AL41" s="70" t="s">
        <v>1269</v>
      </c>
      <c r="AM41" s="74" t="s">
        <v>1270</v>
      </c>
      <c r="AU41" s="10" t="s">
        <v>1118</v>
      </c>
      <c r="AW41" s="10" t="s">
        <v>675</v>
      </c>
    </row>
    <row r="42" spans="1:50" s="10" customFormat="1" ht="101.45">
      <c r="A42" s="59">
        <v>38</v>
      </c>
      <c r="B42" s="67">
        <v>46056.962071759299</v>
      </c>
      <c r="C42" s="67">
        <v>46056.992395833302</v>
      </c>
      <c r="D42" s="62" t="s">
        <v>632</v>
      </c>
      <c r="E42" s="62" t="s">
        <v>633</v>
      </c>
      <c r="F42" s="62" t="s">
        <v>634</v>
      </c>
      <c r="G42" s="62" t="s">
        <v>342</v>
      </c>
      <c r="H42" s="59" t="s">
        <v>636</v>
      </c>
      <c r="I42" s="59" t="s">
        <v>637</v>
      </c>
      <c r="J42" s="84"/>
      <c r="K42" s="83"/>
      <c r="L42" s="59"/>
      <c r="M42" s="59" t="s">
        <v>639</v>
      </c>
      <c r="N42" s="59"/>
      <c r="O42" s="62" t="s">
        <v>638</v>
      </c>
      <c r="P42" s="87" t="s">
        <v>1271</v>
      </c>
      <c r="Q42" s="84"/>
      <c r="R42" s="59" t="s">
        <v>57</v>
      </c>
      <c r="S42" s="59"/>
      <c r="T42" s="59"/>
      <c r="U42" s="83"/>
      <c r="V42" s="68">
        <v>46070</v>
      </c>
      <c r="W42" s="70" t="s">
        <v>640</v>
      </c>
      <c r="X42" s="84"/>
      <c r="Y42" s="70" t="s">
        <v>641</v>
      </c>
      <c r="Z42" s="70" t="s">
        <v>642</v>
      </c>
      <c r="AA42" s="71" t="s">
        <v>644</v>
      </c>
      <c r="AB42" s="70" t="s">
        <v>643</v>
      </c>
      <c r="AC42" s="70" t="s">
        <v>645</v>
      </c>
      <c r="AD42" s="71" t="s">
        <v>647</v>
      </c>
      <c r="AE42" s="70" t="s">
        <v>646</v>
      </c>
      <c r="AF42" s="70" t="s">
        <v>648</v>
      </c>
      <c r="AG42" s="70" t="s">
        <v>635</v>
      </c>
      <c r="AH42" s="62" t="s">
        <v>581</v>
      </c>
      <c r="AI42" s="62" t="s">
        <v>188</v>
      </c>
      <c r="AJ42" s="62" t="s">
        <v>188</v>
      </c>
      <c r="AK42" s="70" t="s">
        <v>649</v>
      </c>
      <c r="AL42" s="70" t="s">
        <v>650</v>
      </c>
      <c r="AM42" s="74"/>
      <c r="AU42" s="10" t="s">
        <v>1118</v>
      </c>
      <c r="AW42" s="10" t="s">
        <v>587</v>
      </c>
    </row>
    <row r="43" spans="1:50" s="10" customFormat="1" ht="409.5">
      <c r="A43" s="59">
        <v>39</v>
      </c>
      <c r="B43" s="67">
        <v>46057.3828125</v>
      </c>
      <c r="C43" s="67">
        <v>46057.402731481503</v>
      </c>
      <c r="D43" s="62" t="s">
        <v>652</v>
      </c>
      <c r="E43" s="62" t="s">
        <v>653</v>
      </c>
      <c r="F43" s="62" t="s">
        <v>654</v>
      </c>
      <c r="G43" s="62" t="s">
        <v>75</v>
      </c>
      <c r="H43" s="59" t="s">
        <v>76</v>
      </c>
      <c r="I43" s="59" t="s">
        <v>656</v>
      </c>
      <c r="J43" s="84"/>
      <c r="K43" s="83"/>
      <c r="L43" s="59" t="s">
        <v>658</v>
      </c>
      <c r="M43" s="59"/>
      <c r="N43" s="59"/>
      <c r="O43" s="62" t="s">
        <v>657</v>
      </c>
      <c r="P43" s="87" t="s">
        <v>1272</v>
      </c>
      <c r="Q43" s="84"/>
      <c r="R43" s="59" t="s">
        <v>57</v>
      </c>
      <c r="S43" s="59"/>
      <c r="T43" s="59"/>
      <c r="U43" s="83"/>
      <c r="V43" s="68">
        <v>46094</v>
      </c>
      <c r="W43" s="70" t="s">
        <v>659</v>
      </c>
      <c r="X43" s="84"/>
      <c r="Y43" s="70" t="s">
        <v>660</v>
      </c>
      <c r="Z43" s="70" t="s">
        <v>661</v>
      </c>
      <c r="AA43" s="71" t="s">
        <v>663</v>
      </c>
      <c r="AB43" s="70" t="s">
        <v>662</v>
      </c>
      <c r="AC43" s="70" t="s">
        <v>664</v>
      </c>
      <c r="AD43" s="71" t="s">
        <v>666</v>
      </c>
      <c r="AE43" s="70" t="s">
        <v>665</v>
      </c>
      <c r="AF43" s="70" t="s">
        <v>667</v>
      </c>
      <c r="AG43" s="70" t="s">
        <v>655</v>
      </c>
      <c r="AH43" s="62" t="s">
        <v>503</v>
      </c>
      <c r="AI43" s="62" t="s">
        <v>188</v>
      </c>
      <c r="AJ43" s="62" t="s">
        <v>224</v>
      </c>
      <c r="AK43" s="70" t="s">
        <v>668</v>
      </c>
      <c r="AL43" s="70" t="s">
        <v>669</v>
      </c>
      <c r="AM43" s="74" t="s">
        <v>670</v>
      </c>
      <c r="AU43" s="10" t="s">
        <v>1118</v>
      </c>
      <c r="AW43" s="10" t="s">
        <v>675</v>
      </c>
    </row>
    <row r="44" spans="1:50" s="10" customFormat="1" ht="318.95">
      <c r="A44" s="59">
        <v>40</v>
      </c>
      <c r="B44" s="67">
        <v>46057.4041319444</v>
      </c>
      <c r="C44" s="67">
        <v>46057.4622453704</v>
      </c>
      <c r="D44" s="62" t="s">
        <v>652</v>
      </c>
      <c r="E44" s="62" t="s">
        <v>653</v>
      </c>
      <c r="F44" s="62" t="s">
        <v>1273</v>
      </c>
      <c r="G44" s="62" t="s">
        <v>75</v>
      </c>
      <c r="H44" s="59" t="s">
        <v>159</v>
      </c>
      <c r="I44" s="59" t="s">
        <v>1274</v>
      </c>
      <c r="J44" s="84"/>
      <c r="K44" s="83"/>
      <c r="L44" s="59" t="s">
        <v>658</v>
      </c>
      <c r="M44" s="59"/>
      <c r="N44" s="59"/>
      <c r="O44" s="62" t="s">
        <v>657</v>
      </c>
      <c r="P44" s="87" t="s">
        <v>1275</v>
      </c>
      <c r="Q44" s="84"/>
      <c r="R44" s="59" t="s">
        <v>57</v>
      </c>
      <c r="S44" s="59"/>
      <c r="T44" s="59"/>
      <c r="U44" s="83"/>
      <c r="V44" s="68">
        <v>46101</v>
      </c>
      <c r="W44" s="70" t="s">
        <v>57</v>
      </c>
      <c r="X44" s="84"/>
      <c r="Y44" s="70" t="s">
        <v>1276</v>
      </c>
      <c r="Z44" s="70" t="s">
        <v>1277</v>
      </c>
      <c r="AA44" s="71" t="s">
        <v>1278</v>
      </c>
      <c r="AB44" s="70" t="s">
        <v>1279</v>
      </c>
      <c r="AC44" s="70" t="s">
        <v>1280</v>
      </c>
      <c r="AD44" s="71" t="s">
        <v>1281</v>
      </c>
      <c r="AE44" s="70" t="s">
        <v>1282</v>
      </c>
      <c r="AF44" s="70" t="s">
        <v>1283</v>
      </c>
      <c r="AG44" s="70" t="s">
        <v>1284</v>
      </c>
      <c r="AH44" s="62" t="s">
        <v>1285</v>
      </c>
      <c r="AI44" s="62" t="s">
        <v>188</v>
      </c>
      <c r="AJ44" s="62" t="s">
        <v>188</v>
      </c>
      <c r="AK44" s="70" t="s">
        <v>1286</v>
      </c>
      <c r="AL44" s="70" t="s">
        <v>1287</v>
      </c>
      <c r="AM44" s="74" t="s">
        <v>1288</v>
      </c>
      <c r="AU44" s="10" t="s">
        <v>1118</v>
      </c>
      <c r="AW44" s="10" t="s">
        <v>675</v>
      </c>
    </row>
    <row r="45" spans="1:50" s="10" customFormat="1" ht="261">
      <c r="A45" s="59">
        <v>42</v>
      </c>
      <c r="B45" s="67">
        <v>46057.826076388897</v>
      </c>
      <c r="C45" s="67">
        <v>46057.8430787037</v>
      </c>
      <c r="D45" s="62" t="s">
        <v>48</v>
      </c>
      <c r="E45" s="62" t="s">
        <v>49</v>
      </c>
      <c r="F45" s="62" t="s">
        <v>676</v>
      </c>
      <c r="G45" s="62" t="s">
        <v>158</v>
      </c>
      <c r="H45" s="59" t="s">
        <v>197</v>
      </c>
      <c r="I45" s="59" t="s">
        <v>678</v>
      </c>
      <c r="J45" s="84"/>
      <c r="K45" s="83"/>
      <c r="L45" s="59"/>
      <c r="M45" s="59"/>
      <c r="N45" s="59" t="s">
        <v>161</v>
      </c>
      <c r="O45" s="62" t="s">
        <v>572</v>
      </c>
      <c r="P45" s="87" t="s">
        <v>1289</v>
      </c>
      <c r="Q45" s="84"/>
      <c r="R45" s="59" t="s">
        <v>57</v>
      </c>
      <c r="S45" s="59"/>
      <c r="T45" s="59"/>
      <c r="U45" s="83"/>
      <c r="V45" s="68">
        <v>46081</v>
      </c>
      <c r="W45" s="70" t="s">
        <v>679</v>
      </c>
      <c r="X45" s="84"/>
      <c r="Y45" s="70" t="s">
        <v>677</v>
      </c>
      <c r="Z45" s="70" t="s">
        <v>1290</v>
      </c>
      <c r="AA45" s="71" t="s">
        <v>682</v>
      </c>
      <c r="AB45" s="70" t="s">
        <v>681</v>
      </c>
      <c r="AC45" s="70" t="s">
        <v>683</v>
      </c>
      <c r="AD45" s="71" t="s">
        <v>685</v>
      </c>
      <c r="AE45" s="70" t="s">
        <v>684</v>
      </c>
      <c r="AF45" s="70" t="s">
        <v>686</v>
      </c>
      <c r="AG45" s="70" t="s">
        <v>677</v>
      </c>
      <c r="AH45" s="62" t="s">
        <v>687</v>
      </c>
      <c r="AI45" s="62" t="s">
        <v>188</v>
      </c>
      <c r="AJ45" s="62" t="s">
        <v>188</v>
      </c>
      <c r="AK45" s="70" t="s">
        <v>688</v>
      </c>
      <c r="AL45" s="70" t="s">
        <v>689</v>
      </c>
      <c r="AM45" s="74" t="s">
        <v>690</v>
      </c>
      <c r="AU45" s="10" t="s">
        <v>1118</v>
      </c>
      <c r="AW45" s="10" t="s">
        <v>854</v>
      </c>
    </row>
    <row r="46" spans="1:50" s="10" customFormat="1" ht="246.6">
      <c r="A46" s="59">
        <v>43</v>
      </c>
      <c r="B46" s="67">
        <v>46059.399710648097</v>
      </c>
      <c r="C46" s="67">
        <v>46059.404594907399</v>
      </c>
      <c r="D46" s="62" t="s">
        <v>652</v>
      </c>
      <c r="E46" s="62" t="s">
        <v>653</v>
      </c>
      <c r="F46" s="62" t="s">
        <v>1291</v>
      </c>
      <c r="G46" s="62" t="s">
        <v>75</v>
      </c>
      <c r="H46" s="59" t="s">
        <v>76</v>
      </c>
      <c r="I46" s="59" t="s">
        <v>1292</v>
      </c>
      <c r="J46" s="84"/>
      <c r="K46" s="83"/>
      <c r="L46" s="59" t="s">
        <v>658</v>
      </c>
      <c r="M46" s="59"/>
      <c r="N46" s="59"/>
      <c r="O46" s="62" t="s">
        <v>657</v>
      </c>
      <c r="P46" s="87" t="s">
        <v>1293</v>
      </c>
      <c r="Q46" s="84"/>
      <c r="R46" s="59" t="s">
        <v>57</v>
      </c>
      <c r="S46" s="59"/>
      <c r="T46" s="59"/>
      <c r="U46" s="83"/>
      <c r="V46" s="68">
        <v>46188</v>
      </c>
      <c r="W46" s="70" t="s">
        <v>57</v>
      </c>
      <c r="X46" s="84"/>
      <c r="Y46" s="70" t="s">
        <v>1294</v>
      </c>
      <c r="Z46" s="70" t="s">
        <v>1295</v>
      </c>
      <c r="AA46" s="71" t="s">
        <v>1296</v>
      </c>
      <c r="AB46" s="70" t="s">
        <v>1297</v>
      </c>
      <c r="AC46" s="70" t="s">
        <v>1298</v>
      </c>
      <c r="AD46" s="71" t="s">
        <v>1299</v>
      </c>
      <c r="AE46" s="70" t="s">
        <v>1300</v>
      </c>
      <c r="AF46" s="70" t="s">
        <v>1301</v>
      </c>
      <c r="AG46" s="70" t="s">
        <v>1302</v>
      </c>
      <c r="AH46" s="62" t="s">
        <v>905</v>
      </c>
      <c r="AI46" s="62" t="s">
        <v>188</v>
      </c>
      <c r="AJ46" s="62" t="s">
        <v>188</v>
      </c>
      <c r="AK46" s="70" t="s">
        <v>1303</v>
      </c>
      <c r="AL46" s="70" t="s">
        <v>1304</v>
      </c>
      <c r="AM46" s="74" t="s">
        <v>1305</v>
      </c>
      <c r="AU46" s="10" t="s">
        <v>1118</v>
      </c>
      <c r="AW46" s="10" t="s">
        <v>712</v>
      </c>
    </row>
    <row r="47" spans="1:50" s="10" customFormat="1" ht="409.5">
      <c r="A47" s="59">
        <v>47</v>
      </c>
      <c r="B47" s="67">
        <v>46059.417569444398</v>
      </c>
      <c r="C47" s="67">
        <v>46065.659872685203</v>
      </c>
      <c r="D47" s="62" t="s">
        <v>652</v>
      </c>
      <c r="E47" s="62" t="s">
        <v>653</v>
      </c>
      <c r="F47" s="62" t="s">
        <v>695</v>
      </c>
      <c r="G47" s="62" t="s">
        <v>75</v>
      </c>
      <c r="H47" s="59" t="s">
        <v>76</v>
      </c>
      <c r="I47" s="59" t="s">
        <v>697</v>
      </c>
      <c r="J47" s="84"/>
      <c r="K47" s="83"/>
      <c r="L47" s="59" t="s">
        <v>658</v>
      </c>
      <c r="M47" s="59"/>
      <c r="N47" s="59"/>
      <c r="O47" s="62" t="s">
        <v>657</v>
      </c>
      <c r="P47" s="84" t="s">
        <v>1306</v>
      </c>
      <c r="Q47" s="84"/>
      <c r="R47" s="59" t="s">
        <v>57</v>
      </c>
      <c r="S47" s="59"/>
      <c r="T47" s="59"/>
      <c r="U47" s="83"/>
      <c r="V47" s="68">
        <v>46447</v>
      </c>
      <c r="W47" s="62" t="s">
        <v>57</v>
      </c>
      <c r="X47" s="84"/>
      <c r="Y47" s="62" t="s">
        <v>698</v>
      </c>
      <c r="Z47" s="62" t="s">
        <v>699</v>
      </c>
      <c r="AA47" s="59" t="s">
        <v>701</v>
      </c>
      <c r="AB47" s="62" t="s">
        <v>700</v>
      </c>
      <c r="AC47" s="62" t="s">
        <v>702</v>
      </c>
      <c r="AD47" s="59" t="s">
        <v>704</v>
      </c>
      <c r="AE47" s="62" t="s">
        <v>703</v>
      </c>
      <c r="AF47" s="62" t="s">
        <v>705</v>
      </c>
      <c r="AG47" s="62" t="s">
        <v>696</v>
      </c>
      <c r="AH47" s="62" t="s">
        <v>706</v>
      </c>
      <c r="AI47" s="62" t="s">
        <v>188</v>
      </c>
      <c r="AJ47" s="62" t="s">
        <v>188</v>
      </c>
      <c r="AK47" s="62" t="s">
        <v>707</v>
      </c>
      <c r="AL47" s="62" t="s">
        <v>708</v>
      </c>
      <c r="AM47" s="62" t="s">
        <v>709</v>
      </c>
      <c r="AU47" s="10" t="s">
        <v>1118</v>
      </c>
      <c r="AW47" s="10" t="s">
        <v>712</v>
      </c>
    </row>
    <row r="48" spans="1:50" s="10" customFormat="1" ht="87">
      <c r="A48" s="59">
        <v>45</v>
      </c>
      <c r="B48" s="67">
        <v>46064.797696759299</v>
      </c>
      <c r="C48" s="67">
        <v>46064.828738425902</v>
      </c>
      <c r="D48" s="62" t="s">
        <v>1307</v>
      </c>
      <c r="E48" s="62" t="s">
        <v>1308</v>
      </c>
      <c r="F48" s="62" t="s">
        <v>1309</v>
      </c>
      <c r="G48" s="62" t="s">
        <v>158</v>
      </c>
      <c r="H48" s="59" t="s">
        <v>159</v>
      </c>
      <c r="I48" s="59" t="s">
        <v>1310</v>
      </c>
      <c r="J48" s="84"/>
      <c r="K48" s="83"/>
      <c r="L48" s="59"/>
      <c r="M48" s="59"/>
      <c r="N48" s="59" t="s">
        <v>258</v>
      </c>
      <c r="O48" s="62" t="s">
        <v>572</v>
      </c>
      <c r="P48" s="84" t="s">
        <v>1311</v>
      </c>
      <c r="Q48" s="84"/>
      <c r="R48" s="59" t="s">
        <v>57</v>
      </c>
      <c r="S48" s="59"/>
      <c r="T48" s="59"/>
      <c r="U48" s="83"/>
      <c r="V48" s="68">
        <v>46066</v>
      </c>
      <c r="W48" s="62" t="s">
        <v>1312</v>
      </c>
      <c r="X48" s="84"/>
      <c r="Y48" s="62" t="s">
        <v>1313</v>
      </c>
      <c r="Z48" s="62" t="s">
        <v>1314</v>
      </c>
      <c r="AA48" s="59" t="s">
        <v>1315</v>
      </c>
      <c r="AB48" s="62" t="s">
        <v>1316</v>
      </c>
      <c r="AC48" s="62" t="s">
        <v>1317</v>
      </c>
      <c r="AD48" s="59" t="s">
        <v>1318</v>
      </c>
      <c r="AE48" s="62" t="s">
        <v>1319</v>
      </c>
      <c r="AF48" s="62" t="s">
        <v>1320</v>
      </c>
      <c r="AG48" s="62" t="s">
        <v>1315</v>
      </c>
      <c r="AH48" s="62" t="s">
        <v>977</v>
      </c>
      <c r="AI48" s="62" t="s">
        <v>188</v>
      </c>
      <c r="AJ48" s="62" t="s">
        <v>224</v>
      </c>
      <c r="AK48" s="62" t="s">
        <v>1321</v>
      </c>
      <c r="AL48" s="62" t="s">
        <v>1322</v>
      </c>
      <c r="AM48" s="62" t="s">
        <v>1323</v>
      </c>
      <c r="AU48" s="10" t="s">
        <v>1118</v>
      </c>
      <c r="AW48" s="10" t="s">
        <v>587</v>
      </c>
    </row>
    <row r="49" spans="1:49" s="10" customFormat="1" ht="362.45">
      <c r="A49" s="59">
        <v>46</v>
      </c>
      <c r="B49" s="67">
        <v>46065.350011574097</v>
      </c>
      <c r="C49" s="67">
        <v>46065.393067129597</v>
      </c>
      <c r="D49" s="62" t="s">
        <v>713</v>
      </c>
      <c r="E49" s="62" t="s">
        <v>714</v>
      </c>
      <c r="F49" s="62" t="s">
        <v>715</v>
      </c>
      <c r="G49" s="62" t="s">
        <v>75</v>
      </c>
      <c r="H49" s="59" t="s">
        <v>76</v>
      </c>
      <c r="I49" s="59" t="s">
        <v>717</v>
      </c>
      <c r="J49" s="84"/>
      <c r="K49" s="83"/>
      <c r="L49" s="59" t="s">
        <v>184</v>
      </c>
      <c r="M49" s="59"/>
      <c r="N49" s="59"/>
      <c r="O49" s="62" t="s">
        <v>657</v>
      </c>
      <c r="P49" s="84" t="s">
        <v>1324</v>
      </c>
      <c r="Q49" s="84"/>
      <c r="R49" s="59" t="s">
        <v>57</v>
      </c>
      <c r="S49" s="59"/>
      <c r="T49" s="59"/>
      <c r="U49" s="83"/>
      <c r="V49" s="68">
        <v>46110</v>
      </c>
      <c r="W49" s="62" t="s">
        <v>718</v>
      </c>
      <c r="X49" s="84"/>
      <c r="Y49" s="62" t="s">
        <v>719</v>
      </c>
      <c r="Z49" s="62" t="s">
        <v>720</v>
      </c>
      <c r="AA49" s="59" t="s">
        <v>722</v>
      </c>
      <c r="AB49" s="62" t="s">
        <v>721</v>
      </c>
      <c r="AC49" s="62" t="s">
        <v>723</v>
      </c>
      <c r="AD49" s="59" t="s">
        <v>725</v>
      </c>
      <c r="AE49" s="62" t="s">
        <v>724</v>
      </c>
      <c r="AF49" s="62" t="s">
        <v>726</v>
      </c>
      <c r="AG49" s="62" t="s">
        <v>716</v>
      </c>
      <c r="AH49" s="62" t="s">
        <v>727</v>
      </c>
      <c r="AI49" s="62" t="s">
        <v>224</v>
      </c>
      <c r="AJ49" s="62" t="s">
        <v>188</v>
      </c>
      <c r="AK49" s="62" t="s">
        <v>728</v>
      </c>
      <c r="AL49" s="62" t="s">
        <v>729</v>
      </c>
      <c r="AM49" s="62"/>
      <c r="AU49" s="10" t="s">
        <v>1118</v>
      </c>
      <c r="AW49" s="10" t="s">
        <v>587</v>
      </c>
    </row>
    <row r="50" spans="1:49" s="10" customFormat="1" ht="409.5">
      <c r="A50" s="59">
        <v>51</v>
      </c>
      <c r="B50" s="67">
        <v>46069.480613425898</v>
      </c>
      <c r="C50" s="67">
        <v>46070.595509259299</v>
      </c>
      <c r="D50" s="62" t="s">
        <v>732</v>
      </c>
      <c r="E50" s="62" t="s">
        <v>733</v>
      </c>
      <c r="F50" s="62" t="s">
        <v>734</v>
      </c>
      <c r="G50" s="62" t="s">
        <v>75</v>
      </c>
      <c r="H50" s="59" t="s">
        <v>76</v>
      </c>
      <c r="I50" s="59" t="s">
        <v>736</v>
      </c>
      <c r="J50" s="84"/>
      <c r="K50" s="83"/>
      <c r="L50" s="59" t="s">
        <v>184</v>
      </c>
      <c r="M50" s="59"/>
      <c r="N50" s="59"/>
      <c r="O50" s="62" t="s">
        <v>657</v>
      </c>
      <c r="P50" s="84" t="s">
        <v>1325</v>
      </c>
      <c r="Q50" s="84"/>
      <c r="R50" s="59" t="s">
        <v>57</v>
      </c>
      <c r="S50" s="59"/>
      <c r="T50" s="59"/>
      <c r="U50" s="83"/>
      <c r="V50" s="68">
        <v>46104</v>
      </c>
      <c r="W50" s="62" t="s">
        <v>737</v>
      </c>
      <c r="X50" s="84"/>
      <c r="Y50" s="62" t="s">
        <v>738</v>
      </c>
      <c r="Z50" s="62" t="s">
        <v>739</v>
      </c>
      <c r="AA50" s="59" t="s">
        <v>741</v>
      </c>
      <c r="AB50" s="62" t="s">
        <v>740</v>
      </c>
      <c r="AC50" s="62" t="s">
        <v>742</v>
      </c>
      <c r="AD50" s="59" t="s">
        <v>744</v>
      </c>
      <c r="AE50" s="62" t="s">
        <v>743</v>
      </c>
      <c r="AF50" s="62" t="s">
        <v>745</v>
      </c>
      <c r="AG50" s="62" t="s">
        <v>735</v>
      </c>
      <c r="AH50" s="62" t="s">
        <v>746</v>
      </c>
      <c r="AI50" s="62" t="s">
        <v>188</v>
      </c>
      <c r="AJ50" s="62" t="s">
        <v>224</v>
      </c>
      <c r="AK50" s="62" t="s">
        <v>747</v>
      </c>
      <c r="AL50" s="62" t="s">
        <v>748</v>
      </c>
      <c r="AM50" s="62" t="s">
        <v>749</v>
      </c>
      <c r="AU50" s="10" t="s">
        <v>1118</v>
      </c>
      <c r="AW50" s="10" t="s">
        <v>587</v>
      </c>
    </row>
    <row r="51" spans="1:49" ht="144.94999999999999">
      <c r="A51" s="59">
        <v>49</v>
      </c>
      <c r="B51" s="67">
        <v>46069.613715277803</v>
      </c>
      <c r="C51" s="67">
        <v>46069.666886574101</v>
      </c>
      <c r="D51" s="62" t="s">
        <v>494</v>
      </c>
      <c r="E51" s="62" t="s">
        <v>495</v>
      </c>
      <c r="F51" s="62" t="s">
        <v>1326</v>
      </c>
      <c r="G51" s="62" t="s">
        <v>1327</v>
      </c>
      <c r="H51" s="59" t="s">
        <v>197</v>
      </c>
      <c r="I51" s="59" t="s">
        <v>1328</v>
      </c>
      <c r="J51" s="84"/>
      <c r="K51" s="83"/>
      <c r="L51" s="59" t="s">
        <v>859</v>
      </c>
      <c r="M51" s="59"/>
      <c r="N51" s="59"/>
      <c r="O51" s="62" t="s">
        <v>657</v>
      </c>
      <c r="P51" s="84"/>
      <c r="Q51" s="84"/>
      <c r="R51" s="59" t="s">
        <v>57</v>
      </c>
      <c r="S51" s="59"/>
      <c r="T51" s="59"/>
      <c r="U51" s="83"/>
      <c r="V51" s="68">
        <v>46295</v>
      </c>
      <c r="W51" s="62" t="s">
        <v>1329</v>
      </c>
      <c r="X51" s="84"/>
      <c r="Y51" s="62" t="s">
        <v>500</v>
      </c>
      <c r="Z51" s="62" t="s">
        <v>502</v>
      </c>
      <c r="AA51" s="59" t="s">
        <v>501</v>
      </c>
      <c r="AB51" s="62" t="s">
        <v>1330</v>
      </c>
      <c r="AC51" s="62" t="s">
        <v>1331</v>
      </c>
      <c r="AD51" s="59" t="s">
        <v>1332</v>
      </c>
      <c r="AE51" s="62" t="s">
        <v>1333</v>
      </c>
      <c r="AF51" s="62" t="s">
        <v>1334</v>
      </c>
      <c r="AG51" s="62" t="s">
        <v>497</v>
      </c>
      <c r="AH51" s="62" t="s">
        <v>503</v>
      </c>
      <c r="AI51" s="62" t="s">
        <v>188</v>
      </c>
      <c r="AJ51" s="62" t="s">
        <v>224</v>
      </c>
      <c r="AK51" s="62" t="s">
        <v>1335</v>
      </c>
      <c r="AL51" s="62" t="s">
        <v>504</v>
      </c>
      <c r="AM51" s="62" t="s">
        <v>505</v>
      </c>
      <c r="AP51" s="72"/>
      <c r="AT51" s="65" t="s">
        <v>67</v>
      </c>
      <c r="AU51" s="65" t="s">
        <v>253</v>
      </c>
    </row>
    <row r="52" spans="1:49" ht="409.5">
      <c r="A52" s="59">
        <v>50</v>
      </c>
      <c r="B52" s="67">
        <v>46070.484259259298</v>
      </c>
      <c r="C52" s="67">
        <v>46070.517523148097</v>
      </c>
      <c r="D52" s="62" t="s">
        <v>1336</v>
      </c>
      <c r="E52" s="62" t="s">
        <v>1337</v>
      </c>
      <c r="F52" s="62" t="s">
        <v>1338</v>
      </c>
      <c r="G52" s="62" t="s">
        <v>75</v>
      </c>
      <c r="H52" s="59" t="s">
        <v>241</v>
      </c>
      <c r="I52" s="59" t="s">
        <v>1339</v>
      </c>
      <c r="J52" s="84"/>
      <c r="K52" s="83"/>
      <c r="L52" s="59" t="s">
        <v>184</v>
      </c>
      <c r="M52" s="59"/>
      <c r="N52" s="59"/>
      <c r="O52" s="62" t="s">
        <v>657</v>
      </c>
      <c r="P52" s="84" t="s">
        <v>1340</v>
      </c>
      <c r="Q52" s="84"/>
      <c r="R52" s="59" t="s">
        <v>57</v>
      </c>
      <c r="S52" s="59"/>
      <c r="T52" s="59"/>
      <c r="U52" s="83"/>
      <c r="V52" s="68">
        <v>46146</v>
      </c>
      <c r="W52" s="62" t="s">
        <v>1341</v>
      </c>
      <c r="X52" s="84"/>
      <c r="Y52" s="62" t="s">
        <v>1342</v>
      </c>
      <c r="Z52" s="62" t="s">
        <v>1343</v>
      </c>
      <c r="AA52" s="59" t="s">
        <v>1344</v>
      </c>
      <c r="AB52" s="62" t="s">
        <v>1345</v>
      </c>
      <c r="AC52" s="62" t="s">
        <v>1346</v>
      </c>
      <c r="AD52" s="59" t="s">
        <v>1347</v>
      </c>
      <c r="AE52" s="62" t="s">
        <v>1348</v>
      </c>
      <c r="AF52" s="62" t="s">
        <v>1349</v>
      </c>
      <c r="AG52" s="62" t="s">
        <v>1350</v>
      </c>
      <c r="AH52" s="62" t="s">
        <v>1351</v>
      </c>
      <c r="AI52" s="62" t="s">
        <v>224</v>
      </c>
      <c r="AJ52" s="62" t="s">
        <v>188</v>
      </c>
      <c r="AK52" s="62" t="s">
        <v>1352</v>
      </c>
      <c r="AL52" s="62" t="s">
        <v>1353</v>
      </c>
      <c r="AM52" s="62" t="s">
        <v>1354</v>
      </c>
      <c r="AP52" s="72"/>
      <c r="AT52" s="65" t="s">
        <v>731</v>
      </c>
      <c r="AU52" s="65" t="s">
        <v>253</v>
      </c>
    </row>
    <row r="53" spans="1:49" ht="290.10000000000002">
      <c r="A53" s="59">
        <v>52</v>
      </c>
      <c r="B53" s="67">
        <v>46070.637604166703</v>
      </c>
      <c r="C53" s="67">
        <v>46070.674814814804</v>
      </c>
      <c r="D53" s="62" t="s">
        <v>632</v>
      </c>
      <c r="E53" s="62" t="s">
        <v>633</v>
      </c>
      <c r="F53" s="62" t="s">
        <v>1355</v>
      </c>
      <c r="G53" s="62" t="s">
        <v>342</v>
      </c>
      <c r="H53" s="59" t="s">
        <v>636</v>
      </c>
      <c r="I53" s="59" t="s">
        <v>1356</v>
      </c>
      <c r="J53" s="84"/>
      <c r="K53" s="83"/>
      <c r="L53" s="59"/>
      <c r="M53" s="59" t="s">
        <v>639</v>
      </c>
      <c r="N53" s="59"/>
      <c r="O53" s="62" t="s">
        <v>638</v>
      </c>
      <c r="P53" s="84" t="s">
        <v>1357</v>
      </c>
      <c r="Q53" s="84"/>
      <c r="R53" s="59" t="s">
        <v>57</v>
      </c>
      <c r="S53" s="59"/>
      <c r="T53" s="59"/>
      <c r="U53" s="83"/>
      <c r="V53" s="68">
        <v>46125</v>
      </c>
      <c r="W53" s="62" t="s">
        <v>1358</v>
      </c>
      <c r="X53" s="84"/>
      <c r="Y53" s="62" t="s">
        <v>1359</v>
      </c>
      <c r="Z53" s="62" t="s">
        <v>1360</v>
      </c>
      <c r="AA53" s="59" t="s">
        <v>1361</v>
      </c>
      <c r="AB53" s="62" t="s">
        <v>1362</v>
      </c>
      <c r="AC53" s="62" t="s">
        <v>1363</v>
      </c>
      <c r="AD53" s="59" t="s">
        <v>1364</v>
      </c>
      <c r="AE53" s="62" t="s">
        <v>1365</v>
      </c>
      <c r="AF53" s="62" t="s">
        <v>1366</v>
      </c>
      <c r="AG53" s="62" t="s">
        <v>1367</v>
      </c>
      <c r="AH53" s="62" t="s">
        <v>623</v>
      </c>
      <c r="AI53" s="62" t="s">
        <v>188</v>
      </c>
      <c r="AJ53" s="62" t="s">
        <v>188</v>
      </c>
      <c r="AK53" s="62" t="s">
        <v>1368</v>
      </c>
      <c r="AL53" s="62" t="s">
        <v>1368</v>
      </c>
      <c r="AM53" s="62" t="s">
        <v>1369</v>
      </c>
      <c r="AT53" s="65" t="s">
        <v>694</v>
      </c>
      <c r="AU53" s="65" t="s">
        <v>253</v>
      </c>
      <c r="AV53" s="65" t="s">
        <v>586</v>
      </c>
      <c r="AW53" s="65" t="s">
        <v>587</v>
      </c>
    </row>
    <row r="54" spans="1:49" ht="130.5">
      <c r="A54" s="59">
        <v>53</v>
      </c>
      <c r="B54" s="67">
        <v>46070.696863425903</v>
      </c>
      <c r="C54" s="67">
        <v>46070.718368055597</v>
      </c>
      <c r="D54" s="62" t="s">
        <v>632</v>
      </c>
      <c r="E54" s="62" t="s">
        <v>633</v>
      </c>
      <c r="F54" s="62" t="s">
        <v>750</v>
      </c>
      <c r="G54" s="62" t="s">
        <v>342</v>
      </c>
      <c r="H54" s="59" t="s">
        <v>636</v>
      </c>
      <c r="I54" s="59" t="s">
        <v>752</v>
      </c>
      <c r="J54" s="84"/>
      <c r="K54" s="83"/>
      <c r="L54" s="59"/>
      <c r="M54" s="59" t="s">
        <v>639</v>
      </c>
      <c r="N54" s="59"/>
      <c r="O54" s="62" t="s">
        <v>638</v>
      </c>
      <c r="P54" s="84" t="s">
        <v>1370</v>
      </c>
      <c r="Q54" s="84"/>
      <c r="R54" s="59" t="s">
        <v>57</v>
      </c>
      <c r="S54" s="59"/>
      <c r="T54" s="59"/>
      <c r="U54" s="83"/>
      <c r="V54" s="68">
        <v>46112</v>
      </c>
      <c r="W54" s="70" t="s">
        <v>640</v>
      </c>
      <c r="X54" s="84"/>
      <c r="Y54" s="62" t="s">
        <v>753</v>
      </c>
      <c r="Z54" s="62" t="s">
        <v>754</v>
      </c>
      <c r="AA54" s="59" t="s">
        <v>756</v>
      </c>
      <c r="AB54" s="62" t="s">
        <v>755</v>
      </c>
      <c r="AC54" s="62" t="s">
        <v>757</v>
      </c>
      <c r="AD54" s="59" t="s">
        <v>759</v>
      </c>
      <c r="AE54" s="62" t="s">
        <v>758</v>
      </c>
      <c r="AF54" s="62" t="s">
        <v>760</v>
      </c>
      <c r="AG54" s="62" t="s">
        <v>751</v>
      </c>
      <c r="AH54" s="62" t="s">
        <v>761</v>
      </c>
      <c r="AI54" s="62" t="s">
        <v>188</v>
      </c>
      <c r="AJ54" s="62" t="s">
        <v>188</v>
      </c>
      <c r="AK54" s="62" t="s">
        <v>762</v>
      </c>
      <c r="AL54" s="62" t="s">
        <v>763</v>
      </c>
      <c r="AM54" s="62" t="s">
        <v>764</v>
      </c>
      <c r="AT54" s="65" t="s">
        <v>585</v>
      </c>
      <c r="AU54" s="65" t="s">
        <v>253</v>
      </c>
    </row>
    <row r="55" spans="1:49" ht="217.5">
      <c r="A55" s="59">
        <v>54</v>
      </c>
      <c r="B55" s="67">
        <v>46070.903935185197</v>
      </c>
      <c r="C55" s="67">
        <v>46070.907430555599</v>
      </c>
      <c r="D55" s="62" t="s">
        <v>1371</v>
      </c>
      <c r="E55" s="62" t="s">
        <v>1372</v>
      </c>
      <c r="F55" s="62" t="s">
        <v>1373</v>
      </c>
      <c r="G55" s="62" t="s">
        <v>342</v>
      </c>
      <c r="H55" s="59" t="s">
        <v>197</v>
      </c>
      <c r="I55" s="59" t="s">
        <v>1374</v>
      </c>
      <c r="J55" s="84"/>
      <c r="K55" s="83"/>
      <c r="L55" s="59"/>
      <c r="M55" s="59" t="s">
        <v>639</v>
      </c>
      <c r="N55" s="59"/>
      <c r="O55" s="62" t="s">
        <v>638</v>
      </c>
      <c r="P55" s="84" t="s">
        <v>1375</v>
      </c>
      <c r="Q55" s="84"/>
      <c r="R55" s="59" t="s">
        <v>83</v>
      </c>
      <c r="S55" s="59" t="s">
        <v>244</v>
      </c>
      <c r="T55" s="59" t="s">
        <v>57</v>
      </c>
      <c r="U55" s="83"/>
      <c r="V55" s="68">
        <v>46203</v>
      </c>
      <c r="W55" s="70" t="s">
        <v>1376</v>
      </c>
      <c r="X55" s="84"/>
      <c r="Y55" s="62" t="s">
        <v>1377</v>
      </c>
      <c r="Z55" s="70" t="s">
        <v>1378</v>
      </c>
      <c r="AA55" s="59" t="s">
        <v>1379</v>
      </c>
      <c r="AB55" s="62" t="s">
        <v>1380</v>
      </c>
      <c r="AC55" s="62" t="s">
        <v>1381</v>
      </c>
      <c r="AD55" s="59" t="s">
        <v>1382</v>
      </c>
      <c r="AE55" s="62" t="s">
        <v>1383</v>
      </c>
      <c r="AF55" s="62" t="s">
        <v>1384</v>
      </c>
      <c r="AG55" s="62" t="s">
        <v>1385</v>
      </c>
      <c r="AH55" s="62" t="s">
        <v>1285</v>
      </c>
      <c r="AI55" s="62" t="s">
        <v>188</v>
      </c>
      <c r="AJ55" s="62" t="s">
        <v>188</v>
      </c>
      <c r="AK55" s="62" t="s">
        <v>1386</v>
      </c>
      <c r="AL55" s="62" t="s">
        <v>1387</v>
      </c>
      <c r="AM55" s="62" t="s">
        <v>1388</v>
      </c>
      <c r="AT55" s="65" t="s">
        <v>1389</v>
      </c>
      <c r="AU55" s="65" t="s">
        <v>253</v>
      </c>
    </row>
    <row r="56" spans="1:49" ht="203.1">
      <c r="A56" s="59">
        <v>55</v>
      </c>
      <c r="B56" s="67">
        <v>46071.365555555603</v>
      </c>
      <c r="C56" s="67">
        <v>46071.394305555601</v>
      </c>
      <c r="D56" s="62" t="s">
        <v>765</v>
      </c>
      <c r="E56" s="62" t="s">
        <v>766</v>
      </c>
      <c r="F56" s="62" t="s">
        <v>767</v>
      </c>
      <c r="G56" s="62" t="s">
        <v>75</v>
      </c>
      <c r="H56" s="59" t="s">
        <v>76</v>
      </c>
      <c r="I56" s="59" t="s">
        <v>769</v>
      </c>
      <c r="J56" s="84"/>
      <c r="K56" s="83"/>
      <c r="L56" s="59" t="s">
        <v>184</v>
      </c>
      <c r="M56" s="59"/>
      <c r="N56" s="59"/>
      <c r="O56" s="62" t="s">
        <v>657</v>
      </c>
      <c r="P56" s="84" t="s">
        <v>1390</v>
      </c>
      <c r="Q56" s="84"/>
      <c r="R56" s="59" t="s">
        <v>57</v>
      </c>
      <c r="S56" s="59"/>
      <c r="T56" s="59"/>
      <c r="U56" s="83"/>
      <c r="V56" s="68">
        <v>46102</v>
      </c>
      <c r="W56" s="70" t="s">
        <v>770</v>
      </c>
      <c r="X56" s="84"/>
      <c r="Y56" s="62" t="s">
        <v>771</v>
      </c>
      <c r="Z56" s="70" t="s">
        <v>772</v>
      </c>
      <c r="AA56" s="59" t="s">
        <v>774</v>
      </c>
      <c r="AB56" s="62" t="s">
        <v>773</v>
      </c>
      <c r="AC56" s="62" t="s">
        <v>775</v>
      </c>
      <c r="AD56" s="59" t="s">
        <v>777</v>
      </c>
      <c r="AE56" s="62" t="s">
        <v>776</v>
      </c>
      <c r="AF56" s="62" t="s">
        <v>778</v>
      </c>
      <c r="AG56" s="62" t="s">
        <v>768</v>
      </c>
      <c r="AH56" s="62" t="s">
        <v>779</v>
      </c>
      <c r="AI56" s="62" t="s">
        <v>188</v>
      </c>
      <c r="AJ56" s="62" t="s">
        <v>188</v>
      </c>
      <c r="AK56" s="62" t="s">
        <v>780</v>
      </c>
      <c r="AL56" s="62" t="s">
        <v>781</v>
      </c>
      <c r="AM56" s="62" t="s">
        <v>782</v>
      </c>
      <c r="AT56" s="65" t="s">
        <v>67</v>
      </c>
      <c r="AU56" s="65" t="s">
        <v>253</v>
      </c>
    </row>
    <row r="57" spans="1:49" ht="101.45">
      <c r="A57" s="59">
        <v>57</v>
      </c>
      <c r="B57" s="67">
        <v>46071.778449074103</v>
      </c>
      <c r="C57" s="67">
        <v>46072.386608796303</v>
      </c>
      <c r="D57" s="62" t="s">
        <v>786</v>
      </c>
      <c r="E57" s="62" t="s">
        <v>787</v>
      </c>
      <c r="F57" s="62" t="s">
        <v>788</v>
      </c>
      <c r="G57" s="62" t="s">
        <v>158</v>
      </c>
      <c r="H57" s="59" t="s">
        <v>159</v>
      </c>
      <c r="I57" s="92" t="s">
        <v>790</v>
      </c>
      <c r="J57" s="84"/>
      <c r="K57" s="83"/>
      <c r="L57" s="59"/>
      <c r="M57" s="59"/>
      <c r="N57" s="59" t="s">
        <v>258</v>
      </c>
      <c r="O57" s="62" t="s">
        <v>572</v>
      </c>
      <c r="P57" s="84"/>
      <c r="Q57" s="89"/>
      <c r="R57" s="59" t="s">
        <v>57</v>
      </c>
      <c r="S57" s="59"/>
      <c r="T57" s="59"/>
      <c r="U57" s="83"/>
      <c r="V57" s="68">
        <v>46081</v>
      </c>
      <c r="W57" s="62" t="s">
        <v>791</v>
      </c>
      <c r="X57" s="84"/>
      <c r="Y57" s="62" t="s">
        <v>792</v>
      </c>
      <c r="Z57" s="62" t="s">
        <v>793</v>
      </c>
      <c r="AA57" s="59" t="s">
        <v>795</v>
      </c>
      <c r="AB57" s="62" t="s">
        <v>794</v>
      </c>
      <c r="AC57" s="62" t="s">
        <v>796</v>
      </c>
      <c r="AD57" s="59" t="s">
        <v>798</v>
      </c>
      <c r="AE57" s="62" t="s">
        <v>797</v>
      </c>
      <c r="AF57" s="62" t="s">
        <v>799</v>
      </c>
      <c r="AG57" s="62" t="s">
        <v>789</v>
      </c>
      <c r="AH57" s="62" t="s">
        <v>623</v>
      </c>
      <c r="AI57" s="62" t="s">
        <v>188</v>
      </c>
      <c r="AJ57" s="62" t="s">
        <v>188</v>
      </c>
      <c r="AK57" s="62" t="s">
        <v>800</v>
      </c>
      <c r="AL57" s="62" t="s">
        <v>801</v>
      </c>
      <c r="AM57" s="62" t="s">
        <v>802</v>
      </c>
      <c r="AO57" s="65" t="s">
        <v>1391</v>
      </c>
      <c r="AP57" s="65">
        <v>45000</v>
      </c>
      <c r="AR57" s="65"/>
      <c r="AS57" s="65" t="s">
        <v>631</v>
      </c>
      <c r="AT57" s="65" t="s">
        <v>1392</v>
      </c>
      <c r="AU57" s="65" t="s">
        <v>1118</v>
      </c>
      <c r="AV57" s="65" t="s">
        <v>1393</v>
      </c>
      <c r="AW57" s="65" t="s">
        <v>587</v>
      </c>
    </row>
    <row r="58" spans="1:49" ht="159.6">
      <c r="A58" s="59">
        <v>56</v>
      </c>
      <c r="B58" s="67">
        <v>46071.782685185201</v>
      </c>
      <c r="C58" s="67">
        <v>46071.784108796302</v>
      </c>
      <c r="D58" s="62" t="s">
        <v>765</v>
      </c>
      <c r="E58" s="62" t="s">
        <v>766</v>
      </c>
      <c r="F58" s="62" t="s">
        <v>806</v>
      </c>
      <c r="G58" s="62" t="s">
        <v>75</v>
      </c>
      <c r="H58" s="59" t="s">
        <v>76</v>
      </c>
      <c r="I58" s="92" t="s">
        <v>808</v>
      </c>
      <c r="J58" s="84"/>
      <c r="K58" s="83"/>
      <c r="L58" s="59" t="s">
        <v>184</v>
      </c>
      <c r="M58" s="59" t="s">
        <v>639</v>
      </c>
      <c r="N58" s="59" t="s">
        <v>161</v>
      </c>
      <c r="O58" s="62" t="s">
        <v>657</v>
      </c>
      <c r="P58" s="84"/>
      <c r="Q58" s="89"/>
      <c r="R58" s="59" t="s">
        <v>57</v>
      </c>
      <c r="S58" s="59"/>
      <c r="T58" s="59"/>
      <c r="U58" s="83"/>
      <c r="V58" s="68">
        <v>46101</v>
      </c>
      <c r="W58" s="62" t="s">
        <v>809</v>
      </c>
      <c r="X58" s="84"/>
      <c r="Y58" s="62" t="s">
        <v>810</v>
      </c>
      <c r="Z58" s="62" t="s">
        <v>811</v>
      </c>
      <c r="AA58" s="59" t="s">
        <v>813</v>
      </c>
      <c r="AB58" s="62" t="s">
        <v>812</v>
      </c>
      <c r="AC58" s="62" t="s">
        <v>814</v>
      </c>
      <c r="AD58" s="59" t="s">
        <v>816</v>
      </c>
      <c r="AE58" s="62" t="s">
        <v>815</v>
      </c>
      <c r="AF58" s="62" t="s">
        <v>817</v>
      </c>
      <c r="AG58" s="62" t="s">
        <v>807</v>
      </c>
      <c r="AH58" s="62" t="s">
        <v>818</v>
      </c>
      <c r="AI58" s="62" t="s">
        <v>188</v>
      </c>
      <c r="AJ58" s="62" t="s">
        <v>188</v>
      </c>
      <c r="AK58" s="62" t="s">
        <v>819</v>
      </c>
      <c r="AL58" s="62" t="s">
        <v>820</v>
      </c>
      <c r="AM58" s="62" t="s">
        <v>821</v>
      </c>
      <c r="AR58" s="65"/>
      <c r="AU58" s="65" t="s">
        <v>253</v>
      </c>
      <c r="AW58" s="65" t="s">
        <v>587</v>
      </c>
    </row>
    <row r="59" spans="1:49" ht="72.599999999999994">
      <c r="A59" s="59"/>
      <c r="B59" s="67"/>
      <c r="C59" s="67"/>
      <c r="D59" s="62"/>
      <c r="E59" s="62"/>
      <c r="F59" s="62" t="s">
        <v>1394</v>
      </c>
      <c r="G59" s="62" t="s">
        <v>158</v>
      </c>
      <c r="H59" s="59"/>
      <c r="I59" s="10" t="s">
        <v>1395</v>
      </c>
      <c r="J59" s="84" t="s">
        <v>847</v>
      </c>
      <c r="K59" s="83"/>
      <c r="L59" s="59"/>
      <c r="M59" s="59"/>
      <c r="N59" s="59" t="s">
        <v>161</v>
      </c>
      <c r="O59" s="62" t="s">
        <v>572</v>
      </c>
      <c r="P59" s="86" t="s">
        <v>1396</v>
      </c>
      <c r="Q59" s="89"/>
      <c r="R59" s="59" t="s">
        <v>57</v>
      </c>
      <c r="S59" s="59"/>
      <c r="T59" s="59"/>
      <c r="U59" s="83"/>
      <c r="V59" s="61">
        <v>46064</v>
      </c>
      <c r="W59" s="62"/>
      <c r="X59" s="84"/>
      <c r="Y59" s="59" t="s">
        <v>1397</v>
      </c>
      <c r="Z59" s="62"/>
      <c r="AA59" s="59"/>
      <c r="AB59" s="62"/>
      <c r="AC59" s="62"/>
      <c r="AD59" s="59"/>
      <c r="AE59" s="62"/>
      <c r="AF59" s="62"/>
      <c r="AG59" s="62"/>
      <c r="AH59" s="62"/>
      <c r="AI59" s="62"/>
      <c r="AJ59" s="62"/>
      <c r="AK59" s="62"/>
      <c r="AL59" s="62"/>
      <c r="AM59" s="62"/>
      <c r="AR59" s="65"/>
      <c r="AU59" s="65" t="s">
        <v>253</v>
      </c>
      <c r="AV59" s="65" t="s">
        <v>586</v>
      </c>
      <c r="AW59" s="65" t="s">
        <v>587</v>
      </c>
    </row>
    <row r="60" spans="1:49" ht="43.5">
      <c r="A60" s="59"/>
      <c r="B60" s="67"/>
      <c r="C60" s="67"/>
      <c r="D60" s="62"/>
      <c r="E60" s="62"/>
      <c r="F60" s="62" t="s">
        <v>1398</v>
      </c>
      <c r="G60" s="62" t="s">
        <v>158</v>
      </c>
      <c r="H60" s="59"/>
      <c r="I60" s="10" t="s">
        <v>1395</v>
      </c>
      <c r="J60" s="84" t="s">
        <v>847</v>
      </c>
      <c r="K60" s="83"/>
      <c r="L60" s="59"/>
      <c r="M60" s="59"/>
      <c r="N60" s="59" t="s">
        <v>161</v>
      </c>
      <c r="O60" s="62" t="s">
        <v>572</v>
      </c>
      <c r="P60" s="86" t="s">
        <v>1399</v>
      </c>
      <c r="Q60" s="89"/>
      <c r="R60" s="59" t="s">
        <v>57</v>
      </c>
      <c r="S60" s="59"/>
      <c r="T60" s="59"/>
      <c r="U60" s="83"/>
      <c r="V60" s="61">
        <v>46065</v>
      </c>
      <c r="W60" s="62"/>
      <c r="X60" s="84"/>
      <c r="Y60" s="80" t="s">
        <v>1400</v>
      </c>
      <c r="Z60" s="62"/>
      <c r="AA60" s="59"/>
      <c r="AB60" s="62"/>
      <c r="AC60" s="62"/>
      <c r="AD60" s="59"/>
      <c r="AE60" s="62"/>
      <c r="AF60" s="62"/>
      <c r="AG60" s="62"/>
      <c r="AH60" s="62"/>
      <c r="AI60" s="62"/>
      <c r="AJ60" s="62"/>
      <c r="AK60" s="62"/>
      <c r="AL60" s="62"/>
      <c r="AM60" s="62"/>
      <c r="AR60" s="65"/>
      <c r="AU60" s="65" t="s">
        <v>253</v>
      </c>
    </row>
    <row r="61" spans="1:49" ht="72.599999999999994">
      <c r="A61" s="59"/>
      <c r="B61" s="67"/>
      <c r="C61" s="67"/>
      <c r="D61" s="62"/>
      <c r="E61" s="62"/>
      <c r="F61" s="62" t="s">
        <v>1401</v>
      </c>
      <c r="G61" s="62" t="s">
        <v>158</v>
      </c>
      <c r="H61" s="59"/>
      <c r="I61" s="10" t="s">
        <v>1395</v>
      </c>
      <c r="J61" s="84" t="s">
        <v>847</v>
      </c>
      <c r="K61" s="83"/>
      <c r="L61" s="59"/>
      <c r="M61" s="59"/>
      <c r="N61" s="59" t="s">
        <v>161</v>
      </c>
      <c r="O61" s="62" t="s">
        <v>572</v>
      </c>
      <c r="P61" s="86" t="s">
        <v>1402</v>
      </c>
      <c r="Q61" s="89"/>
      <c r="R61" s="59" t="s">
        <v>57</v>
      </c>
      <c r="S61" s="59"/>
      <c r="T61" s="59"/>
      <c r="U61" s="83"/>
      <c r="V61" s="61">
        <v>46080</v>
      </c>
      <c r="W61" s="62"/>
      <c r="X61" s="84"/>
      <c r="Y61" s="81" t="s">
        <v>1403</v>
      </c>
      <c r="Z61" s="62"/>
      <c r="AA61" s="59"/>
      <c r="AB61" s="62"/>
      <c r="AC61" s="62"/>
      <c r="AD61" s="59"/>
      <c r="AE61" s="62"/>
      <c r="AF61" s="62"/>
      <c r="AG61" s="62"/>
      <c r="AH61" s="62"/>
      <c r="AI61" s="62"/>
      <c r="AJ61" s="62"/>
      <c r="AK61" s="62"/>
      <c r="AL61" s="62"/>
      <c r="AM61" s="62"/>
      <c r="AR61" s="65"/>
      <c r="AU61" s="65" t="s">
        <v>253</v>
      </c>
    </row>
    <row r="62" spans="1:49" ht="14.45">
      <c r="A62" s="59"/>
      <c r="B62" s="67"/>
      <c r="C62" s="67"/>
      <c r="D62" s="62"/>
      <c r="E62" s="62"/>
      <c r="F62" s="62" t="s">
        <v>1404</v>
      </c>
      <c r="G62" s="10" t="s">
        <v>158</v>
      </c>
      <c r="H62" s="59"/>
      <c r="I62" s="93" t="s">
        <v>1111</v>
      </c>
      <c r="J62" s="84" t="s">
        <v>847</v>
      </c>
      <c r="K62" s="83"/>
      <c r="L62" s="59"/>
      <c r="M62" s="59"/>
      <c r="N62" s="59"/>
      <c r="O62" s="62" t="s">
        <v>572</v>
      </c>
      <c r="P62" s="86" t="s">
        <v>1405</v>
      </c>
      <c r="Q62" s="89"/>
      <c r="R62" s="59" t="s">
        <v>83</v>
      </c>
      <c r="S62" s="59" t="s">
        <v>487</v>
      </c>
      <c r="T62" s="59"/>
      <c r="U62" s="83"/>
      <c r="V62" s="60">
        <v>46070</v>
      </c>
      <c r="W62" s="62"/>
      <c r="X62" s="84"/>
      <c r="Y62" s="62"/>
      <c r="Z62" s="10" t="s">
        <v>1406</v>
      </c>
      <c r="AA62" s="59"/>
      <c r="AB62" s="62"/>
      <c r="AC62" s="62"/>
      <c r="AD62" s="59"/>
      <c r="AE62" s="62"/>
      <c r="AF62" s="62"/>
      <c r="AG62" s="62"/>
      <c r="AH62" s="62"/>
      <c r="AI62" s="62"/>
      <c r="AJ62" s="62"/>
      <c r="AK62" s="62"/>
      <c r="AL62" s="62"/>
      <c r="AM62" s="62"/>
      <c r="AR62" s="65"/>
      <c r="AT62" s="65" t="s">
        <v>251</v>
      </c>
      <c r="AU62" s="65" t="s">
        <v>253</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D0BD-2921-4A0C-AE02-5518AA1B285C}">
  <dimension ref="A1:AK6"/>
  <sheetViews>
    <sheetView topLeftCell="A2" zoomScale="60" zoomScaleNormal="60" workbookViewId="0">
      <selection activeCell="F2" sqref="F2"/>
    </sheetView>
  </sheetViews>
  <sheetFormatPr defaultColWidth="8.85546875" defaultRowHeight="14.45"/>
  <cols>
    <col min="1" max="7" width="20" bestFit="1" customWidth="1"/>
    <col min="8" max="9" width="19" customWidth="1"/>
    <col min="10" max="11" width="18.140625" customWidth="1"/>
    <col min="12" max="12" width="26.140625" customWidth="1"/>
    <col min="13" max="13" width="18.140625" customWidth="1"/>
    <col min="14" max="14" width="50" customWidth="1"/>
    <col min="15" max="17" width="20" bestFit="1" customWidth="1"/>
    <col min="18" max="19" width="19" customWidth="1"/>
    <col min="20" max="20" width="46.85546875" customWidth="1"/>
    <col min="21" max="21" width="39.42578125" customWidth="1"/>
    <col min="22" max="26" width="20" bestFit="1" customWidth="1"/>
    <col min="27" max="27" width="26.85546875" customWidth="1"/>
    <col min="28" max="28" width="30.85546875" customWidth="1"/>
    <col min="29" max="29" width="39.42578125" customWidth="1"/>
    <col min="30" max="30" width="21.42578125" customWidth="1"/>
    <col min="31" max="31" width="30.42578125" customWidth="1"/>
    <col min="32" max="32" width="32.140625" customWidth="1"/>
    <col min="33" max="33" width="68.42578125" customWidth="1"/>
    <col min="34" max="34" width="41.42578125" customWidth="1"/>
    <col min="35" max="35" width="56.140625" customWidth="1"/>
    <col min="36" max="36" width="9.140625" bestFit="1" customWidth="1"/>
    <col min="37" max="37" width="43" customWidth="1"/>
  </cols>
  <sheetData>
    <row r="1" spans="1:37" s="7" customFormat="1" ht="57.95">
      <c r="A1" s="7" t="s">
        <v>5</v>
      </c>
      <c r="B1" s="7" t="s">
        <v>6</v>
      </c>
      <c r="C1" s="7" t="s">
        <v>7</v>
      </c>
      <c r="D1" s="7" t="s">
        <v>8</v>
      </c>
      <c r="E1" s="7" t="s">
        <v>9</v>
      </c>
      <c r="F1" s="7" t="s">
        <v>10</v>
      </c>
      <c r="G1" s="7" t="s">
        <v>12</v>
      </c>
      <c r="H1" s="7" t="s">
        <v>13</v>
      </c>
      <c r="I1" s="7" t="s">
        <v>543</v>
      </c>
      <c r="J1" s="7" t="s">
        <v>1407</v>
      </c>
      <c r="K1" s="7" t="s">
        <v>1408</v>
      </c>
      <c r="L1" s="7" t="s">
        <v>545</v>
      </c>
      <c r="M1" s="7" t="s">
        <v>546</v>
      </c>
      <c r="N1" s="7" t="s">
        <v>547</v>
      </c>
      <c r="O1" s="7" t="s">
        <v>544</v>
      </c>
      <c r="P1" s="7" t="s">
        <v>1409</v>
      </c>
      <c r="Q1" s="7" t="s">
        <v>1410</v>
      </c>
      <c r="R1" s="7" t="s">
        <v>18</v>
      </c>
      <c r="S1" s="7" t="s">
        <v>1411</v>
      </c>
      <c r="T1" s="11" t="s">
        <v>548</v>
      </c>
      <c r="U1" s="7" t="s">
        <v>549</v>
      </c>
      <c r="V1" s="7" t="s">
        <v>1412</v>
      </c>
      <c r="W1" s="7" t="s">
        <v>22</v>
      </c>
      <c r="X1" s="7" t="s">
        <v>552</v>
      </c>
      <c r="Y1" s="7" t="s">
        <v>23</v>
      </c>
      <c r="Z1" s="7" t="s">
        <v>553</v>
      </c>
      <c r="AA1" s="7" t="s">
        <v>554</v>
      </c>
      <c r="AB1" s="7" t="s">
        <v>556</v>
      </c>
      <c r="AC1" s="7" t="s">
        <v>555</v>
      </c>
      <c r="AD1" s="7" t="s">
        <v>557</v>
      </c>
      <c r="AE1" s="7" t="s">
        <v>11</v>
      </c>
      <c r="AF1" s="7" t="s">
        <v>26</v>
      </c>
      <c r="AG1" s="7" t="s">
        <v>27</v>
      </c>
      <c r="AH1" s="7" t="s">
        <v>558</v>
      </c>
      <c r="AI1" s="7" t="s">
        <v>559</v>
      </c>
      <c r="AJ1" s="7" t="s">
        <v>29</v>
      </c>
      <c r="AK1" s="7" t="s">
        <v>560</v>
      </c>
    </row>
    <row r="2" spans="1:37" s="51" customFormat="1" ht="409.5">
      <c r="A2" s="46">
        <v>6</v>
      </c>
      <c r="B2" s="46">
        <v>45992.778298611098</v>
      </c>
      <c r="C2" s="46">
        <v>45992.802268518499</v>
      </c>
      <c r="D2" s="47" t="s">
        <v>588</v>
      </c>
      <c r="E2" s="47" t="s">
        <v>589</v>
      </c>
      <c r="F2" s="47" t="s">
        <v>1413</v>
      </c>
      <c r="G2" s="47" t="s">
        <v>158</v>
      </c>
      <c r="H2" s="46" t="s">
        <v>1414</v>
      </c>
      <c r="I2" s="46" t="s">
        <v>454</v>
      </c>
      <c r="J2" s="47"/>
      <c r="K2" s="46"/>
      <c r="L2" s="46"/>
      <c r="M2" s="46"/>
      <c r="N2" s="46" t="s">
        <v>199</v>
      </c>
      <c r="O2" s="47" t="s">
        <v>572</v>
      </c>
      <c r="P2" s="48" t="s">
        <v>1415</v>
      </c>
      <c r="Q2" s="47"/>
      <c r="R2" s="46"/>
      <c r="S2" s="46"/>
      <c r="T2" s="49">
        <v>46081</v>
      </c>
      <c r="U2" s="48" t="s">
        <v>1416</v>
      </c>
      <c r="V2" s="47" t="s">
        <v>188</v>
      </c>
      <c r="W2" s="48" t="s">
        <v>1417</v>
      </c>
      <c r="X2" s="48" t="s">
        <v>347</v>
      </c>
      <c r="Y2" s="50" t="s">
        <v>1418</v>
      </c>
      <c r="Z2" s="48" t="s">
        <v>1419</v>
      </c>
      <c r="AA2" s="48" t="s">
        <v>1420</v>
      </c>
      <c r="AB2" s="50" t="s">
        <v>1421</v>
      </c>
      <c r="AC2" s="48" t="s">
        <v>1422</v>
      </c>
      <c r="AD2" s="48" t="s">
        <v>1423</v>
      </c>
      <c r="AE2" s="48" t="s">
        <v>1424</v>
      </c>
      <c r="AF2" s="47" t="s">
        <v>581</v>
      </c>
      <c r="AG2" s="47" t="s">
        <v>188</v>
      </c>
      <c r="AH2" s="47" t="s">
        <v>224</v>
      </c>
      <c r="AI2" s="48" t="s">
        <v>1425</v>
      </c>
      <c r="AJ2" s="48" t="s">
        <v>1426</v>
      </c>
      <c r="AK2" s="47" t="s">
        <v>1427</v>
      </c>
    </row>
    <row r="3" spans="1:37" s="51" customFormat="1" ht="409.5">
      <c r="A3" s="46">
        <v>7</v>
      </c>
      <c r="B3" s="46">
        <v>45992.629131944399</v>
      </c>
      <c r="C3" s="46">
        <v>45992.831435185202</v>
      </c>
      <c r="D3" s="47" t="s">
        <v>824</v>
      </c>
      <c r="E3" s="47" t="s">
        <v>125</v>
      </c>
      <c r="F3" s="47" t="s">
        <v>1428</v>
      </c>
      <c r="G3" s="47" t="s">
        <v>158</v>
      </c>
      <c r="H3" s="46" t="s">
        <v>1429</v>
      </c>
      <c r="I3" s="46" t="s">
        <v>1430</v>
      </c>
      <c r="J3" s="47"/>
      <c r="K3" s="46"/>
      <c r="L3" s="46"/>
      <c r="M3" s="46"/>
      <c r="N3" s="46" t="s">
        <v>161</v>
      </c>
      <c r="O3" s="47" t="s">
        <v>572</v>
      </c>
      <c r="P3" s="48" t="s">
        <v>1431</v>
      </c>
      <c r="Q3" s="47"/>
      <c r="R3" s="46"/>
      <c r="S3" s="46"/>
      <c r="T3" s="49">
        <v>46000</v>
      </c>
      <c r="U3" s="48" t="s">
        <v>1432</v>
      </c>
      <c r="V3" s="47" t="s">
        <v>188</v>
      </c>
      <c r="W3" s="48" t="s">
        <v>1433</v>
      </c>
      <c r="X3" s="48" t="s">
        <v>1434</v>
      </c>
      <c r="Y3" s="50" t="s">
        <v>1435</v>
      </c>
      <c r="Z3" s="48" t="s">
        <v>1436</v>
      </c>
      <c r="AA3" s="48" t="s">
        <v>1437</v>
      </c>
      <c r="AB3" s="50" t="s">
        <v>1438</v>
      </c>
      <c r="AC3" s="48" t="s">
        <v>1439</v>
      </c>
      <c r="AD3" s="48" t="s">
        <v>1440</v>
      </c>
      <c r="AE3" s="48" t="s">
        <v>1441</v>
      </c>
      <c r="AF3" s="47" t="s">
        <v>761</v>
      </c>
      <c r="AG3" s="47" t="s">
        <v>188</v>
      </c>
      <c r="AH3" s="47" t="s">
        <v>188</v>
      </c>
      <c r="AI3" s="48" t="s">
        <v>1442</v>
      </c>
      <c r="AJ3" s="48" t="s">
        <v>1443</v>
      </c>
      <c r="AK3" s="47" t="s">
        <v>1444</v>
      </c>
    </row>
    <row r="4" spans="1:37" s="51" customFormat="1" ht="409.5">
      <c r="A4" s="46">
        <v>8</v>
      </c>
      <c r="B4" s="46">
        <v>45992.597858796304</v>
      </c>
      <c r="C4" s="46">
        <v>45992.9631828704</v>
      </c>
      <c r="D4" s="47" t="s">
        <v>1445</v>
      </c>
      <c r="E4" s="47" t="s">
        <v>180</v>
      </c>
      <c r="F4" s="47" t="s">
        <v>1446</v>
      </c>
      <c r="G4" s="47" t="s">
        <v>75</v>
      </c>
      <c r="H4" s="46" t="s">
        <v>1429</v>
      </c>
      <c r="I4" s="46" t="s">
        <v>1447</v>
      </c>
      <c r="J4" s="47"/>
      <c r="K4" s="46"/>
      <c r="L4" s="46" t="s">
        <v>184</v>
      </c>
      <c r="M4" s="46"/>
      <c r="N4" s="46"/>
      <c r="O4" s="47" t="s">
        <v>657</v>
      </c>
      <c r="P4" s="48" t="s">
        <v>1448</v>
      </c>
      <c r="Q4" s="47"/>
      <c r="R4" s="46"/>
      <c r="S4" s="46"/>
      <c r="T4" s="49">
        <v>46094</v>
      </c>
      <c r="U4" s="48" t="s">
        <v>1449</v>
      </c>
      <c r="V4" s="47" t="s">
        <v>224</v>
      </c>
      <c r="W4" s="48" t="s">
        <v>1450</v>
      </c>
      <c r="X4" s="48" t="s">
        <v>1451</v>
      </c>
      <c r="Y4" s="50" t="s">
        <v>1452</v>
      </c>
      <c r="Z4" s="48" t="s">
        <v>1453</v>
      </c>
      <c r="AA4" s="48" t="s">
        <v>1454</v>
      </c>
      <c r="AB4" s="50" t="s">
        <v>1455</v>
      </c>
      <c r="AC4" s="48" t="s">
        <v>1456</v>
      </c>
      <c r="AD4" s="48" t="s">
        <v>1457</v>
      </c>
      <c r="AE4" s="48" t="s">
        <v>1458</v>
      </c>
      <c r="AF4" s="47" t="s">
        <v>1459</v>
      </c>
      <c r="AG4" s="47" t="s">
        <v>224</v>
      </c>
      <c r="AH4" s="47" t="s">
        <v>188</v>
      </c>
      <c r="AI4" s="48" t="s">
        <v>1460</v>
      </c>
      <c r="AJ4" s="48" t="s">
        <v>1461</v>
      </c>
      <c r="AK4" s="47" t="s">
        <v>1462</v>
      </c>
    </row>
    <row r="5" spans="1:37" s="51" customFormat="1" ht="333.6">
      <c r="A5" s="46">
        <v>9</v>
      </c>
      <c r="B5" s="46">
        <v>45993.171666666698</v>
      </c>
      <c r="C5" s="46">
        <v>45993.229699074102</v>
      </c>
      <c r="D5" s="47" t="s">
        <v>588</v>
      </c>
      <c r="E5" s="47" t="s">
        <v>589</v>
      </c>
      <c r="F5" s="47" t="s">
        <v>1463</v>
      </c>
      <c r="G5" s="47" t="s">
        <v>158</v>
      </c>
      <c r="H5" s="46" t="s">
        <v>1429</v>
      </c>
      <c r="I5" s="46" t="s">
        <v>1464</v>
      </c>
      <c r="J5" s="47"/>
      <c r="K5" s="46"/>
      <c r="L5" s="46"/>
      <c r="M5" s="46"/>
      <c r="N5" s="46" t="s">
        <v>199</v>
      </c>
      <c r="O5" s="47" t="s">
        <v>572</v>
      </c>
      <c r="P5" s="48" t="s">
        <v>1465</v>
      </c>
      <c r="Q5" s="47"/>
      <c r="R5" s="46"/>
      <c r="S5" s="46"/>
      <c r="T5" s="49">
        <v>46052</v>
      </c>
      <c r="U5" s="48" t="s">
        <v>1466</v>
      </c>
      <c r="V5" s="47" t="s">
        <v>188</v>
      </c>
      <c r="W5" s="48" t="s">
        <v>1467</v>
      </c>
      <c r="X5" s="48" t="s">
        <v>1468</v>
      </c>
      <c r="Y5" s="50" t="s">
        <v>1469</v>
      </c>
      <c r="Z5" s="48" t="s">
        <v>1470</v>
      </c>
      <c r="AA5" s="48" t="s">
        <v>1471</v>
      </c>
      <c r="AB5" s="50" t="s">
        <v>1472</v>
      </c>
      <c r="AC5" s="48" t="s">
        <v>1473</v>
      </c>
      <c r="AD5" s="48" t="s">
        <v>1474</v>
      </c>
      <c r="AE5" s="48" t="s">
        <v>1475</v>
      </c>
      <c r="AF5" s="47" t="s">
        <v>1476</v>
      </c>
      <c r="AG5" s="47" t="s">
        <v>188</v>
      </c>
      <c r="AH5" s="47" t="s">
        <v>188</v>
      </c>
      <c r="AI5" s="48" t="s">
        <v>1477</v>
      </c>
      <c r="AJ5" s="48" t="s">
        <v>1478</v>
      </c>
      <c r="AK5" s="47" t="s">
        <v>1479</v>
      </c>
    </row>
    <row r="6" spans="1:37" s="51" customFormat="1" ht="275.45">
      <c r="A6" s="46">
        <v>10</v>
      </c>
      <c r="B6" s="46">
        <v>45993.379872685196</v>
      </c>
      <c r="C6" s="46">
        <v>45993.407812500001</v>
      </c>
      <c r="D6" s="47" t="s">
        <v>1445</v>
      </c>
      <c r="E6" s="47" t="s">
        <v>180</v>
      </c>
      <c r="F6" s="47" t="s">
        <v>1480</v>
      </c>
      <c r="G6" s="47" t="s">
        <v>75</v>
      </c>
      <c r="H6" s="46" t="s">
        <v>1429</v>
      </c>
      <c r="I6" s="46" t="s">
        <v>1481</v>
      </c>
      <c r="J6" s="47"/>
      <c r="K6" s="46"/>
      <c r="L6" s="46" t="s">
        <v>184</v>
      </c>
      <c r="M6" s="46"/>
      <c r="N6" s="46"/>
      <c r="O6" s="47" t="s">
        <v>657</v>
      </c>
      <c r="P6" s="48" t="s">
        <v>1448</v>
      </c>
      <c r="Q6" s="47"/>
      <c r="R6" s="46"/>
      <c r="S6" s="46"/>
      <c r="T6" s="49">
        <v>46009</v>
      </c>
      <c r="U6" s="48" t="s">
        <v>1482</v>
      </c>
      <c r="V6" s="47" t="s">
        <v>188</v>
      </c>
      <c r="W6" s="48" t="s">
        <v>1483</v>
      </c>
      <c r="X6" s="48" t="s">
        <v>1484</v>
      </c>
      <c r="Y6" s="50" t="s">
        <v>1485</v>
      </c>
      <c r="Z6" s="48" t="s">
        <v>1486</v>
      </c>
      <c r="AA6" s="48" t="s">
        <v>1487</v>
      </c>
      <c r="AB6" s="50" t="s">
        <v>1488</v>
      </c>
      <c r="AC6" s="48" t="s">
        <v>1489</v>
      </c>
      <c r="AD6" s="48" t="s">
        <v>1490</v>
      </c>
      <c r="AE6" s="48" t="s">
        <v>1491</v>
      </c>
      <c r="AF6" s="47" t="s">
        <v>623</v>
      </c>
      <c r="AG6" s="47" t="s">
        <v>224</v>
      </c>
      <c r="AH6" s="47" t="s">
        <v>224</v>
      </c>
      <c r="AI6" s="48" t="s">
        <v>1492</v>
      </c>
      <c r="AJ6" s="48" t="s">
        <v>1493</v>
      </c>
      <c r="AK6" s="52" t="s">
        <v>1494</v>
      </c>
    </row>
  </sheetData>
  <hyperlinks>
    <hyperlink ref="AK6" r:id="rId1" display="https://educorpperu-my.sharepoint.com/personal/diana_zapata_laureate_pe1/_layouts/15/Doc.aspx?sourcedoc=%7B1182D8E1-CAEE-4FFB-A8A2-B813699EFD86%7D&amp;file=DP-02-Formato_Petici%C3%B3n_de_cambio_Tr%C3%A1mite%20Tras_Angela%20Lucano%20Carran.docx&amp;action=default&amp;mobileredirect=true" xr:uid="{ACC74E17-9051-423C-9731-4B7827003DA0}"/>
  </hyperlinks>
  <pageMargins left="0.7" right="0.7" top="0.75" bottom="0.75" header="0.3" footer="0.3"/>
  <pageSetup paperSize="9" orientation="portrait" r:id="rId2"/>
  <headerFooter>
    <oddFooter>&amp;C_x000D_&amp;1#&amp;"Aptos"&amp;7&amp;K000000 Uso Público de Laureate Perú — Se compartir externamente, información no sensible.</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21" customWidth="1"/>
    <col min="3" max="3" width="27.140625" customWidth="1"/>
    <col min="4" max="4" width="36.140625" customWidth="1"/>
    <col min="5" max="5" width="27.42578125" customWidth="1"/>
  </cols>
  <sheetData>
    <row r="2" spans="2:5">
      <c r="B2" s="20" t="s">
        <v>1495</v>
      </c>
      <c r="C2" s="397" t="s">
        <v>1496</v>
      </c>
      <c r="D2" s="397"/>
      <c r="E2" s="20" t="s">
        <v>1497</v>
      </c>
    </row>
    <row r="3" spans="2:5" ht="31.5">
      <c r="B3" s="22">
        <v>1</v>
      </c>
      <c r="C3" s="23" t="s">
        <v>1498</v>
      </c>
      <c r="D3" s="24" t="s">
        <v>1499</v>
      </c>
      <c r="E3" s="25" t="s">
        <v>1500</v>
      </c>
    </row>
    <row r="4" spans="2:5" ht="21">
      <c r="B4" s="408">
        <v>2</v>
      </c>
      <c r="C4" s="399" t="s">
        <v>11</v>
      </c>
      <c r="D4" s="28" t="s">
        <v>1501</v>
      </c>
      <c r="E4" s="405" t="s">
        <v>1502</v>
      </c>
    </row>
    <row r="5" spans="2:5">
      <c r="B5" s="408"/>
      <c r="C5" s="399"/>
      <c r="D5" s="28" t="s">
        <v>1503</v>
      </c>
      <c r="E5" s="405"/>
    </row>
    <row r="6" spans="2:5">
      <c r="B6" s="408"/>
      <c r="C6" s="399"/>
      <c r="D6" s="28" t="s">
        <v>1504</v>
      </c>
      <c r="E6" s="405"/>
    </row>
    <row r="7" spans="2:5">
      <c r="B7" s="408"/>
      <c r="C7" s="399"/>
      <c r="D7" s="28" t="s">
        <v>1505</v>
      </c>
      <c r="E7" s="405"/>
    </row>
    <row r="8" spans="2:5">
      <c r="B8" s="408"/>
      <c r="C8" s="399"/>
      <c r="D8" s="28" t="s">
        <v>1506</v>
      </c>
      <c r="E8" s="405"/>
    </row>
    <row r="9" spans="2:5">
      <c r="B9" s="26">
        <v>3</v>
      </c>
      <c r="C9" s="27" t="s">
        <v>12</v>
      </c>
      <c r="D9" s="28" t="s">
        <v>1507</v>
      </c>
      <c r="E9" s="37" t="s">
        <v>1508</v>
      </c>
    </row>
    <row r="10" spans="2:5">
      <c r="B10" s="26">
        <v>4</v>
      </c>
      <c r="C10" s="27" t="s">
        <v>13</v>
      </c>
      <c r="D10" s="28" t="s">
        <v>1509</v>
      </c>
      <c r="E10" s="29" t="s">
        <v>1510</v>
      </c>
    </row>
    <row r="11" spans="2:5">
      <c r="B11" s="26">
        <v>5</v>
      </c>
      <c r="C11" s="27" t="s">
        <v>1511</v>
      </c>
      <c r="D11" s="28" t="s">
        <v>1512</v>
      </c>
      <c r="E11" s="29" t="s">
        <v>1513</v>
      </c>
    </row>
    <row r="12" spans="2:5" ht="21">
      <c r="B12" s="26">
        <v>6</v>
      </c>
      <c r="C12" s="27" t="s">
        <v>1514</v>
      </c>
      <c r="D12" s="28" t="s">
        <v>1515</v>
      </c>
      <c r="E12" s="29"/>
    </row>
    <row r="13" spans="2:5">
      <c r="B13" s="26">
        <v>7</v>
      </c>
      <c r="C13" s="27" t="s">
        <v>1516</v>
      </c>
      <c r="D13" s="28" t="s">
        <v>1517</v>
      </c>
      <c r="E13" s="29"/>
    </row>
    <row r="14" spans="2:5">
      <c r="B14" s="26">
        <v>8</v>
      </c>
      <c r="C14" s="27" t="s">
        <v>548</v>
      </c>
      <c r="D14" s="28" t="s">
        <v>1518</v>
      </c>
      <c r="E14" s="29" t="s">
        <v>1519</v>
      </c>
    </row>
    <row r="15" spans="2:5">
      <c r="B15" s="26">
        <v>9</v>
      </c>
      <c r="C15" s="27" t="s">
        <v>1520</v>
      </c>
      <c r="D15" s="28" t="s">
        <v>1521</v>
      </c>
      <c r="E15" s="29" t="s">
        <v>1522</v>
      </c>
    </row>
    <row r="16" spans="2:5">
      <c r="B16" s="26">
        <v>10</v>
      </c>
      <c r="C16" s="30" t="s">
        <v>18</v>
      </c>
      <c r="D16" s="28" t="s">
        <v>1523</v>
      </c>
      <c r="E16" s="29" t="s">
        <v>57</v>
      </c>
    </row>
    <row r="17" spans="2:5">
      <c r="B17" s="31">
        <v>11</v>
      </c>
      <c r="C17" s="32" t="s">
        <v>1524</v>
      </c>
      <c r="D17" s="33" t="s">
        <v>1525</v>
      </c>
      <c r="E17" s="34"/>
    </row>
    <row r="18" spans="2:5">
      <c r="B18" s="406" t="s">
        <v>1526</v>
      </c>
      <c r="C18" s="406"/>
      <c r="D18" s="406"/>
      <c r="E18" s="20" t="s">
        <v>1497</v>
      </c>
    </row>
    <row r="19" spans="2:5" ht="21">
      <c r="B19" s="407">
        <v>12</v>
      </c>
      <c r="C19" s="398" t="s">
        <v>1527</v>
      </c>
      <c r="D19" s="24" t="s">
        <v>1528</v>
      </c>
      <c r="E19" s="404" t="s">
        <v>1529</v>
      </c>
    </row>
    <row r="20" spans="2:5">
      <c r="B20" s="408"/>
      <c r="C20" s="399"/>
      <c r="D20" s="28" t="s">
        <v>1530</v>
      </c>
      <c r="E20" s="405"/>
    </row>
    <row r="21" spans="2:5">
      <c r="B21" s="26">
        <v>13</v>
      </c>
      <c r="C21" s="27" t="s">
        <v>552</v>
      </c>
      <c r="D21" s="28" t="s">
        <v>1531</v>
      </c>
      <c r="E21" s="29" t="s">
        <v>1532</v>
      </c>
    </row>
    <row r="22" spans="2:5" ht="52.5">
      <c r="B22" s="26">
        <v>14</v>
      </c>
      <c r="C22" s="27" t="s">
        <v>553</v>
      </c>
      <c r="D22" s="28" t="s">
        <v>1533</v>
      </c>
      <c r="E22" s="29" t="s">
        <v>1534</v>
      </c>
    </row>
    <row r="23" spans="2:5" ht="21">
      <c r="B23" s="26">
        <v>15</v>
      </c>
      <c r="C23" s="27" t="s">
        <v>23</v>
      </c>
      <c r="D23" s="28" t="s">
        <v>1535</v>
      </c>
      <c r="E23" s="29"/>
    </row>
    <row r="24" spans="2:5" ht="31.5">
      <c r="B24" s="26">
        <v>16</v>
      </c>
      <c r="C24" s="27" t="s">
        <v>554</v>
      </c>
      <c r="D24" s="28" t="s">
        <v>1536</v>
      </c>
      <c r="E24" s="29" t="s">
        <v>1537</v>
      </c>
    </row>
    <row r="25" spans="2:5" ht="21">
      <c r="B25" s="26">
        <v>17</v>
      </c>
      <c r="C25" s="27" t="s">
        <v>555</v>
      </c>
      <c r="D25" s="28" t="s">
        <v>1538</v>
      </c>
      <c r="E25" s="29" t="s">
        <v>1539</v>
      </c>
    </row>
    <row r="26" spans="2:5">
      <c r="B26" s="26">
        <v>18</v>
      </c>
      <c r="C26" s="27" t="s">
        <v>1540</v>
      </c>
      <c r="D26" s="28" t="s">
        <v>1541</v>
      </c>
      <c r="E26" s="29"/>
    </row>
    <row r="27" spans="2:5" ht="52.5">
      <c r="B27" s="26">
        <v>19</v>
      </c>
      <c r="C27" s="27" t="s">
        <v>557</v>
      </c>
      <c r="D27" s="28" t="s">
        <v>1542</v>
      </c>
      <c r="E27" s="29" t="s">
        <v>1543</v>
      </c>
    </row>
    <row r="28" spans="2:5">
      <c r="B28" s="391" t="s">
        <v>1544</v>
      </c>
      <c r="C28" s="391"/>
      <c r="D28" s="391"/>
      <c r="E28" s="20" t="s">
        <v>1497</v>
      </c>
    </row>
    <row r="29" spans="2:5" ht="21">
      <c r="B29" s="22">
        <v>20</v>
      </c>
      <c r="C29" s="23" t="s">
        <v>26</v>
      </c>
      <c r="D29" s="24" t="s">
        <v>1545</v>
      </c>
      <c r="E29" s="36"/>
    </row>
    <row r="30" spans="2:5" ht="21">
      <c r="B30" s="26">
        <v>21</v>
      </c>
      <c r="C30" s="28" t="s">
        <v>1546</v>
      </c>
      <c r="D30" s="28" t="s">
        <v>1547</v>
      </c>
      <c r="E30" s="37"/>
    </row>
    <row r="31" spans="2:5">
      <c r="B31" s="31">
        <v>22</v>
      </c>
      <c r="C31" s="35" t="s">
        <v>558</v>
      </c>
      <c r="D31" s="33" t="s">
        <v>1548</v>
      </c>
      <c r="E31" s="34"/>
    </row>
    <row r="32" spans="2:5">
      <c r="B32" s="391" t="s">
        <v>1549</v>
      </c>
      <c r="C32" s="391"/>
      <c r="D32" s="391"/>
      <c r="E32" s="20" t="s">
        <v>1497</v>
      </c>
    </row>
    <row r="33" spans="2:5" ht="21">
      <c r="B33" s="392">
        <v>23</v>
      </c>
      <c r="C33" s="398" t="s">
        <v>559</v>
      </c>
      <c r="D33" s="400" t="s">
        <v>1550</v>
      </c>
      <c r="E33" s="25" t="s">
        <v>1551</v>
      </c>
    </row>
    <row r="34" spans="2:5">
      <c r="B34" s="393"/>
      <c r="C34" s="399"/>
      <c r="D34" s="401"/>
      <c r="E34" s="29" t="s">
        <v>1552</v>
      </c>
    </row>
    <row r="35" spans="2:5">
      <c r="B35" s="394"/>
      <c r="C35" s="399"/>
      <c r="D35" s="401"/>
      <c r="E35" s="29" t="s">
        <v>1553</v>
      </c>
    </row>
    <row r="36" spans="2:5">
      <c r="B36" s="395">
        <v>24</v>
      </c>
      <c r="C36" s="399" t="s">
        <v>29</v>
      </c>
      <c r="D36" s="401" t="s">
        <v>1554</v>
      </c>
      <c r="E36" s="29" t="s">
        <v>1555</v>
      </c>
    </row>
    <row r="37" spans="2:5">
      <c r="B37" s="393"/>
      <c r="C37" s="399"/>
      <c r="D37" s="401"/>
      <c r="E37" s="29" t="s">
        <v>1556</v>
      </c>
    </row>
    <row r="38" spans="2:5">
      <c r="B38" s="396"/>
      <c r="C38" s="402"/>
      <c r="D38" s="403"/>
      <c r="E38" s="38" t="s">
        <v>1557</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10" customWidth="1"/>
    <col min="9" max="9" width="8" customWidth="1"/>
  </cols>
  <sheetData>
    <row r="1" spans="2:12" ht="14.45">
      <c r="D1"/>
    </row>
    <row r="2" spans="2:12" ht="14.45">
      <c r="B2" s="419" t="s">
        <v>1558</v>
      </c>
      <c r="C2" s="419"/>
      <c r="D2" s="419"/>
      <c r="E2" s="419"/>
      <c r="F2" s="53"/>
      <c r="G2" s="1"/>
      <c r="H2" s="9"/>
    </row>
    <row r="3" spans="2:12" ht="14.45">
      <c r="B3" s="45" t="s">
        <v>1559</v>
      </c>
      <c r="C3" s="13"/>
      <c r="D3" s="13"/>
      <c r="E3" s="13"/>
      <c r="F3" s="13"/>
      <c r="G3" s="1"/>
      <c r="H3" s="409" t="s">
        <v>1560</v>
      </c>
      <c r="I3" s="409"/>
      <c r="J3" s="409"/>
      <c r="K3" s="409"/>
      <c r="L3" s="409"/>
    </row>
    <row r="4" spans="2:12" ht="14.45">
      <c r="B4" s="5" t="s">
        <v>1561</v>
      </c>
      <c r="C4" s="5" t="s">
        <v>1562</v>
      </c>
      <c r="D4" s="3" t="s">
        <v>1563</v>
      </c>
      <c r="E4" s="2" t="s">
        <v>1564</v>
      </c>
      <c r="F4" s="3" t="s">
        <v>1565</v>
      </c>
      <c r="G4" s="2" t="s">
        <v>1566</v>
      </c>
      <c r="H4" s="12">
        <v>15</v>
      </c>
      <c r="I4" s="12">
        <v>16</v>
      </c>
      <c r="J4" s="12">
        <v>22</v>
      </c>
      <c r="K4" s="12">
        <v>23</v>
      </c>
      <c r="L4" s="12">
        <v>24</v>
      </c>
    </row>
    <row r="5" spans="2:12" ht="14.45">
      <c r="B5" s="43" t="s">
        <v>1567</v>
      </c>
      <c r="C5" s="44" t="s">
        <v>1568</v>
      </c>
      <c r="D5" s="15">
        <v>0.3</v>
      </c>
      <c r="E5" s="14" t="s">
        <v>1569</v>
      </c>
      <c r="F5" s="55">
        <v>5</v>
      </c>
      <c r="G5" s="57" t="s">
        <v>847</v>
      </c>
      <c r="H5" s="56" t="s">
        <v>57</v>
      </c>
      <c r="I5" s="16" t="s">
        <v>57</v>
      </c>
      <c r="J5" s="16" t="s">
        <v>83</v>
      </c>
      <c r="K5" s="16" t="s">
        <v>57</v>
      </c>
      <c r="L5" s="16" t="s">
        <v>57</v>
      </c>
    </row>
    <row r="6" spans="2:12" ht="14.45">
      <c r="B6" s="416" t="s">
        <v>1570</v>
      </c>
      <c r="C6" s="413" t="s">
        <v>1571</v>
      </c>
      <c r="D6" s="411">
        <v>0.2</v>
      </c>
      <c r="E6" s="54" t="s">
        <v>1572</v>
      </c>
      <c r="F6" s="55">
        <v>5</v>
      </c>
      <c r="G6" s="57"/>
      <c r="H6" s="412" t="s">
        <v>203</v>
      </c>
      <c r="I6" s="410" t="s">
        <v>1573</v>
      </c>
      <c r="J6" s="410" t="s">
        <v>1574</v>
      </c>
      <c r="K6" s="410" t="s">
        <v>203</v>
      </c>
      <c r="L6" s="410" t="s">
        <v>1574</v>
      </c>
    </row>
    <row r="7" spans="2:12" ht="21">
      <c r="B7" s="417"/>
      <c r="C7" s="414"/>
      <c r="D7" s="411"/>
      <c r="E7" s="54" t="s">
        <v>1575</v>
      </c>
      <c r="F7" s="55">
        <v>2.5</v>
      </c>
      <c r="G7" s="57" t="s">
        <v>1576</v>
      </c>
      <c r="H7" s="412"/>
      <c r="I7" s="410"/>
      <c r="J7" s="410"/>
      <c r="K7" s="410"/>
      <c r="L7" s="410"/>
    </row>
    <row r="8" spans="2:12" ht="14.45">
      <c r="B8" s="418"/>
      <c r="C8" s="415"/>
      <c r="D8" s="411"/>
      <c r="E8" s="54" t="s">
        <v>1577</v>
      </c>
      <c r="F8" s="55">
        <v>0</v>
      </c>
      <c r="G8" s="57"/>
      <c r="H8" s="412"/>
      <c r="I8" s="410"/>
      <c r="J8" s="410"/>
      <c r="K8" s="410"/>
      <c r="L8" s="410"/>
    </row>
    <row r="9" spans="2:12" ht="21" customHeight="1">
      <c r="B9" s="416" t="s">
        <v>1578</v>
      </c>
      <c r="C9" s="413" t="s">
        <v>1579</v>
      </c>
      <c r="D9" s="411">
        <v>0.15</v>
      </c>
      <c r="E9" s="54" t="s">
        <v>1580</v>
      </c>
      <c r="F9" s="55">
        <v>5</v>
      </c>
      <c r="G9" s="57"/>
      <c r="H9" s="412" t="s">
        <v>1574</v>
      </c>
      <c r="I9" s="410" t="s">
        <v>1574</v>
      </c>
      <c r="J9" s="410" t="s">
        <v>203</v>
      </c>
      <c r="K9" s="410" t="s">
        <v>1574</v>
      </c>
      <c r="L9" s="410" t="s">
        <v>1574</v>
      </c>
    </row>
    <row r="10" spans="2:12" ht="14.45">
      <c r="B10" s="417"/>
      <c r="C10" s="414"/>
      <c r="D10" s="411"/>
      <c r="E10" s="54" t="s">
        <v>1581</v>
      </c>
      <c r="F10" s="55">
        <v>2.5</v>
      </c>
      <c r="G10" s="57" t="s">
        <v>1582</v>
      </c>
      <c r="H10" s="412"/>
      <c r="I10" s="410"/>
      <c r="J10" s="410"/>
      <c r="K10" s="410"/>
      <c r="L10" s="410"/>
    </row>
    <row r="11" spans="2:12" ht="14.45">
      <c r="B11" s="418"/>
      <c r="C11" s="415"/>
      <c r="D11" s="411"/>
      <c r="E11" s="54" t="s">
        <v>1583</v>
      </c>
      <c r="F11" s="55">
        <v>0</v>
      </c>
      <c r="G11" s="57"/>
      <c r="H11" s="412"/>
      <c r="I11" s="410"/>
      <c r="J11" s="410"/>
      <c r="K11" s="410"/>
      <c r="L11" s="410"/>
    </row>
    <row r="12" spans="2:12" ht="21" customHeight="1">
      <c r="B12" s="416" t="s">
        <v>1584</v>
      </c>
      <c r="C12" s="413" t="s">
        <v>1585</v>
      </c>
      <c r="D12" s="411">
        <v>0.15</v>
      </c>
      <c r="E12" s="54" t="s">
        <v>1586</v>
      </c>
      <c r="F12" s="55">
        <v>5</v>
      </c>
      <c r="G12" s="57"/>
      <c r="H12" s="412" t="s">
        <v>1573</v>
      </c>
      <c r="I12" s="410" t="s">
        <v>1573</v>
      </c>
      <c r="J12" s="410" t="s">
        <v>1573</v>
      </c>
      <c r="K12" s="410" t="s">
        <v>1573</v>
      </c>
      <c r="L12" s="410" t="s">
        <v>1573</v>
      </c>
    </row>
    <row r="13" spans="2:12" ht="14.45">
      <c r="B13" s="417"/>
      <c r="C13" s="414"/>
      <c r="D13" s="411"/>
      <c r="E13" s="54" t="s">
        <v>1587</v>
      </c>
      <c r="F13" s="55">
        <v>2.5</v>
      </c>
      <c r="G13" s="57" t="s">
        <v>1588</v>
      </c>
      <c r="H13" s="412"/>
      <c r="I13" s="410"/>
      <c r="J13" s="410"/>
      <c r="K13" s="410"/>
      <c r="L13" s="410"/>
    </row>
    <row r="14" spans="2:12" ht="14.45">
      <c r="B14" s="418"/>
      <c r="C14" s="415"/>
      <c r="D14" s="411"/>
      <c r="E14" s="54" t="s">
        <v>1589</v>
      </c>
      <c r="F14" s="55">
        <v>0</v>
      </c>
      <c r="G14" s="57"/>
      <c r="H14" s="412"/>
      <c r="I14" s="410"/>
      <c r="J14" s="410"/>
      <c r="K14" s="410"/>
      <c r="L14" s="410"/>
    </row>
    <row r="15" spans="2:12" ht="14.45">
      <c r="B15" s="416" t="s">
        <v>1590</v>
      </c>
      <c r="C15" s="413" t="s">
        <v>1591</v>
      </c>
      <c r="D15" s="411">
        <v>0.1</v>
      </c>
      <c r="E15" s="54" t="s">
        <v>1592</v>
      </c>
      <c r="F15" s="55">
        <v>5</v>
      </c>
      <c r="G15" s="57"/>
      <c r="H15" s="412" t="s">
        <v>1574</v>
      </c>
      <c r="I15" s="410" t="s">
        <v>1573</v>
      </c>
      <c r="J15" s="410" t="s">
        <v>1573</v>
      </c>
      <c r="K15" s="410" t="s">
        <v>1573</v>
      </c>
      <c r="L15" s="410" t="s">
        <v>1573</v>
      </c>
    </row>
    <row r="16" spans="2:12" ht="14.45">
      <c r="B16" s="417"/>
      <c r="C16" s="414"/>
      <c r="D16" s="411"/>
      <c r="E16" s="54" t="s">
        <v>1593</v>
      </c>
      <c r="F16" s="55">
        <v>2.5</v>
      </c>
      <c r="G16" s="57" t="s">
        <v>1594</v>
      </c>
      <c r="H16" s="412"/>
      <c r="I16" s="410"/>
      <c r="J16" s="410"/>
      <c r="K16" s="410"/>
      <c r="L16" s="410"/>
    </row>
    <row r="17" spans="2:12" ht="14.45">
      <c r="B17" s="418"/>
      <c r="C17" s="415"/>
      <c r="D17" s="411"/>
      <c r="E17" s="54" t="s">
        <v>1595</v>
      </c>
      <c r="F17" s="55">
        <v>0</v>
      </c>
      <c r="G17" s="57"/>
      <c r="H17" s="412"/>
      <c r="I17" s="410"/>
      <c r="J17" s="410"/>
      <c r="K17" s="410"/>
      <c r="L17" s="410"/>
    </row>
    <row r="18" spans="2:12" ht="14.45">
      <c r="B18" s="416" t="s">
        <v>1596</v>
      </c>
      <c r="C18" s="413" t="s">
        <v>1597</v>
      </c>
      <c r="D18" s="411">
        <v>0.1</v>
      </c>
      <c r="E18" s="54" t="s">
        <v>1598</v>
      </c>
      <c r="F18" s="55">
        <v>5</v>
      </c>
      <c r="G18" s="57"/>
      <c r="H18" s="412" t="s">
        <v>1574</v>
      </c>
      <c r="I18" s="410" t="s">
        <v>1574</v>
      </c>
      <c r="J18" s="410" t="s">
        <v>1574</v>
      </c>
      <c r="K18" s="410" t="s">
        <v>1574</v>
      </c>
      <c r="L18" s="410" t="s">
        <v>1574</v>
      </c>
    </row>
    <row r="19" spans="2:12" ht="29.25" customHeight="1">
      <c r="B19" s="417"/>
      <c r="C19" s="414"/>
      <c r="D19" s="411"/>
      <c r="E19" s="54" t="s">
        <v>1599</v>
      </c>
      <c r="F19" s="55">
        <v>2.5</v>
      </c>
      <c r="G19" s="57" t="s">
        <v>1600</v>
      </c>
      <c r="H19" s="412"/>
      <c r="I19" s="410"/>
      <c r="J19" s="410"/>
      <c r="K19" s="410"/>
      <c r="L19" s="410"/>
    </row>
    <row r="20" spans="2:12" ht="14.45">
      <c r="B20" s="418"/>
      <c r="C20" s="415"/>
      <c r="D20" s="411"/>
      <c r="E20" s="54" t="s">
        <v>1601</v>
      </c>
      <c r="F20" s="55">
        <v>0</v>
      </c>
      <c r="G20" s="57"/>
      <c r="H20" s="412"/>
      <c r="I20" s="410"/>
      <c r="J20" s="410"/>
      <c r="K20" s="410"/>
      <c r="L20" s="410"/>
    </row>
    <row r="21" spans="2:12" ht="14.45">
      <c r="D21" s="17">
        <f>SUM(D5:D20)</f>
        <v>1</v>
      </c>
      <c r="F21" s="18">
        <f>SUM(F5:F20)</f>
        <v>42.5</v>
      </c>
      <c r="H21" s="19">
        <f>(IF(H12="Alto",$F$12,IF(H12="Medio",$F$13,IF(H12="Bajo",$F$14,"")))*$D$12)+
IF(H5="Si",$F$5,0)*$D$5+
(IF(H6="Alto",$F$6,IF(H6="Medio",$F7,IF(H6="Bajo",$F$8,"")))*$D$6)+
(IF(H15="Alto",$F$15,IF(H15="Medio",$F$16,IF(H15="Bajo",$F$17,"")))*$D$15)+
(IF(H18="Alto",$F$18,IF(H18="Medio",$F$19,IF(H18="Bajo",$F$20,"")))*$D$18)+
(IF(H9="Alto",$F9,IF(H9="Medio",$F$10,IF(H9="Bajo",$F$11,"")))*$D$9)</f>
        <v>1.375</v>
      </c>
      <c r="I21" s="19">
        <f>(IF(I12="Alto",$F$12,IF(I12="Medio",$F$13,IF(I12="Bajo",$F$14,"")))*$D$12)+
IF(I5="Si",$F$5,0)*$D$5+
(IF(I6="Alto",$F$6,IF(I6="Medio",$F7,IF(I6="Bajo",$F$8,"")))*$D$6)+
(IF(I15="Alto",$F$15,IF(I15="Medio",$F$16,IF(I15="Bajo",$F$17,"")))*$D$15)+
(IF(I18="Alto",$F$18,IF(I18="Medio",$F$19,IF(I18="Bajo",$F$20,"")))*$D$18)+
(IF(I9="Alto",$F9,IF(I9="Medio",$F$10,IF(I9="Bajo",$F$11,"")))*$D$9)</f>
        <v>1.125</v>
      </c>
      <c r="J21" s="19">
        <f>(IF(J12="Alto",$F$12,IF(J12="Medio",$F$13,IF(J12="Bajo",$F$14,"")))*$D$12)+
IF(J5="Si",$F$5,0)*$D$5+
(IF(J6="Alto",$F$6,IF(J6="Medio",$F7,IF(J6="Bajo",$F$8,"")))*$D$6)+
(IF(J15="Alto",$F$15,IF(J15="Medio",$F$16,IF(J15="Bajo",$F$17,"")))*$D$15)+
(IF(J18="Alto",$F$18,IF(J18="Medio",$F$19,IF(J18="Bajo",$F$20,"")))*$D$18)+
(IF(J9="Alto",$F9,IF(J9="Medio",$F$10,IF(J9="Bajo",$F$11,"")))*$D$9)</f>
        <v>2.875</v>
      </c>
      <c r="K21" s="19">
        <f t="shared" ref="K21:L21" si="0">(IF(K12="Alto",$F$12,IF(K12="Medio",$F$13,IF(K12="Bajo",$F$14,"")))*$D$12)+
IF(K5="Si",$F$5,0)*$D$5+
(IF(K6="Alto",$F$6,IF(K6="Medio",$F7,IF(K6="Bajo",$F$8,"")))*$D$6)+
(IF(K15="Alto",$F$15,IF(K15="Medio",$F$16,IF(K15="Bajo",$F$17,"")))*$D$15)+
(IF(K18="Alto",$F$18,IF(K18="Medio",$F$19,IF(K18="Bajo",$F$20,"")))*$D$18)+
(IF(K9="Alto",$F9,IF(K9="Medio",$F$10,IF(K9="Bajo",$F$11,"")))*$D$9)</f>
        <v>1.625</v>
      </c>
      <c r="L21" s="19">
        <f t="shared" si="0"/>
        <v>0.625</v>
      </c>
    </row>
    <row r="22" spans="2:12" ht="14.45">
      <c r="D22"/>
    </row>
    <row r="23" spans="2:12" ht="14.45">
      <c r="D23"/>
    </row>
    <row r="24" spans="2:12" ht="14.45">
      <c r="B24" s="6"/>
      <c r="C24" s="6"/>
      <c r="D24"/>
      <c r="E24" s="1"/>
      <c r="G24" s="1"/>
    </row>
    <row r="25" spans="2:12" ht="14.45">
      <c r="D25"/>
    </row>
    <row r="26" spans="2:12" ht="45" customHeight="1">
      <c r="B26" s="8"/>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9" customWidth="1"/>
    <col min="7" max="7" width="11.42578125" style="40" customWidth="1"/>
    <col min="8" max="11" width="10.85546875" style="40"/>
  </cols>
  <sheetData>
    <row r="3" spans="1:20">
      <c r="F3" s="39" t="s">
        <v>1602</v>
      </c>
      <c r="G3" s="40">
        <v>100</v>
      </c>
      <c r="H3" s="40">
        <v>100</v>
      </c>
      <c r="I3" s="40">
        <v>100</v>
      </c>
      <c r="J3" s="40">
        <v>100</v>
      </c>
      <c r="K3" s="40">
        <v>100</v>
      </c>
      <c r="N3" s="39"/>
      <c r="O3" s="41" t="s">
        <v>1602</v>
      </c>
      <c r="P3" s="42">
        <v>100</v>
      </c>
      <c r="Q3" s="42">
        <v>100</v>
      </c>
      <c r="R3" s="42">
        <v>100</v>
      </c>
      <c r="S3" s="42">
        <v>100</v>
      </c>
      <c r="T3" s="42">
        <v>100</v>
      </c>
    </row>
    <row r="4" spans="1:20" ht="29.1">
      <c r="E4" s="39" t="s">
        <v>1565</v>
      </c>
      <c r="F4" s="40" t="s">
        <v>1603</v>
      </c>
      <c r="G4" s="40" t="s">
        <v>850</v>
      </c>
      <c r="H4" s="40" t="s">
        <v>1604</v>
      </c>
      <c r="I4" s="40" t="s">
        <v>1605</v>
      </c>
      <c r="J4" s="40" t="s">
        <v>1606</v>
      </c>
      <c r="K4" s="40" t="s">
        <v>1607</v>
      </c>
      <c r="N4" s="39" t="s">
        <v>1565</v>
      </c>
      <c r="O4" s="40" t="s">
        <v>1603</v>
      </c>
      <c r="P4" s="40" t="s">
        <v>850</v>
      </c>
      <c r="Q4" s="40" t="s">
        <v>1604</v>
      </c>
      <c r="R4" s="40" t="s">
        <v>1605</v>
      </c>
      <c r="S4" s="40" t="s">
        <v>1606</v>
      </c>
      <c r="T4" s="40" t="s">
        <v>1607</v>
      </c>
    </row>
    <row r="5" spans="1:20">
      <c r="B5">
        <v>3</v>
      </c>
      <c r="C5" t="s">
        <v>1608</v>
      </c>
      <c r="D5" t="s">
        <v>1609</v>
      </c>
      <c r="E5" s="39">
        <v>5</v>
      </c>
      <c r="F5" s="39" t="s">
        <v>1610</v>
      </c>
      <c r="G5" s="40">
        <v>100</v>
      </c>
      <c r="J5" s="40">
        <v>100</v>
      </c>
      <c r="M5" t="s">
        <v>1609</v>
      </c>
      <c r="N5" s="39">
        <v>5</v>
      </c>
      <c r="O5" s="39" t="s">
        <v>1610</v>
      </c>
      <c r="P5" s="40">
        <v>100</v>
      </c>
      <c r="Q5" s="40"/>
      <c r="R5" s="40"/>
      <c r="S5" s="40">
        <v>80</v>
      </c>
      <c r="T5" s="40"/>
    </row>
    <row r="6" spans="1:20">
      <c r="A6">
        <v>1</v>
      </c>
      <c r="D6" t="s">
        <v>1611</v>
      </c>
      <c r="E6" s="39">
        <v>5</v>
      </c>
      <c r="F6" s="39" t="s">
        <v>1612</v>
      </c>
      <c r="H6" s="40">
        <v>100</v>
      </c>
      <c r="I6" s="40">
        <v>100</v>
      </c>
      <c r="M6" t="s">
        <v>1611</v>
      </c>
      <c r="N6" s="39">
        <v>5</v>
      </c>
      <c r="O6" s="39" t="s">
        <v>1612</v>
      </c>
      <c r="P6" s="40"/>
      <c r="Q6" s="40">
        <v>100</v>
      </c>
      <c r="R6" s="40">
        <v>100</v>
      </c>
      <c r="S6" s="40"/>
      <c r="T6" s="40"/>
    </row>
    <row r="7" spans="1:20">
      <c r="D7" t="s">
        <v>1613</v>
      </c>
      <c r="E7" s="39">
        <v>5</v>
      </c>
      <c r="G7" s="40" t="s">
        <v>1614</v>
      </c>
      <c r="K7" s="40" t="s">
        <v>1614</v>
      </c>
      <c r="M7" t="s">
        <v>1615</v>
      </c>
      <c r="N7" s="39">
        <v>4</v>
      </c>
      <c r="O7" s="39" t="s">
        <v>1612</v>
      </c>
      <c r="P7" s="40"/>
      <c r="Q7" s="40"/>
      <c r="R7" s="40"/>
      <c r="S7" s="40"/>
      <c r="T7" s="40">
        <v>100</v>
      </c>
    </row>
    <row r="8" spans="1:20">
      <c r="D8" t="s">
        <v>1616</v>
      </c>
      <c r="E8" s="39">
        <v>4</v>
      </c>
      <c r="F8" s="39" t="s">
        <v>1610</v>
      </c>
      <c r="G8" s="40" t="s">
        <v>1614</v>
      </c>
      <c r="K8" s="40" t="s">
        <v>1614</v>
      </c>
      <c r="M8" t="s">
        <v>1617</v>
      </c>
      <c r="N8" s="39">
        <v>4</v>
      </c>
      <c r="O8" s="39" t="s">
        <v>1612</v>
      </c>
      <c r="P8" s="40"/>
      <c r="Q8" s="40"/>
      <c r="R8" s="40"/>
      <c r="S8" s="40"/>
      <c r="T8" s="40"/>
    </row>
    <row r="9" spans="1:20">
      <c r="B9">
        <v>2</v>
      </c>
      <c r="C9" t="s">
        <v>1608</v>
      </c>
      <c r="D9" t="s">
        <v>1618</v>
      </c>
      <c r="E9" s="39">
        <v>4</v>
      </c>
      <c r="H9" s="40" t="s">
        <v>1614</v>
      </c>
      <c r="M9" t="s">
        <v>1619</v>
      </c>
      <c r="N9" s="39">
        <v>3</v>
      </c>
      <c r="O9" s="39" t="s">
        <v>1612</v>
      </c>
      <c r="P9" s="40"/>
      <c r="Q9" s="40"/>
      <c r="R9" s="40"/>
      <c r="S9" s="40"/>
      <c r="T9" s="40"/>
    </row>
    <row r="10" spans="1:20">
      <c r="A10">
        <v>2</v>
      </c>
      <c r="D10" t="s">
        <v>1620</v>
      </c>
      <c r="E10" s="39">
        <v>4</v>
      </c>
      <c r="F10" s="39" t="s">
        <v>1610</v>
      </c>
      <c r="G10" s="40" t="s">
        <v>1614</v>
      </c>
      <c r="M10" t="s">
        <v>1621</v>
      </c>
      <c r="N10" s="39">
        <v>3</v>
      </c>
      <c r="O10" s="39" t="s">
        <v>1612</v>
      </c>
      <c r="P10" s="40"/>
      <c r="Q10" s="40"/>
      <c r="R10" s="40"/>
      <c r="S10" s="40"/>
      <c r="T10" s="40"/>
    </row>
    <row r="11" spans="1:20">
      <c r="D11" t="s">
        <v>1622</v>
      </c>
      <c r="E11" s="39">
        <v>4</v>
      </c>
      <c r="G11" s="40" t="s">
        <v>1614</v>
      </c>
      <c r="H11" s="40" t="s">
        <v>1614</v>
      </c>
      <c r="M11" t="s">
        <v>1623</v>
      </c>
      <c r="N11" s="39">
        <v>2</v>
      </c>
      <c r="O11" s="39" t="s">
        <v>1606</v>
      </c>
      <c r="P11" s="40"/>
      <c r="Q11" s="40"/>
      <c r="R11" s="40"/>
      <c r="S11" s="40">
        <v>20</v>
      </c>
      <c r="T11" s="40"/>
    </row>
    <row r="12" spans="1:20">
      <c r="B12">
        <v>1</v>
      </c>
      <c r="C12" t="s">
        <v>1608</v>
      </c>
      <c r="D12" t="s">
        <v>1624</v>
      </c>
      <c r="E12" s="39">
        <v>4</v>
      </c>
      <c r="F12" s="39" t="s">
        <v>1610</v>
      </c>
      <c r="I12" s="40" t="s">
        <v>1614</v>
      </c>
      <c r="N12" s="39"/>
      <c r="O12" s="39"/>
      <c r="P12" s="40"/>
      <c r="Q12" s="40"/>
      <c r="R12" s="40"/>
      <c r="S12" s="40"/>
      <c r="T12" s="40"/>
    </row>
    <row r="13" spans="1:20">
      <c r="D13" t="s">
        <v>1625</v>
      </c>
      <c r="E13" s="39">
        <v>4</v>
      </c>
      <c r="G13" s="40" t="s">
        <v>1614</v>
      </c>
      <c r="N13" s="39"/>
      <c r="O13" s="39"/>
      <c r="P13" s="40"/>
      <c r="Q13" s="40"/>
      <c r="R13" s="40"/>
      <c r="S13" s="40"/>
      <c r="T13" s="40"/>
    </row>
    <row r="14" spans="1:20">
      <c r="A14">
        <v>10</v>
      </c>
      <c r="D14" t="s">
        <v>1615</v>
      </c>
      <c r="E14" s="39">
        <v>4</v>
      </c>
      <c r="K14" s="40">
        <v>100</v>
      </c>
    </row>
    <row r="15" spans="1:20">
      <c r="D15" t="s">
        <v>1617</v>
      </c>
      <c r="E15" s="39">
        <v>4</v>
      </c>
      <c r="K15" s="40" t="s">
        <v>1614</v>
      </c>
    </row>
    <row r="16" spans="1:20">
      <c r="D16" t="s">
        <v>1619</v>
      </c>
      <c r="E16" s="39">
        <v>3</v>
      </c>
      <c r="H16" s="40" t="s">
        <v>1614</v>
      </c>
      <c r="K16" s="40" t="s">
        <v>1614</v>
      </c>
    </row>
    <row r="17" spans="1:10">
      <c r="D17" t="s">
        <v>1621</v>
      </c>
      <c r="E17" s="39">
        <v>3</v>
      </c>
      <c r="G17" s="40" t="s">
        <v>1614</v>
      </c>
    </row>
    <row r="18" spans="1:10">
      <c r="D18" t="s">
        <v>1623</v>
      </c>
      <c r="E18" s="39">
        <v>3</v>
      </c>
      <c r="H18" s="40" t="s">
        <v>1614</v>
      </c>
    </row>
    <row r="19" spans="1:10">
      <c r="D19" t="s">
        <v>1626</v>
      </c>
      <c r="E19" s="39">
        <v>3</v>
      </c>
      <c r="G19" s="40" t="s">
        <v>1614</v>
      </c>
    </row>
    <row r="20" spans="1:10">
      <c r="A20">
        <v>3</v>
      </c>
      <c r="D20" t="s">
        <v>1627</v>
      </c>
      <c r="E20" s="39">
        <v>2</v>
      </c>
      <c r="G20" s="40" t="s">
        <v>1614</v>
      </c>
    </row>
    <row r="21" spans="1:10">
      <c r="D21" t="s">
        <v>1628</v>
      </c>
      <c r="E21" s="39">
        <v>2</v>
      </c>
      <c r="H21" s="40" t="s">
        <v>1614</v>
      </c>
    </row>
    <row r="22" spans="1:10">
      <c r="D22" t="s">
        <v>1629</v>
      </c>
      <c r="E22" s="39">
        <v>2</v>
      </c>
      <c r="H22" s="40" t="s">
        <v>1614</v>
      </c>
    </row>
    <row r="23" spans="1:10">
      <c r="D23" t="s">
        <v>1630</v>
      </c>
      <c r="E23" s="39">
        <v>2</v>
      </c>
      <c r="G23" s="40" t="s">
        <v>1614</v>
      </c>
    </row>
    <row r="24" spans="1:10">
      <c r="D24" t="s">
        <v>1631</v>
      </c>
      <c r="E24" s="39">
        <v>2</v>
      </c>
      <c r="J24" s="40" t="s">
        <v>1614</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1632</v>
      </c>
      <c r="C2" s="164">
        <v>3.55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BE79"/>
  <sheetViews>
    <sheetView tabSelected="1" zoomScale="80" zoomScaleNormal="80" workbookViewId="0">
      <pane xSplit="6" ySplit="1" topLeftCell="AY6" activePane="bottomRight" state="frozen"/>
      <selection pane="bottomRight" activeCell="A12" sqref="A12"/>
      <selection pane="bottomLeft"/>
      <selection pane="topRight"/>
    </sheetView>
  </sheetViews>
  <sheetFormatPr defaultColWidth="115.42578125" defaultRowHeight="15" customHeight="1"/>
  <cols>
    <col min="1" max="1" width="6.140625" style="10" customWidth="1"/>
    <col min="2" max="2" width="13.5703125" style="94" customWidth="1"/>
    <col min="3" max="3" width="19.42578125" style="94" customWidth="1"/>
    <col min="4" max="4" width="8.28515625" style="10" customWidth="1"/>
    <col min="5" max="5" width="17" style="10" customWidth="1"/>
    <col min="6" max="6" width="31.140625" style="10" customWidth="1"/>
    <col min="7" max="7" width="51" style="184" customWidth="1"/>
    <col min="8" max="8" width="17.42578125" style="10" customWidth="1"/>
    <col min="9" max="9" width="32.85546875" style="10" customWidth="1"/>
    <col min="10" max="11" width="42" style="10" customWidth="1"/>
    <col min="12" max="12" width="19" style="10" customWidth="1"/>
    <col min="13" max="13" width="19" style="58" customWidth="1"/>
    <col min="14" max="14" width="22.140625" style="10" customWidth="1"/>
    <col min="15" max="16" width="20.85546875" style="10" customWidth="1"/>
    <col min="17" max="17" width="19" style="10" customWidth="1"/>
    <col min="18" max="19" width="61.42578125" style="10" customWidth="1"/>
    <col min="20" max="20" width="54.140625" style="10" customWidth="1"/>
    <col min="21" max="21" width="66" style="10" customWidth="1"/>
    <col min="22" max="22" width="25.140625" style="10" customWidth="1"/>
    <col min="23" max="23" width="16.85546875" style="10" customWidth="1"/>
    <col min="24" max="24" width="44.28515625" style="10" customWidth="1"/>
    <col min="25" max="25" width="60.7109375" style="10" customWidth="1"/>
    <col min="26" max="26" width="63.140625" style="65" customWidth="1"/>
    <col min="27" max="27" width="13.7109375" style="65" customWidth="1"/>
    <col min="28" max="29" width="13.42578125" style="10" customWidth="1"/>
    <col min="30" max="30" width="20" style="10" customWidth="1"/>
    <col min="31" max="31" width="16.42578125" style="10" customWidth="1"/>
    <col min="32" max="33" width="17.140625" style="10" customWidth="1"/>
    <col min="34" max="34" width="18.28515625" style="59" customWidth="1"/>
    <col min="35" max="35" width="21.85546875" style="10" bestFit="1" customWidth="1"/>
    <col min="36" max="36" width="21.85546875" style="10" customWidth="1"/>
    <col min="37" max="37" width="54" style="10" customWidth="1"/>
    <col min="38" max="38" width="17.42578125" style="10" customWidth="1"/>
    <col min="39" max="41" width="20.85546875" style="10" customWidth="1"/>
    <col min="42" max="42" width="31.42578125" style="10" customWidth="1"/>
    <col min="43" max="43" width="27.85546875" style="10" customWidth="1"/>
    <col min="44" max="44" width="14.7109375" style="10" customWidth="1"/>
    <col min="45" max="45" width="18" style="10" customWidth="1"/>
    <col min="46" max="46" width="20.28515625" style="361" customWidth="1"/>
    <col min="47" max="47" width="23.5703125" style="10" customWidth="1"/>
    <col min="48" max="48" width="22" style="10" customWidth="1"/>
    <col min="49" max="49" width="15.140625" style="10" customWidth="1"/>
    <col min="50" max="50" width="18" style="10" customWidth="1"/>
    <col min="51" max="51" width="21.85546875" style="10" customWidth="1"/>
    <col min="52" max="52" width="20.7109375" style="10" customWidth="1"/>
    <col min="53" max="53" width="18.42578125" style="10" customWidth="1"/>
    <col min="54" max="55" width="39.42578125" style="10" customWidth="1"/>
    <col min="56" max="56" width="39.42578125" style="65" customWidth="1"/>
    <col min="57" max="57" width="39.42578125" style="69" customWidth="1"/>
    <col min="58" max="58" width="39.42578125" style="10" customWidth="1"/>
    <col min="59" max="16384" width="115.42578125" style="10"/>
  </cols>
  <sheetData>
    <row r="1" spans="1:57" s="59" customFormat="1" ht="43.5">
      <c r="A1" s="159" t="s">
        <v>5</v>
      </c>
      <c r="B1" s="160" t="s">
        <v>6</v>
      </c>
      <c r="C1" s="160" t="s">
        <v>7</v>
      </c>
      <c r="D1" s="159" t="s">
        <v>8</v>
      </c>
      <c r="E1" s="159" t="s">
        <v>9</v>
      </c>
      <c r="F1" s="159" t="s">
        <v>10</v>
      </c>
      <c r="G1" s="159" t="s">
        <v>11</v>
      </c>
      <c r="H1" s="159" t="s">
        <v>12</v>
      </c>
      <c r="I1" s="159" t="s">
        <v>13</v>
      </c>
      <c r="J1" s="258" t="s">
        <v>14</v>
      </c>
      <c r="K1" s="159" t="s">
        <v>170</v>
      </c>
      <c r="L1" s="258" t="s">
        <v>16</v>
      </c>
      <c r="M1" s="258" t="s">
        <v>17</v>
      </c>
      <c r="N1" s="159" t="s">
        <v>18</v>
      </c>
      <c r="O1" s="159" t="s">
        <v>171</v>
      </c>
      <c r="P1" s="159" t="s">
        <v>20</v>
      </c>
      <c r="Q1" s="258" t="s">
        <v>21</v>
      </c>
      <c r="R1" s="159" t="s">
        <v>22</v>
      </c>
      <c r="S1" s="159" t="s">
        <v>23</v>
      </c>
      <c r="T1" s="258" t="s">
        <v>24</v>
      </c>
      <c r="U1" s="258" t="s">
        <v>25</v>
      </c>
      <c r="V1" s="159" t="s">
        <v>26</v>
      </c>
      <c r="W1" s="159" t="s">
        <v>173</v>
      </c>
      <c r="X1" s="159" t="s">
        <v>559</v>
      </c>
      <c r="Y1" s="159" t="s">
        <v>29</v>
      </c>
      <c r="Z1" s="177" t="s">
        <v>174</v>
      </c>
      <c r="AA1" s="177" t="s">
        <v>31</v>
      </c>
      <c r="AB1" s="175" t="s">
        <v>33</v>
      </c>
      <c r="AC1" s="175" t="s">
        <v>34</v>
      </c>
      <c r="AD1" s="225" t="s">
        <v>35</v>
      </c>
      <c r="AE1" s="208" t="s">
        <v>36</v>
      </c>
      <c r="AF1" s="176" t="s">
        <v>37</v>
      </c>
      <c r="AG1" s="176" t="s">
        <v>38</v>
      </c>
      <c r="AH1" s="208" t="s">
        <v>39</v>
      </c>
      <c r="AI1" s="210" t="s">
        <v>40</v>
      </c>
      <c r="AJ1" s="211" t="s">
        <v>41</v>
      </c>
      <c r="AK1" s="208" t="s">
        <v>42</v>
      </c>
      <c r="AL1" s="208" t="s">
        <v>43</v>
      </c>
      <c r="AM1" s="208" t="s">
        <v>1633</v>
      </c>
      <c r="AN1" s="166" t="s">
        <v>178</v>
      </c>
      <c r="AO1" s="208" t="s">
        <v>45</v>
      </c>
      <c r="AP1" s="208" t="s">
        <v>46</v>
      </c>
      <c r="AQ1" s="356" t="s">
        <v>535</v>
      </c>
      <c r="AR1" s="356" t="s">
        <v>536</v>
      </c>
      <c r="AS1" s="356" t="s">
        <v>537</v>
      </c>
      <c r="AT1" s="358" t="s">
        <v>538</v>
      </c>
      <c r="AU1" s="362" t="s">
        <v>39</v>
      </c>
      <c r="AV1" s="363" t="s">
        <v>176</v>
      </c>
      <c r="AW1" s="362" t="s">
        <v>177</v>
      </c>
      <c r="AX1" s="362" t="s">
        <v>43</v>
      </c>
      <c r="AY1" s="362" t="s">
        <v>539</v>
      </c>
      <c r="AZ1" s="362" t="s">
        <v>540</v>
      </c>
      <c r="BA1" s="362" t="s">
        <v>46</v>
      </c>
      <c r="BB1" s="218" t="s">
        <v>1634</v>
      </c>
      <c r="BC1" s="218" t="s">
        <v>46</v>
      </c>
      <c r="BD1" s="259" t="s">
        <v>1635</v>
      </c>
      <c r="BE1" s="259" t="s">
        <v>1636</v>
      </c>
    </row>
    <row r="2" spans="1:57" ht="45.75" customHeight="1">
      <c r="A2" s="234">
        <v>42</v>
      </c>
      <c r="B2" s="243">
        <v>46057.826076388897</v>
      </c>
      <c r="C2" s="243">
        <v>46057.8430787037</v>
      </c>
      <c r="D2" s="244" t="s">
        <v>48</v>
      </c>
      <c r="E2" s="244" t="s">
        <v>49</v>
      </c>
      <c r="F2" s="244" t="s">
        <v>1637</v>
      </c>
      <c r="G2" s="244" t="s">
        <v>677</v>
      </c>
      <c r="H2" s="244" t="s">
        <v>158</v>
      </c>
      <c r="I2" s="234" t="s">
        <v>197</v>
      </c>
      <c r="J2" s="260" t="s">
        <v>1638</v>
      </c>
      <c r="K2" s="234"/>
      <c r="L2" s="234" t="s">
        <v>56</v>
      </c>
      <c r="M2" s="243">
        <v>46081</v>
      </c>
      <c r="N2" s="234" t="s">
        <v>57</v>
      </c>
      <c r="O2" s="234"/>
      <c r="P2" s="234"/>
      <c r="Q2" s="260" t="s">
        <v>269</v>
      </c>
      <c r="R2" s="244" t="s">
        <v>677</v>
      </c>
      <c r="S2" s="244"/>
      <c r="T2" s="244" t="s">
        <v>680</v>
      </c>
      <c r="U2" s="260" t="s">
        <v>56</v>
      </c>
      <c r="V2" s="244" t="s">
        <v>687</v>
      </c>
      <c r="W2" s="244" t="s">
        <v>188</v>
      </c>
      <c r="X2" s="262" t="s">
        <v>84</v>
      </c>
      <c r="Y2" s="244" t="s">
        <v>689</v>
      </c>
      <c r="Z2" s="234" t="s">
        <v>690</v>
      </c>
      <c r="AA2" s="234"/>
      <c r="AB2" s="250" t="s">
        <v>694</v>
      </c>
      <c r="AC2" s="250"/>
      <c r="AD2" s="250"/>
      <c r="AE2" s="250" t="s">
        <v>3</v>
      </c>
      <c r="AF2" s="250"/>
      <c r="AG2" s="255"/>
      <c r="AH2" s="255">
        <v>2.5</v>
      </c>
      <c r="AI2" s="251"/>
      <c r="AJ2" s="252">
        <v>35122.839999999997</v>
      </c>
      <c r="AK2" s="253" t="s">
        <v>692</v>
      </c>
      <c r="AL2" s="256" t="s">
        <v>693</v>
      </c>
      <c r="AM2" s="250"/>
      <c r="AN2" s="250"/>
      <c r="AO2" s="255" t="s">
        <v>403</v>
      </c>
      <c r="AP2" s="250" t="s">
        <v>1639</v>
      </c>
      <c r="AQ2" s="349"/>
      <c r="AR2" s="349"/>
      <c r="AS2" s="364"/>
      <c r="AT2" s="359"/>
      <c r="AU2" s="349"/>
      <c r="AV2" s="349"/>
      <c r="AW2" s="349"/>
      <c r="AX2" s="349"/>
      <c r="AY2" s="349"/>
      <c r="AZ2" s="349"/>
      <c r="BA2" s="349"/>
      <c r="BB2" s="254" t="s">
        <v>224</v>
      </c>
      <c r="BC2" s="257"/>
      <c r="BD2" s="263"/>
      <c r="BE2" s="261"/>
    </row>
    <row r="3" spans="1:57" ht="80.25" customHeight="1">
      <c r="A3" s="234">
        <v>66</v>
      </c>
      <c r="B3" s="243">
        <v>46083.734027777798</v>
      </c>
      <c r="C3" s="243">
        <v>46083.756967592599</v>
      </c>
      <c r="D3" s="234" t="s">
        <v>632</v>
      </c>
      <c r="E3" s="234" t="s">
        <v>633</v>
      </c>
      <c r="F3" s="234" t="s">
        <v>1640</v>
      </c>
      <c r="G3" s="234" t="s">
        <v>1641</v>
      </c>
      <c r="H3" s="234" t="s">
        <v>984</v>
      </c>
      <c r="I3" s="234" t="s">
        <v>241</v>
      </c>
      <c r="J3" s="260" t="s">
        <v>1642</v>
      </c>
      <c r="K3" s="234"/>
      <c r="L3" s="243" t="s">
        <v>1643</v>
      </c>
      <c r="M3" s="243">
        <v>46098</v>
      </c>
      <c r="N3" s="234" t="s">
        <v>57</v>
      </c>
      <c r="O3" s="234">
        <v>0</v>
      </c>
      <c r="P3" s="234"/>
      <c r="Q3" s="260" t="s">
        <v>79</v>
      </c>
      <c r="R3" s="234" t="s">
        <v>1644</v>
      </c>
      <c r="S3" s="234"/>
      <c r="T3" s="234" t="s">
        <v>1645</v>
      </c>
      <c r="U3" s="260" t="s">
        <v>130</v>
      </c>
      <c r="V3" s="234" t="s">
        <v>623</v>
      </c>
      <c r="W3" s="234" t="s">
        <v>188</v>
      </c>
      <c r="X3" s="262" t="s">
        <v>84</v>
      </c>
      <c r="Y3" s="234" t="s">
        <v>1646</v>
      </c>
      <c r="Z3" s="234" t="s">
        <v>1647</v>
      </c>
      <c r="AA3" s="234"/>
      <c r="AB3" s="250" t="s">
        <v>1648</v>
      </c>
      <c r="AC3" s="250" t="s">
        <v>1649</v>
      </c>
      <c r="AD3" s="250"/>
      <c r="AE3" s="250" t="s">
        <v>3</v>
      </c>
      <c r="AF3" s="250"/>
      <c r="AG3" s="250"/>
      <c r="AH3" s="250">
        <v>1</v>
      </c>
      <c r="AI3" s="251">
        <v>3500</v>
      </c>
      <c r="AJ3" s="252">
        <v>10000</v>
      </c>
      <c r="AK3" s="253" t="s">
        <v>1650</v>
      </c>
      <c r="AL3" s="252" t="s">
        <v>223</v>
      </c>
      <c r="AM3" s="250" t="s">
        <v>1651</v>
      </c>
      <c r="AN3" s="250"/>
      <c r="AO3" s="250" t="s">
        <v>403</v>
      </c>
      <c r="AP3" s="250"/>
      <c r="AQ3" s="349"/>
      <c r="AR3" s="349"/>
      <c r="AS3" s="364"/>
      <c r="AT3" s="359" t="str">
        <f t="shared" ref="AT3:AT66" si="0">IF(OR(AR3="",AS3=""),"",TEXT(WORKDAY(AS3,IF(AR3="Baja",3,IF(AR3="Media",5,0))),"dd-mmm"))</f>
        <v/>
      </c>
      <c r="AU3" s="349"/>
      <c r="AV3" s="349"/>
      <c r="AW3" s="349"/>
      <c r="AX3" s="349"/>
      <c r="AY3" s="349"/>
      <c r="AZ3" s="349"/>
      <c r="BA3" s="349"/>
      <c r="BB3" s="254" t="s">
        <v>1652</v>
      </c>
      <c r="BC3" s="250" t="s">
        <v>1653</v>
      </c>
      <c r="BD3" s="261" t="s">
        <v>1654</v>
      </c>
      <c r="BE3" s="261"/>
    </row>
    <row r="4" spans="1:57" ht="78" customHeight="1">
      <c r="A4" s="234">
        <v>100</v>
      </c>
      <c r="B4" s="243">
        <v>46127.3352662037</v>
      </c>
      <c r="C4" s="243">
        <v>46127.3585648148</v>
      </c>
      <c r="D4" s="234" t="s">
        <v>179</v>
      </c>
      <c r="E4" s="234" t="s">
        <v>180</v>
      </c>
      <c r="F4" s="234" t="s">
        <v>1655</v>
      </c>
      <c r="G4" s="234" t="s">
        <v>1656</v>
      </c>
      <c r="H4" s="234" t="s">
        <v>1011</v>
      </c>
      <c r="I4" s="234" t="s">
        <v>1657</v>
      </c>
      <c r="J4" s="260" t="s">
        <v>1658</v>
      </c>
      <c r="K4" s="234"/>
      <c r="L4" s="243" t="s">
        <v>184</v>
      </c>
      <c r="M4" s="243">
        <v>46152</v>
      </c>
      <c r="N4" s="234" t="s">
        <v>57</v>
      </c>
      <c r="O4" s="234">
        <v>0</v>
      </c>
      <c r="P4" s="234"/>
      <c r="Q4" s="260" t="s">
        <v>79</v>
      </c>
      <c r="R4" s="234" t="s">
        <v>1659</v>
      </c>
      <c r="S4" s="234"/>
      <c r="T4" s="234" t="s">
        <v>1660</v>
      </c>
      <c r="U4" s="260" t="s">
        <v>130</v>
      </c>
      <c r="V4" s="234" t="s">
        <v>63</v>
      </c>
      <c r="W4" s="234" t="s">
        <v>188</v>
      </c>
      <c r="X4" s="260" t="s">
        <v>166</v>
      </c>
      <c r="Y4" s="234" t="s">
        <v>1661</v>
      </c>
      <c r="Z4" s="234" t="s">
        <v>1662</v>
      </c>
      <c r="AA4" s="234"/>
      <c r="AB4" s="250" t="s">
        <v>152</v>
      </c>
      <c r="AC4" s="250" t="s">
        <v>1649</v>
      </c>
      <c r="AD4" s="250"/>
      <c r="AE4" s="250" t="s">
        <v>3</v>
      </c>
      <c r="AF4" s="250"/>
      <c r="AG4" s="250"/>
      <c r="AH4" s="250" t="s">
        <v>1663</v>
      </c>
      <c r="AI4" s="251">
        <v>40000</v>
      </c>
      <c r="AJ4" s="252">
        <f>AI4*3.55</f>
        <v>142000</v>
      </c>
      <c r="AK4" s="253" t="s">
        <v>1664</v>
      </c>
      <c r="AL4" s="252" t="s">
        <v>631</v>
      </c>
      <c r="AM4" s="250" t="s">
        <v>1665</v>
      </c>
      <c r="AN4" s="250"/>
      <c r="AO4" s="250" t="s">
        <v>403</v>
      </c>
      <c r="AP4" s="250"/>
      <c r="AQ4" s="349"/>
      <c r="AR4" s="349"/>
      <c r="AS4" s="364"/>
      <c r="AT4" s="359" t="str">
        <f t="shared" si="0"/>
        <v/>
      </c>
      <c r="AU4" s="349"/>
      <c r="AV4" s="349"/>
      <c r="AW4" s="349"/>
      <c r="AX4" s="349"/>
      <c r="AY4" s="349"/>
      <c r="AZ4" s="349"/>
      <c r="BA4" s="349"/>
      <c r="BB4" s="254" t="s">
        <v>224</v>
      </c>
      <c r="BC4" s="250"/>
      <c r="BD4" s="261"/>
      <c r="BE4" s="261"/>
    </row>
    <row r="5" spans="1:57" ht="68.25" customHeight="1">
      <c r="A5" s="234">
        <v>96</v>
      </c>
      <c r="B5" s="243">
        <v>46126.7905902778</v>
      </c>
      <c r="C5" s="243">
        <v>46126.826805555596</v>
      </c>
      <c r="D5" s="244" t="s">
        <v>139</v>
      </c>
      <c r="E5" s="244" t="s">
        <v>140</v>
      </c>
      <c r="F5" s="244" t="s">
        <v>1666</v>
      </c>
      <c r="G5" s="244" t="s">
        <v>1667</v>
      </c>
      <c r="H5" s="244" t="s">
        <v>158</v>
      </c>
      <c r="I5" s="234" t="s">
        <v>1668</v>
      </c>
      <c r="J5" s="260" t="s">
        <v>1669</v>
      </c>
      <c r="K5" s="234">
        <v>0</v>
      </c>
      <c r="L5" s="234" t="s">
        <v>161</v>
      </c>
      <c r="M5" s="243">
        <v>46387</v>
      </c>
      <c r="N5" s="234" t="s">
        <v>83</v>
      </c>
      <c r="O5" s="234" t="s">
        <v>145</v>
      </c>
      <c r="P5" s="234"/>
      <c r="Q5" s="260" t="s">
        <v>79</v>
      </c>
      <c r="R5" s="244" t="s">
        <v>1670</v>
      </c>
      <c r="S5" s="244"/>
      <c r="T5" s="244" t="s">
        <v>1671</v>
      </c>
      <c r="U5" s="260" t="s">
        <v>370</v>
      </c>
      <c r="V5" s="244" t="s">
        <v>400</v>
      </c>
      <c r="W5" s="244" t="s">
        <v>188</v>
      </c>
      <c r="X5" s="260" t="s">
        <v>149</v>
      </c>
      <c r="Y5" s="244" t="s">
        <v>1672</v>
      </c>
      <c r="Z5" s="234">
        <v>0</v>
      </c>
      <c r="AA5" s="234"/>
      <c r="AB5" s="250" t="s">
        <v>152</v>
      </c>
      <c r="AC5" s="250"/>
      <c r="AD5" s="250"/>
      <c r="AE5" s="250" t="s">
        <v>2</v>
      </c>
      <c r="AF5" s="250"/>
      <c r="AG5" s="255"/>
      <c r="AH5" s="255">
        <v>3</v>
      </c>
      <c r="AI5" s="251">
        <v>54000</v>
      </c>
      <c r="AJ5" s="252">
        <f>AI5*3.55</f>
        <v>191700</v>
      </c>
      <c r="AK5" s="253" t="s">
        <v>1673</v>
      </c>
      <c r="AL5" s="256" t="s">
        <v>223</v>
      </c>
      <c r="AM5" s="250" t="s">
        <v>208</v>
      </c>
      <c r="AN5" s="250" t="s">
        <v>224</v>
      </c>
      <c r="AO5" s="255" t="s">
        <v>403</v>
      </c>
      <c r="AP5" s="250"/>
      <c r="AQ5" s="349"/>
      <c r="AR5" s="349"/>
      <c r="AS5" s="349"/>
      <c r="AT5" s="359" t="str">
        <f t="shared" si="0"/>
        <v/>
      </c>
      <c r="AU5" s="349"/>
      <c r="AV5" s="349"/>
      <c r="AW5" s="349"/>
      <c r="AX5" s="349"/>
      <c r="AY5" s="349"/>
      <c r="AZ5" s="349"/>
      <c r="BA5" s="349"/>
      <c r="BB5" s="254"/>
      <c r="BC5" s="257"/>
      <c r="BD5" s="263"/>
      <c r="BE5" s="261"/>
    </row>
    <row r="6" spans="1:57" ht="43.5" customHeight="1">
      <c r="A6" s="234">
        <v>97</v>
      </c>
      <c r="B6" s="243">
        <v>46126.826921296299</v>
      </c>
      <c r="C6" s="243">
        <v>46126.850914351897</v>
      </c>
      <c r="D6" s="234" t="s">
        <v>139</v>
      </c>
      <c r="E6" s="234" t="s">
        <v>140</v>
      </c>
      <c r="F6" s="234" t="s">
        <v>1674</v>
      </c>
      <c r="G6" s="234" t="s">
        <v>1675</v>
      </c>
      <c r="H6" s="234" t="s">
        <v>158</v>
      </c>
      <c r="I6" s="234" t="s">
        <v>1668</v>
      </c>
      <c r="J6" s="260" t="s">
        <v>1669</v>
      </c>
      <c r="K6" s="234">
        <v>0</v>
      </c>
      <c r="L6" s="243" t="s">
        <v>161</v>
      </c>
      <c r="M6" s="243">
        <v>46387</v>
      </c>
      <c r="N6" s="234" t="s">
        <v>83</v>
      </c>
      <c r="O6" s="234" t="s">
        <v>145</v>
      </c>
      <c r="P6" s="234"/>
      <c r="Q6" s="260" t="s">
        <v>79</v>
      </c>
      <c r="R6" s="234" t="s">
        <v>1676</v>
      </c>
      <c r="S6" s="234"/>
      <c r="T6" s="234" t="s">
        <v>1677</v>
      </c>
      <c r="U6" s="260" t="s">
        <v>370</v>
      </c>
      <c r="V6" s="234" t="s">
        <v>63</v>
      </c>
      <c r="W6" s="234" t="s">
        <v>188</v>
      </c>
      <c r="X6" s="260" t="s">
        <v>149</v>
      </c>
      <c r="Y6" s="234" t="s">
        <v>1678</v>
      </c>
      <c r="Z6" s="234">
        <v>0</v>
      </c>
      <c r="AA6" s="234"/>
      <c r="AB6" s="250" t="s">
        <v>152</v>
      </c>
      <c r="AC6" s="250"/>
      <c r="AD6" s="250"/>
      <c r="AE6" s="250" t="s">
        <v>2</v>
      </c>
      <c r="AF6" s="250"/>
      <c r="AG6" s="250"/>
      <c r="AH6" s="250">
        <v>4</v>
      </c>
      <c r="AI6" s="251">
        <v>62000</v>
      </c>
      <c r="AJ6" s="252">
        <f>AI6*3.55</f>
        <v>220100</v>
      </c>
      <c r="AK6" s="253" t="s">
        <v>1679</v>
      </c>
      <c r="AL6" s="252" t="s">
        <v>223</v>
      </c>
      <c r="AM6" s="250" t="s">
        <v>208</v>
      </c>
      <c r="AN6" s="250" t="s">
        <v>224</v>
      </c>
      <c r="AO6" s="250" t="s">
        <v>403</v>
      </c>
      <c r="AP6" s="250"/>
      <c r="AQ6" s="349"/>
      <c r="AR6" s="349"/>
      <c r="AS6" s="349"/>
      <c r="AT6" s="359" t="str">
        <f t="shared" si="0"/>
        <v/>
      </c>
      <c r="AU6" s="349"/>
      <c r="AV6" s="349"/>
      <c r="AW6" s="349"/>
      <c r="AX6" s="349"/>
      <c r="AY6" s="349"/>
      <c r="AZ6" s="349"/>
      <c r="BA6" s="349"/>
      <c r="BB6" s="254"/>
      <c r="BC6" s="250"/>
      <c r="BD6" s="261"/>
      <c r="BE6" s="261"/>
    </row>
    <row r="7" spans="1:57" ht="44.25" customHeight="1">
      <c r="A7" s="234">
        <v>98</v>
      </c>
      <c r="B7" s="243">
        <v>46127.014560185198</v>
      </c>
      <c r="C7" s="243">
        <v>46127.284756944398</v>
      </c>
      <c r="D7" s="244" t="s">
        <v>139</v>
      </c>
      <c r="E7" s="244" t="s">
        <v>140</v>
      </c>
      <c r="F7" s="244" t="s">
        <v>1680</v>
      </c>
      <c r="G7" s="244" t="s">
        <v>1681</v>
      </c>
      <c r="H7" s="244" t="s">
        <v>158</v>
      </c>
      <c r="I7" s="234" t="s">
        <v>1668</v>
      </c>
      <c r="J7" s="260" t="s">
        <v>1669</v>
      </c>
      <c r="K7" s="234">
        <v>0</v>
      </c>
      <c r="L7" s="234" t="s">
        <v>161</v>
      </c>
      <c r="M7" s="243">
        <v>46387</v>
      </c>
      <c r="N7" s="234" t="s">
        <v>83</v>
      </c>
      <c r="O7" s="234" t="s">
        <v>145</v>
      </c>
      <c r="P7" s="234"/>
      <c r="Q7" s="260" t="s">
        <v>79</v>
      </c>
      <c r="R7" s="244" t="s">
        <v>1682</v>
      </c>
      <c r="S7" s="244"/>
      <c r="T7" s="244" t="s">
        <v>1683</v>
      </c>
      <c r="U7" s="260" t="s">
        <v>370</v>
      </c>
      <c r="V7" s="244" t="s">
        <v>63</v>
      </c>
      <c r="W7" s="244" t="s">
        <v>188</v>
      </c>
      <c r="X7" s="260" t="s">
        <v>149</v>
      </c>
      <c r="Y7" s="244" t="s">
        <v>1684</v>
      </c>
      <c r="Z7" s="234">
        <v>0</v>
      </c>
      <c r="AA7" s="234"/>
      <c r="AB7" s="250" t="s">
        <v>152</v>
      </c>
      <c r="AC7" s="250"/>
      <c r="AD7" s="250"/>
      <c r="AE7" s="250" t="s">
        <v>2</v>
      </c>
      <c r="AF7" s="250"/>
      <c r="AG7" s="255"/>
      <c r="AH7" s="255">
        <v>5</v>
      </c>
      <c r="AI7" s="251">
        <v>84000</v>
      </c>
      <c r="AJ7" s="252">
        <f>AI7*3.55</f>
        <v>298200</v>
      </c>
      <c r="AK7" s="253" t="s">
        <v>1679</v>
      </c>
      <c r="AL7" s="256" t="s">
        <v>223</v>
      </c>
      <c r="AM7" s="250" t="s">
        <v>208</v>
      </c>
      <c r="AN7" s="250" t="s">
        <v>224</v>
      </c>
      <c r="AO7" s="255" t="s">
        <v>403</v>
      </c>
      <c r="AP7" s="250"/>
      <c r="AQ7" s="349"/>
      <c r="AR7" s="349"/>
      <c r="AS7" s="349"/>
      <c r="AT7" s="359" t="str">
        <f t="shared" si="0"/>
        <v/>
      </c>
      <c r="AU7" s="349"/>
      <c r="AV7" s="349"/>
      <c r="AW7" s="349"/>
      <c r="AX7" s="349"/>
      <c r="AY7" s="349"/>
      <c r="AZ7" s="349"/>
      <c r="BA7" s="349"/>
      <c r="BB7" s="254"/>
      <c r="BC7" s="257"/>
      <c r="BD7" s="263"/>
      <c r="BE7" s="261"/>
    </row>
    <row r="8" spans="1:57" ht="44.25" customHeight="1">
      <c r="A8" s="234">
        <v>101</v>
      </c>
      <c r="B8" s="243">
        <v>46127.284849536998</v>
      </c>
      <c r="C8" s="243">
        <v>46127.470335648097</v>
      </c>
      <c r="D8" s="234" t="s">
        <v>139</v>
      </c>
      <c r="E8" s="234" t="s">
        <v>140</v>
      </c>
      <c r="F8" s="234" t="s">
        <v>1685</v>
      </c>
      <c r="G8" s="234" t="s">
        <v>1686</v>
      </c>
      <c r="H8" s="234" t="s">
        <v>158</v>
      </c>
      <c r="I8" s="234" t="s">
        <v>1668</v>
      </c>
      <c r="J8" s="260" t="s">
        <v>1669</v>
      </c>
      <c r="K8" s="234">
        <v>0</v>
      </c>
      <c r="L8" s="243" t="s">
        <v>161</v>
      </c>
      <c r="M8" s="243">
        <v>46387</v>
      </c>
      <c r="N8" s="234" t="s">
        <v>83</v>
      </c>
      <c r="O8" s="234" t="s">
        <v>145</v>
      </c>
      <c r="P8" s="234"/>
      <c r="Q8" s="260" t="s">
        <v>79</v>
      </c>
      <c r="R8" s="234" t="s">
        <v>1687</v>
      </c>
      <c r="S8" s="234"/>
      <c r="T8" s="234" t="s">
        <v>1688</v>
      </c>
      <c r="U8" s="260" t="s">
        <v>82</v>
      </c>
      <c r="V8" s="234" t="s">
        <v>63</v>
      </c>
      <c r="W8" s="234" t="s">
        <v>188</v>
      </c>
      <c r="X8" s="260" t="s">
        <v>149</v>
      </c>
      <c r="Y8" s="234" t="s">
        <v>1689</v>
      </c>
      <c r="Z8" s="234">
        <v>0</v>
      </c>
      <c r="AA8" s="234"/>
      <c r="AB8" s="250" t="s">
        <v>152</v>
      </c>
      <c r="AC8" s="250"/>
      <c r="AD8" s="250"/>
      <c r="AE8" s="250" t="s">
        <v>2</v>
      </c>
      <c r="AF8" s="250"/>
      <c r="AG8" s="250"/>
      <c r="AH8" s="250">
        <v>6</v>
      </c>
      <c r="AI8" s="251">
        <v>92000</v>
      </c>
      <c r="AJ8" s="252">
        <f>AI8*3.55</f>
        <v>326600</v>
      </c>
      <c r="AK8" s="253" t="s">
        <v>1690</v>
      </c>
      <c r="AL8" s="252" t="s">
        <v>223</v>
      </c>
      <c r="AM8" s="250" t="s">
        <v>208</v>
      </c>
      <c r="AN8" s="250" t="s">
        <v>224</v>
      </c>
      <c r="AO8" s="250" t="s">
        <v>403</v>
      </c>
      <c r="AP8" s="250"/>
      <c r="AQ8" s="349"/>
      <c r="AR8" s="349"/>
      <c r="AS8" s="349"/>
      <c r="AT8" s="359" t="str">
        <f t="shared" si="0"/>
        <v/>
      </c>
      <c r="AU8" s="349"/>
      <c r="AV8" s="349"/>
      <c r="AW8" s="349"/>
      <c r="AX8" s="349"/>
      <c r="AY8" s="349"/>
      <c r="AZ8" s="349"/>
      <c r="BA8" s="349"/>
      <c r="BB8" s="254"/>
      <c r="BC8" s="250"/>
      <c r="BD8" s="261"/>
      <c r="BE8" s="261"/>
    </row>
    <row r="9" spans="1:57" ht="62.25" customHeight="1">
      <c r="A9" s="234">
        <v>90</v>
      </c>
      <c r="B9" s="243">
        <v>46111.731342592597</v>
      </c>
      <c r="C9" s="243">
        <v>46111.7496875</v>
      </c>
      <c r="D9" s="244" t="s">
        <v>1691</v>
      </c>
      <c r="E9" s="244" t="s">
        <v>1692</v>
      </c>
      <c r="F9" s="244" t="s">
        <v>1693</v>
      </c>
      <c r="G9" s="244" t="s">
        <v>1694</v>
      </c>
      <c r="H9" s="244" t="s">
        <v>75</v>
      </c>
      <c r="I9" s="234" t="s">
        <v>241</v>
      </c>
      <c r="J9" s="260" t="s">
        <v>1695</v>
      </c>
      <c r="K9" s="234"/>
      <c r="L9" s="234" t="s">
        <v>1643</v>
      </c>
      <c r="M9" s="243">
        <v>46132</v>
      </c>
      <c r="N9" s="234" t="s">
        <v>57</v>
      </c>
      <c r="O9" s="234">
        <v>0</v>
      </c>
      <c r="P9" s="234"/>
      <c r="Q9" s="260" t="s">
        <v>79</v>
      </c>
      <c r="R9" s="244" t="s">
        <v>1696</v>
      </c>
      <c r="S9" s="244"/>
      <c r="T9" s="244" t="s">
        <v>1697</v>
      </c>
      <c r="U9" s="260" t="s">
        <v>130</v>
      </c>
      <c r="V9" s="244" t="s">
        <v>1698</v>
      </c>
      <c r="W9" s="244" t="s">
        <v>188</v>
      </c>
      <c r="X9" s="260" t="s">
        <v>166</v>
      </c>
      <c r="Y9" s="244" t="s">
        <v>1699</v>
      </c>
      <c r="Z9" s="234" t="s">
        <v>1700</v>
      </c>
      <c r="AA9" s="234"/>
      <c r="AB9" s="250" t="s">
        <v>1701</v>
      </c>
      <c r="AC9" s="250" t="s">
        <v>1649</v>
      </c>
      <c r="AD9" s="250"/>
      <c r="AE9" s="250" t="s">
        <v>3</v>
      </c>
      <c r="AF9" s="254">
        <v>46128</v>
      </c>
      <c r="AG9" s="255"/>
      <c r="AH9" s="255" t="s">
        <v>627</v>
      </c>
      <c r="AI9" s="251">
        <v>4500</v>
      </c>
      <c r="AJ9" s="252">
        <v>15975</v>
      </c>
      <c r="AK9" s="253" t="s">
        <v>1702</v>
      </c>
      <c r="AL9" s="256" t="s">
        <v>1703</v>
      </c>
      <c r="AM9" s="250" t="s">
        <v>1651</v>
      </c>
      <c r="AN9" s="250"/>
      <c r="AO9" s="255" t="s">
        <v>403</v>
      </c>
      <c r="AP9" s="250" t="s">
        <v>1704</v>
      </c>
      <c r="AQ9" s="349"/>
      <c r="AR9" s="349"/>
      <c r="AS9" s="349"/>
      <c r="AT9" s="359" t="str">
        <f t="shared" si="0"/>
        <v/>
      </c>
      <c r="AU9" s="349"/>
      <c r="AV9" s="349"/>
      <c r="AW9" s="349"/>
      <c r="AX9" s="349"/>
      <c r="AY9" s="349"/>
      <c r="AZ9" s="349"/>
      <c r="BA9" s="349"/>
      <c r="BB9" s="254" t="s">
        <v>224</v>
      </c>
      <c r="BC9" s="257" t="s">
        <v>1705</v>
      </c>
      <c r="BD9" s="263"/>
      <c r="BE9" s="261"/>
    </row>
    <row r="10" spans="1:57" ht="64.5" customHeight="1">
      <c r="A10" s="234">
        <v>118</v>
      </c>
      <c r="B10" s="243">
        <v>46139.628726851799</v>
      </c>
      <c r="C10" s="243">
        <v>46139.650196759299</v>
      </c>
      <c r="D10" s="234" t="s">
        <v>124</v>
      </c>
      <c r="E10" s="234" t="s">
        <v>125</v>
      </c>
      <c r="F10" s="234" t="s">
        <v>1706</v>
      </c>
      <c r="G10" s="234" t="s">
        <v>1707</v>
      </c>
      <c r="H10" s="234" t="s">
        <v>342</v>
      </c>
      <c r="I10" s="234" t="s">
        <v>636</v>
      </c>
      <c r="J10" s="260" t="s">
        <v>1708</v>
      </c>
      <c r="K10" s="234"/>
      <c r="L10" s="243" t="s">
        <v>161</v>
      </c>
      <c r="M10" s="243">
        <v>46353</v>
      </c>
      <c r="N10" s="234" t="s">
        <v>83</v>
      </c>
      <c r="O10" s="234" t="s">
        <v>1709</v>
      </c>
      <c r="P10" s="234"/>
      <c r="Q10" s="260" t="s">
        <v>79</v>
      </c>
      <c r="R10" s="234" t="s">
        <v>1710</v>
      </c>
      <c r="S10" s="234"/>
      <c r="T10" s="234" t="s">
        <v>1711</v>
      </c>
      <c r="U10" s="260" t="s">
        <v>62</v>
      </c>
      <c r="V10" s="234" t="s">
        <v>400</v>
      </c>
      <c r="W10" s="234" t="s">
        <v>188</v>
      </c>
      <c r="X10" s="260" t="s">
        <v>166</v>
      </c>
      <c r="Y10" s="234" t="s">
        <v>1712</v>
      </c>
      <c r="Z10" s="234">
        <v>0</v>
      </c>
      <c r="AA10" s="234"/>
      <c r="AB10" s="250" t="s">
        <v>122</v>
      </c>
      <c r="AC10" s="250" t="s">
        <v>68</v>
      </c>
      <c r="AD10" s="254">
        <v>46142</v>
      </c>
      <c r="AE10" s="250" t="s">
        <v>2</v>
      </c>
      <c r="AF10" s="254">
        <v>46146</v>
      </c>
      <c r="AG10" s="254">
        <v>46177</v>
      </c>
      <c r="AH10" s="250">
        <v>6</v>
      </c>
      <c r="AI10" s="251" t="s">
        <v>1713</v>
      </c>
      <c r="AJ10" s="252" t="s">
        <v>1714</v>
      </c>
      <c r="AK10" s="253" t="s">
        <v>1715</v>
      </c>
      <c r="AL10" s="252" t="s">
        <v>207</v>
      </c>
      <c r="AM10" s="250" t="s">
        <v>208</v>
      </c>
      <c r="AN10" s="250" t="s">
        <v>224</v>
      </c>
      <c r="AO10" s="250" t="s">
        <v>1716</v>
      </c>
      <c r="AP10" s="250" t="s">
        <v>1717</v>
      </c>
      <c r="AQ10" s="349"/>
      <c r="AR10" s="349"/>
      <c r="AS10" s="349"/>
      <c r="AT10" s="359" t="str">
        <f t="shared" si="0"/>
        <v/>
      </c>
      <c r="AU10" s="349"/>
      <c r="AV10" s="349"/>
      <c r="AW10" s="349"/>
      <c r="AX10" s="349"/>
      <c r="AY10" s="349"/>
      <c r="AZ10" s="349"/>
      <c r="BA10" s="349"/>
      <c r="BB10" s="254" t="s">
        <v>224</v>
      </c>
      <c r="BC10" s="250"/>
      <c r="BD10" s="261" t="s">
        <v>224</v>
      </c>
      <c r="BE10" s="261"/>
    </row>
    <row r="11" spans="1:57" ht="50.25" customHeight="1">
      <c r="A11" s="234">
        <v>114</v>
      </c>
      <c r="B11" s="243">
        <v>46136.035648148099</v>
      </c>
      <c r="C11" s="243">
        <v>46136.0446296296</v>
      </c>
      <c r="D11" s="234" t="s">
        <v>237</v>
      </c>
      <c r="E11" s="234" t="s">
        <v>238</v>
      </c>
      <c r="F11" s="234" t="s">
        <v>1718</v>
      </c>
      <c r="G11" s="234" t="s">
        <v>1719</v>
      </c>
      <c r="H11" s="234" t="s">
        <v>158</v>
      </c>
      <c r="I11" s="234" t="s">
        <v>91</v>
      </c>
      <c r="J11" s="260" t="s">
        <v>1720</v>
      </c>
      <c r="K11" s="234"/>
      <c r="L11" s="243" t="s">
        <v>258</v>
      </c>
      <c r="M11" s="243">
        <v>46172</v>
      </c>
      <c r="N11" s="234" t="s">
        <v>57</v>
      </c>
      <c r="O11" s="234">
        <v>0</v>
      </c>
      <c r="P11" s="234"/>
      <c r="Q11" s="260" t="s">
        <v>79</v>
      </c>
      <c r="R11" s="234" t="s">
        <v>1721</v>
      </c>
      <c r="S11" s="234"/>
      <c r="T11" s="234" t="s">
        <v>1722</v>
      </c>
      <c r="U11" s="260" t="s">
        <v>130</v>
      </c>
      <c r="V11" s="234" t="s">
        <v>63</v>
      </c>
      <c r="W11" s="234" t="s">
        <v>188</v>
      </c>
      <c r="X11" s="260" t="s">
        <v>166</v>
      </c>
      <c r="Y11" s="234" t="s">
        <v>1723</v>
      </c>
      <c r="Z11" s="234" t="s">
        <v>1724</v>
      </c>
      <c r="AA11" s="234"/>
      <c r="AB11" s="250" t="s">
        <v>1725</v>
      </c>
      <c r="AC11" s="250" t="s">
        <v>68</v>
      </c>
      <c r="AD11" s="254">
        <v>46142</v>
      </c>
      <c r="AE11" s="250" t="s">
        <v>2</v>
      </c>
      <c r="AF11" s="254"/>
      <c r="AG11" s="254"/>
      <c r="AH11" s="250" t="s">
        <v>1726</v>
      </c>
      <c r="AI11" s="251"/>
      <c r="AJ11" s="252">
        <v>37000</v>
      </c>
      <c r="AK11" s="253" t="s">
        <v>1727</v>
      </c>
      <c r="AL11" s="252" t="s">
        <v>223</v>
      </c>
      <c r="AM11" s="250"/>
      <c r="AN11" s="250"/>
      <c r="AO11" s="250" t="s">
        <v>403</v>
      </c>
      <c r="AP11" s="250" t="s">
        <v>1728</v>
      </c>
      <c r="AQ11" s="349"/>
      <c r="AR11" s="349"/>
      <c r="AS11" s="349"/>
      <c r="AT11" s="359" t="str">
        <f t="shared" si="0"/>
        <v/>
      </c>
      <c r="AU11" s="349"/>
      <c r="AV11" s="349"/>
      <c r="AW11" s="349"/>
      <c r="AX11" s="349"/>
      <c r="AY11" s="349"/>
      <c r="AZ11" s="349"/>
      <c r="BA11" s="349"/>
      <c r="BB11" s="254" t="s">
        <v>224</v>
      </c>
      <c r="BC11" s="250" t="s">
        <v>1729</v>
      </c>
      <c r="BD11" s="261"/>
      <c r="BE11" s="261"/>
    </row>
    <row r="12" spans="1:57" ht="57.75" customHeight="1">
      <c r="A12" s="234">
        <v>95</v>
      </c>
      <c r="B12" s="243">
        <v>46126.512210648099</v>
      </c>
      <c r="C12" s="243">
        <v>46126.525636574101</v>
      </c>
      <c r="D12" s="234" t="s">
        <v>237</v>
      </c>
      <c r="E12" s="234" t="s">
        <v>238</v>
      </c>
      <c r="F12" s="234" t="s">
        <v>1730</v>
      </c>
      <c r="G12" s="234" t="s">
        <v>1731</v>
      </c>
      <c r="H12" s="234" t="s">
        <v>158</v>
      </c>
      <c r="I12" s="234" t="s">
        <v>241</v>
      </c>
      <c r="J12" s="260" t="s">
        <v>275</v>
      </c>
      <c r="K12" s="234"/>
      <c r="L12" s="243" t="s">
        <v>199</v>
      </c>
      <c r="M12" s="243">
        <v>46233</v>
      </c>
      <c r="N12" s="234" t="s">
        <v>83</v>
      </c>
      <c r="O12" s="234" t="s">
        <v>244</v>
      </c>
      <c r="P12" s="234"/>
      <c r="Q12" s="260" t="s">
        <v>79</v>
      </c>
      <c r="R12" s="234" t="s">
        <v>1732</v>
      </c>
      <c r="S12" s="234" t="s">
        <v>1733</v>
      </c>
      <c r="T12" s="234" t="s">
        <v>1734</v>
      </c>
      <c r="U12" s="260" t="s">
        <v>130</v>
      </c>
      <c r="V12" s="234" t="s">
        <v>248</v>
      </c>
      <c r="W12" s="234" t="s">
        <v>188</v>
      </c>
      <c r="X12" s="260" t="s">
        <v>166</v>
      </c>
      <c r="Y12" s="234" t="s">
        <v>1735</v>
      </c>
      <c r="Z12" s="234" t="s">
        <v>1736</v>
      </c>
      <c r="AA12" s="234">
        <v>2.15</v>
      </c>
      <c r="AB12" s="250" t="s">
        <v>251</v>
      </c>
      <c r="AC12" s="250" t="s">
        <v>68</v>
      </c>
      <c r="AD12" s="254">
        <v>46128</v>
      </c>
      <c r="AE12" s="250" t="s">
        <v>2</v>
      </c>
      <c r="AF12" s="254">
        <v>46135</v>
      </c>
      <c r="AG12" s="254">
        <v>46181</v>
      </c>
      <c r="AH12" s="250">
        <v>7</v>
      </c>
      <c r="AI12" s="251">
        <v>0</v>
      </c>
      <c r="AJ12" s="252">
        <v>59576.43</v>
      </c>
      <c r="AK12" s="253"/>
      <c r="AL12" s="252" t="s">
        <v>207</v>
      </c>
      <c r="AM12" s="250" t="s">
        <v>208</v>
      </c>
      <c r="AN12" s="250" t="s">
        <v>83</v>
      </c>
      <c r="AO12" s="250" t="s">
        <v>1716</v>
      </c>
      <c r="AP12" s="250" t="s">
        <v>1737</v>
      </c>
      <c r="AQ12" s="349"/>
      <c r="AR12" s="349"/>
      <c r="AS12" s="349"/>
      <c r="AT12" s="359" t="str">
        <f t="shared" si="0"/>
        <v/>
      </c>
      <c r="AU12" s="349"/>
      <c r="AV12" s="349"/>
      <c r="AW12" s="349"/>
      <c r="AX12" s="349"/>
      <c r="AY12" s="349"/>
      <c r="AZ12" s="349"/>
      <c r="BA12" s="349"/>
      <c r="BB12" s="254" t="s">
        <v>224</v>
      </c>
      <c r="BC12" s="250" t="s">
        <v>1738</v>
      </c>
      <c r="BD12" s="261" t="s">
        <v>224</v>
      </c>
      <c r="BE12" s="261" t="s">
        <v>1739</v>
      </c>
    </row>
    <row r="13" spans="1:57" ht="102" customHeight="1">
      <c r="A13" s="234">
        <v>143</v>
      </c>
      <c r="B13" s="243">
        <v>46147.622638888897</v>
      </c>
      <c r="C13" s="243">
        <v>46153.561354166697</v>
      </c>
      <c r="D13" s="234" t="s">
        <v>179</v>
      </c>
      <c r="E13" s="234" t="s">
        <v>180</v>
      </c>
      <c r="F13" s="234" t="s">
        <v>1740</v>
      </c>
      <c r="G13" s="234" t="s">
        <v>1741</v>
      </c>
      <c r="H13" s="234" t="s">
        <v>75</v>
      </c>
      <c r="I13" s="234" t="s">
        <v>76</v>
      </c>
      <c r="J13" s="260" t="s">
        <v>1742</v>
      </c>
      <c r="K13" s="234" t="s">
        <v>1743</v>
      </c>
      <c r="L13" s="243" t="s">
        <v>184</v>
      </c>
      <c r="M13" s="243">
        <v>46356</v>
      </c>
      <c r="N13" s="234" t="s">
        <v>57</v>
      </c>
      <c r="O13" s="234">
        <v>0</v>
      </c>
      <c r="P13" s="234"/>
      <c r="Q13" s="260" t="s">
        <v>79</v>
      </c>
      <c r="R13" s="234" t="s">
        <v>1744</v>
      </c>
      <c r="S13" s="234"/>
      <c r="T13" s="234" t="s">
        <v>1745</v>
      </c>
      <c r="U13" s="260" t="s">
        <v>82</v>
      </c>
      <c r="V13" s="234" t="s">
        <v>1746</v>
      </c>
      <c r="W13" s="234" t="s">
        <v>188</v>
      </c>
      <c r="X13" s="260" t="s">
        <v>149</v>
      </c>
      <c r="Y13" s="234" t="s">
        <v>1747</v>
      </c>
      <c r="Z13" s="234" t="s">
        <v>1748</v>
      </c>
      <c r="AA13" s="234"/>
      <c r="AB13" s="250" t="s">
        <v>67</v>
      </c>
      <c r="AC13" s="250" t="s">
        <v>68</v>
      </c>
      <c r="AD13" s="254">
        <v>46156</v>
      </c>
      <c r="AE13" s="250" t="s">
        <v>2</v>
      </c>
      <c r="AF13" s="254">
        <v>46188</v>
      </c>
      <c r="AG13" s="254">
        <v>46341</v>
      </c>
      <c r="AH13" s="250" t="s">
        <v>1749</v>
      </c>
      <c r="AI13" s="251">
        <v>54350</v>
      </c>
      <c r="AJ13" s="252">
        <v>186148.75</v>
      </c>
      <c r="AK13" s="253" t="s">
        <v>1750</v>
      </c>
      <c r="AL13" s="252" t="s">
        <v>207</v>
      </c>
      <c r="AM13" s="250" t="s">
        <v>208</v>
      </c>
      <c r="AN13" s="250" t="s">
        <v>224</v>
      </c>
      <c r="AO13" s="250" t="s">
        <v>403</v>
      </c>
      <c r="AP13" s="250"/>
      <c r="AQ13" s="349"/>
      <c r="AR13" s="349"/>
      <c r="AS13" s="349"/>
      <c r="AT13" s="359" t="str">
        <f t="shared" si="0"/>
        <v/>
      </c>
      <c r="AU13" s="349"/>
      <c r="AV13" s="349"/>
      <c r="AW13" s="349"/>
      <c r="AX13" s="349"/>
      <c r="AY13" s="349"/>
      <c r="AZ13" s="349"/>
      <c r="BA13" s="349"/>
      <c r="BB13" s="254" t="s">
        <v>224</v>
      </c>
      <c r="BC13" s="250" t="s">
        <v>1751</v>
      </c>
      <c r="BD13" s="261"/>
      <c r="BE13" s="261"/>
    </row>
    <row r="14" spans="1:57" ht="15" customHeight="1">
      <c r="A14" s="234">
        <v>124</v>
      </c>
      <c r="B14" s="243">
        <v>46141.490138888897</v>
      </c>
      <c r="C14" s="243">
        <v>46141.504571759302</v>
      </c>
      <c r="D14" s="234" t="s">
        <v>1752</v>
      </c>
      <c r="E14" s="234" t="s">
        <v>1181</v>
      </c>
      <c r="F14" s="234" t="s">
        <v>1753</v>
      </c>
      <c r="G14" s="234" t="s">
        <v>1754</v>
      </c>
      <c r="H14" s="234" t="s">
        <v>75</v>
      </c>
      <c r="I14" s="234" t="s">
        <v>91</v>
      </c>
      <c r="J14" s="260" t="s">
        <v>1755</v>
      </c>
      <c r="K14" s="234"/>
      <c r="L14" s="243" t="s">
        <v>258</v>
      </c>
      <c r="M14" s="243">
        <v>46150</v>
      </c>
      <c r="N14" s="234" t="s">
        <v>57</v>
      </c>
      <c r="O14" s="234">
        <v>0</v>
      </c>
      <c r="P14" s="234"/>
      <c r="Q14" s="260" t="s">
        <v>79</v>
      </c>
      <c r="R14" s="234" t="s">
        <v>1756</v>
      </c>
      <c r="S14" s="234"/>
      <c r="T14" s="234" t="s">
        <v>1757</v>
      </c>
      <c r="U14" s="260" t="s">
        <v>56</v>
      </c>
      <c r="V14" s="234" t="s">
        <v>63</v>
      </c>
      <c r="W14" s="234" t="s">
        <v>188</v>
      </c>
      <c r="X14" s="260" t="s">
        <v>166</v>
      </c>
      <c r="Y14" s="234" t="s">
        <v>1758</v>
      </c>
      <c r="Z14" s="234" t="s">
        <v>1759</v>
      </c>
      <c r="AA14" s="234"/>
      <c r="AB14" s="250" t="s">
        <v>97</v>
      </c>
      <c r="AC14" s="250" t="s">
        <v>68</v>
      </c>
      <c r="AD14" s="254">
        <v>46142</v>
      </c>
      <c r="AE14" s="250" t="s">
        <v>3</v>
      </c>
      <c r="AF14" s="254">
        <v>46149</v>
      </c>
      <c r="AG14" s="254">
        <v>46155</v>
      </c>
      <c r="AH14" s="250">
        <v>1.5</v>
      </c>
      <c r="AI14" s="251">
        <v>1475</v>
      </c>
      <c r="AJ14" s="252">
        <v>5236.25</v>
      </c>
      <c r="AK14" s="253" t="s">
        <v>1760</v>
      </c>
      <c r="AL14" s="252" t="s">
        <v>1761</v>
      </c>
      <c r="AM14" s="250" t="s">
        <v>1762</v>
      </c>
      <c r="AN14" s="250" t="s">
        <v>57</v>
      </c>
      <c r="AO14" s="250" t="s">
        <v>403</v>
      </c>
      <c r="AP14" s="250"/>
      <c r="AQ14" s="349"/>
      <c r="AR14" s="349"/>
      <c r="AS14" s="349"/>
      <c r="AT14" s="359" t="str">
        <f t="shared" si="0"/>
        <v/>
      </c>
      <c r="AU14" s="349"/>
      <c r="AV14" s="349"/>
      <c r="AW14" s="349"/>
      <c r="AX14" s="349"/>
      <c r="AY14" s="349"/>
      <c r="AZ14" s="349"/>
      <c r="BA14" s="349"/>
      <c r="BB14" s="254" t="s">
        <v>224</v>
      </c>
      <c r="BC14" s="250"/>
      <c r="BD14" s="261"/>
      <c r="BE14" s="261"/>
    </row>
    <row r="15" spans="1:57" ht="15" customHeight="1">
      <c r="AQ15" s="349"/>
      <c r="AR15" s="349"/>
      <c r="AS15" s="349"/>
      <c r="AT15" s="359" t="str">
        <f t="shared" si="0"/>
        <v/>
      </c>
      <c r="AU15" s="349"/>
      <c r="AV15" s="349"/>
      <c r="AW15" s="349"/>
      <c r="AX15" s="349"/>
      <c r="AY15" s="349"/>
      <c r="AZ15" s="349"/>
      <c r="BA15" s="349"/>
    </row>
    <row r="16" spans="1:57" ht="15" customHeight="1">
      <c r="AQ16" s="349"/>
      <c r="AR16" s="349"/>
      <c r="AS16" s="349"/>
      <c r="AT16" s="359" t="str">
        <f t="shared" si="0"/>
        <v/>
      </c>
      <c r="AU16" s="349"/>
      <c r="AV16" s="349"/>
      <c r="AW16" s="349"/>
      <c r="AX16" s="349"/>
      <c r="AY16" s="349"/>
      <c r="AZ16" s="349"/>
      <c r="BA16" s="349"/>
    </row>
    <row r="17" spans="1:53" ht="15" customHeight="1">
      <c r="AQ17" s="349"/>
      <c r="AR17" s="349"/>
      <c r="AS17" s="349"/>
      <c r="AT17" s="359" t="str">
        <f t="shared" si="0"/>
        <v/>
      </c>
      <c r="AU17" s="349"/>
      <c r="AV17" s="349"/>
      <c r="AW17" s="349"/>
      <c r="AX17" s="349"/>
      <c r="AY17" s="349"/>
      <c r="AZ17" s="349"/>
      <c r="BA17" s="349"/>
    </row>
    <row r="18" spans="1:53" ht="15" customHeight="1">
      <c r="AQ18" s="349"/>
      <c r="AR18" s="349"/>
      <c r="AS18" s="349"/>
      <c r="AT18" s="359" t="str">
        <f t="shared" si="0"/>
        <v/>
      </c>
      <c r="AU18" s="349"/>
      <c r="AV18" s="349"/>
      <c r="AW18" s="349"/>
      <c r="AX18" s="349"/>
      <c r="AY18" s="349"/>
      <c r="AZ18" s="349"/>
      <c r="BA18" s="349"/>
    </row>
    <row r="19" spans="1:53" ht="15" customHeight="1">
      <c r="AQ19" s="349"/>
      <c r="AR19" s="349"/>
      <c r="AS19" s="349"/>
      <c r="AT19" s="359" t="str">
        <f t="shared" si="0"/>
        <v/>
      </c>
      <c r="AU19" s="349"/>
      <c r="AV19" s="349"/>
      <c r="AW19" s="349"/>
      <c r="AX19" s="349"/>
      <c r="AY19" s="349"/>
      <c r="AZ19" s="349"/>
      <c r="BA19" s="349"/>
    </row>
    <row r="20" spans="1:53" ht="15" customHeight="1">
      <c r="AQ20" s="349"/>
      <c r="AR20" s="349"/>
      <c r="AS20" s="349"/>
      <c r="AT20" s="359" t="str">
        <f t="shared" si="0"/>
        <v/>
      </c>
      <c r="AU20" s="349"/>
      <c r="AV20" s="349"/>
      <c r="AW20" s="349"/>
      <c r="AX20" s="349"/>
      <c r="AY20" s="349"/>
      <c r="AZ20" s="349"/>
      <c r="BA20" s="349"/>
    </row>
    <row r="21" spans="1:53" ht="15" customHeight="1">
      <c r="AQ21" s="349"/>
      <c r="AR21" s="349"/>
      <c r="AS21" s="349"/>
      <c r="AT21" s="359" t="str">
        <f t="shared" si="0"/>
        <v/>
      </c>
      <c r="AU21" s="349"/>
      <c r="AV21" s="349"/>
      <c r="AW21" s="349"/>
      <c r="AX21" s="349"/>
      <c r="AY21" s="349"/>
      <c r="AZ21" s="349"/>
      <c r="BA21" s="349"/>
    </row>
    <row r="22" spans="1:53" ht="15" customHeight="1">
      <c r="AQ22" s="349"/>
      <c r="AR22" s="349"/>
      <c r="AS22" s="349"/>
      <c r="AT22" s="359" t="str">
        <f t="shared" si="0"/>
        <v/>
      </c>
      <c r="AU22" s="349"/>
      <c r="AV22" s="349"/>
      <c r="AW22" s="349"/>
      <c r="AX22" s="349"/>
      <c r="AY22" s="349"/>
      <c r="AZ22" s="349"/>
      <c r="BA22" s="349"/>
    </row>
    <row r="23" spans="1:53" ht="15" customHeight="1">
      <c r="AQ23" s="349"/>
      <c r="AR23" s="349"/>
      <c r="AS23" s="349"/>
      <c r="AT23" s="359" t="str">
        <f t="shared" si="0"/>
        <v/>
      </c>
      <c r="AU23" s="349"/>
      <c r="AV23" s="349"/>
      <c r="AW23" s="349"/>
      <c r="AX23" s="349"/>
      <c r="AY23" s="349"/>
      <c r="AZ23" s="349"/>
      <c r="BA23" s="349"/>
    </row>
    <row r="24" spans="1:53" ht="15" customHeight="1">
      <c r="AQ24" s="349"/>
      <c r="AR24" s="349"/>
      <c r="AS24" s="349"/>
      <c r="AT24" s="359" t="str">
        <f t="shared" si="0"/>
        <v/>
      </c>
      <c r="AU24" s="349"/>
      <c r="AV24" s="349"/>
      <c r="AW24" s="349"/>
      <c r="AX24" s="349"/>
      <c r="AY24" s="349"/>
      <c r="AZ24" s="349"/>
      <c r="BA24" s="349"/>
    </row>
    <row r="25" spans="1:53" ht="15" customHeight="1">
      <c r="AQ25" s="349"/>
      <c r="AR25" s="349"/>
      <c r="AS25" s="349"/>
      <c r="AT25" s="359" t="str">
        <f t="shared" si="0"/>
        <v/>
      </c>
      <c r="AU25" s="349"/>
      <c r="AV25" s="349"/>
      <c r="AW25" s="349"/>
      <c r="AX25" s="349"/>
      <c r="AY25" s="349"/>
      <c r="AZ25" s="349"/>
      <c r="BA25" s="349"/>
    </row>
    <row r="26" spans="1:53" ht="15" customHeight="1">
      <c r="AQ26" s="349"/>
      <c r="AR26" s="349"/>
      <c r="AS26" s="349"/>
      <c r="AT26" s="359" t="str">
        <f t="shared" si="0"/>
        <v/>
      </c>
      <c r="AU26" s="349"/>
      <c r="AV26" s="349"/>
      <c r="AW26" s="349"/>
      <c r="AX26" s="349"/>
      <c r="AY26" s="349"/>
      <c r="AZ26" s="349"/>
      <c r="BA26" s="349"/>
    </row>
    <row r="27" spans="1:53" ht="15" customHeight="1">
      <c r="AQ27" s="349"/>
      <c r="AR27" s="349"/>
      <c r="AS27" s="349"/>
      <c r="AT27" s="359" t="str">
        <f t="shared" si="0"/>
        <v/>
      </c>
      <c r="AU27" s="349"/>
      <c r="AV27" s="349"/>
      <c r="AW27" s="349"/>
      <c r="AX27" s="349"/>
      <c r="AY27" s="349"/>
      <c r="AZ27" s="349"/>
      <c r="BA27" s="349"/>
    </row>
    <row r="28" spans="1:53" ht="15" customHeight="1">
      <c r="AQ28" s="349"/>
      <c r="AR28" s="349"/>
      <c r="AS28" s="349"/>
      <c r="AT28" s="359" t="str">
        <f t="shared" si="0"/>
        <v/>
      </c>
      <c r="AU28" s="349"/>
      <c r="AV28" s="349"/>
      <c r="AW28" s="349"/>
      <c r="AX28" s="349"/>
      <c r="AY28" s="349"/>
      <c r="AZ28" s="349"/>
      <c r="BA28" s="349"/>
    </row>
    <row r="29" spans="1:53" ht="15" customHeight="1">
      <c r="A29" s="234"/>
      <c r="AQ29" s="349"/>
      <c r="AR29" s="349"/>
      <c r="AS29" s="349"/>
      <c r="AT29" s="359" t="str">
        <f t="shared" si="0"/>
        <v/>
      </c>
      <c r="AU29" s="349"/>
      <c r="AV29" s="349"/>
      <c r="AW29" s="349"/>
      <c r="AX29" s="349"/>
      <c r="AY29" s="349"/>
      <c r="AZ29" s="349"/>
      <c r="BA29" s="349"/>
    </row>
    <row r="30" spans="1:53" ht="15" customHeight="1">
      <c r="A30" s="234"/>
      <c r="AQ30" s="349"/>
      <c r="AR30" s="349"/>
      <c r="AS30" s="349"/>
      <c r="AT30" s="359" t="str">
        <f t="shared" si="0"/>
        <v/>
      </c>
      <c r="AU30" s="349"/>
      <c r="AV30" s="349"/>
      <c r="AW30" s="349"/>
      <c r="AX30" s="349"/>
      <c r="AY30" s="349"/>
      <c r="AZ30" s="349"/>
      <c r="BA30" s="349"/>
    </row>
    <row r="31" spans="1:53" ht="15" customHeight="1">
      <c r="A31" s="234"/>
      <c r="AQ31" s="349"/>
      <c r="AR31" s="349"/>
      <c r="AS31" s="349"/>
      <c r="AT31" s="359" t="str">
        <f t="shared" si="0"/>
        <v/>
      </c>
      <c r="AU31" s="349"/>
      <c r="AV31" s="349"/>
      <c r="AW31" s="349"/>
      <c r="AX31" s="349"/>
      <c r="AY31" s="349"/>
      <c r="AZ31" s="349"/>
      <c r="BA31" s="349"/>
    </row>
    <row r="32" spans="1:53" ht="15" customHeight="1">
      <c r="A32" s="234"/>
      <c r="AQ32" s="349"/>
      <c r="AR32" s="349"/>
      <c r="AS32" s="349"/>
      <c r="AT32" s="359" t="str">
        <f t="shared" si="0"/>
        <v/>
      </c>
      <c r="AU32" s="349"/>
      <c r="AV32" s="349"/>
      <c r="AW32" s="349"/>
      <c r="AX32" s="349"/>
      <c r="AY32" s="349"/>
      <c r="AZ32" s="349"/>
      <c r="BA32" s="349"/>
    </row>
    <row r="33" spans="1:53" ht="15" customHeight="1">
      <c r="A33" s="234"/>
      <c r="AQ33" s="349"/>
      <c r="AR33" s="349"/>
      <c r="AS33" s="349"/>
      <c r="AT33" s="359" t="str">
        <f t="shared" si="0"/>
        <v/>
      </c>
      <c r="AU33" s="349"/>
      <c r="AV33" s="349"/>
      <c r="AW33" s="349"/>
      <c r="AX33" s="349"/>
      <c r="AY33" s="349"/>
      <c r="AZ33" s="349"/>
      <c r="BA33" s="349"/>
    </row>
    <row r="34" spans="1:53" ht="15" customHeight="1">
      <c r="A34" s="234"/>
      <c r="AQ34" s="349"/>
      <c r="AR34" s="349"/>
      <c r="AS34" s="349"/>
      <c r="AT34" s="359" t="str">
        <f t="shared" si="0"/>
        <v/>
      </c>
      <c r="AU34" s="349"/>
      <c r="AV34" s="349"/>
      <c r="AW34" s="349"/>
      <c r="AX34" s="349"/>
      <c r="AY34" s="349"/>
      <c r="AZ34" s="349"/>
      <c r="BA34" s="349"/>
    </row>
    <row r="35" spans="1:53" ht="15" customHeight="1">
      <c r="A35" s="234"/>
      <c r="AQ35" s="349"/>
      <c r="AR35" s="349"/>
      <c r="AS35" s="349"/>
      <c r="AT35" s="359" t="str">
        <f t="shared" si="0"/>
        <v/>
      </c>
      <c r="AU35" s="349"/>
      <c r="AV35" s="349"/>
      <c r="AW35" s="349"/>
      <c r="AX35" s="349"/>
      <c r="AY35" s="349"/>
      <c r="AZ35" s="349"/>
      <c r="BA35" s="349"/>
    </row>
    <row r="36" spans="1:53" ht="15" customHeight="1">
      <c r="A36" s="234"/>
      <c r="AQ36" s="349"/>
      <c r="AR36" s="349"/>
      <c r="AS36" s="349"/>
      <c r="AT36" s="359" t="str">
        <f t="shared" si="0"/>
        <v/>
      </c>
      <c r="AU36" s="349"/>
      <c r="AV36" s="349"/>
      <c r="AW36" s="349"/>
      <c r="AX36" s="349"/>
      <c r="AY36" s="349"/>
      <c r="AZ36" s="349"/>
      <c r="BA36" s="349"/>
    </row>
    <row r="37" spans="1:53" ht="15" customHeight="1">
      <c r="A37" s="234"/>
      <c r="AQ37" s="349"/>
      <c r="AR37" s="349"/>
      <c r="AS37" s="349"/>
      <c r="AT37" s="359" t="str">
        <f t="shared" si="0"/>
        <v/>
      </c>
      <c r="AU37" s="349"/>
      <c r="AV37" s="349"/>
      <c r="AW37" s="349"/>
      <c r="AX37" s="349"/>
      <c r="AY37" s="349"/>
      <c r="AZ37" s="349"/>
      <c r="BA37" s="349"/>
    </row>
    <row r="38" spans="1:53" ht="15" customHeight="1">
      <c r="A38" s="234"/>
      <c r="AQ38" s="349"/>
      <c r="AR38" s="349"/>
      <c r="AS38" s="349"/>
      <c r="AT38" s="359" t="str">
        <f t="shared" si="0"/>
        <v/>
      </c>
      <c r="AU38" s="349"/>
      <c r="AV38" s="349"/>
      <c r="AW38" s="349"/>
      <c r="AX38" s="349"/>
      <c r="AY38" s="349"/>
      <c r="AZ38" s="349"/>
      <c r="BA38" s="349"/>
    </row>
    <row r="39" spans="1:53" ht="15" customHeight="1">
      <c r="A39" s="234"/>
      <c r="AQ39" s="349"/>
      <c r="AR39" s="349"/>
      <c r="AS39" s="349"/>
      <c r="AT39" s="359" t="str">
        <f t="shared" si="0"/>
        <v/>
      </c>
      <c r="AU39" s="349"/>
      <c r="AV39" s="349"/>
      <c r="AW39" s="349"/>
      <c r="AX39" s="349"/>
      <c r="AY39" s="349"/>
      <c r="AZ39" s="349"/>
      <c r="BA39" s="349"/>
    </row>
    <row r="40" spans="1:53" ht="15" customHeight="1">
      <c r="AQ40" s="349"/>
      <c r="AR40" s="349"/>
      <c r="AS40" s="349"/>
      <c r="AT40" s="359" t="str">
        <f t="shared" si="0"/>
        <v/>
      </c>
      <c r="AU40" s="349"/>
      <c r="AV40" s="349"/>
      <c r="AW40" s="349"/>
      <c r="AX40" s="349"/>
      <c r="AY40" s="349"/>
      <c r="AZ40" s="349"/>
      <c r="BA40" s="349"/>
    </row>
    <row r="41" spans="1:53" ht="15" customHeight="1">
      <c r="AQ41" s="349"/>
      <c r="AR41" s="349"/>
      <c r="AS41" s="349"/>
      <c r="AT41" s="359" t="str">
        <f t="shared" si="0"/>
        <v/>
      </c>
      <c r="AU41" s="349"/>
      <c r="AV41" s="349"/>
      <c r="AW41" s="349"/>
      <c r="AX41" s="349"/>
      <c r="AY41" s="349"/>
      <c r="AZ41" s="349"/>
      <c r="BA41" s="349"/>
    </row>
    <row r="42" spans="1:53" ht="15" customHeight="1">
      <c r="AQ42" s="349"/>
      <c r="AR42" s="349"/>
      <c r="AS42" s="349"/>
      <c r="AT42" s="359" t="str">
        <f t="shared" si="0"/>
        <v/>
      </c>
      <c r="AU42" s="349"/>
      <c r="AV42" s="349"/>
      <c r="AW42" s="349"/>
      <c r="AX42" s="349"/>
      <c r="AY42" s="349"/>
      <c r="AZ42" s="349"/>
      <c r="BA42" s="349"/>
    </row>
    <row r="43" spans="1:53" ht="15" customHeight="1">
      <c r="AQ43" s="349"/>
      <c r="AR43" s="349"/>
      <c r="AS43" s="349"/>
      <c r="AT43" s="359" t="str">
        <f t="shared" si="0"/>
        <v/>
      </c>
      <c r="AU43" s="349"/>
      <c r="AV43" s="349"/>
      <c r="AW43" s="349"/>
      <c r="AX43" s="349"/>
      <c r="AY43" s="349"/>
      <c r="AZ43" s="349"/>
      <c r="BA43" s="349"/>
    </row>
    <row r="44" spans="1:53" ht="15" customHeight="1">
      <c r="AQ44" s="349"/>
      <c r="AR44" s="349"/>
      <c r="AS44" s="349"/>
      <c r="AT44" s="359" t="str">
        <f t="shared" si="0"/>
        <v/>
      </c>
      <c r="AU44" s="349"/>
      <c r="AV44" s="349"/>
      <c r="AW44" s="349"/>
      <c r="AX44" s="349"/>
      <c r="AY44" s="349"/>
      <c r="AZ44" s="349"/>
      <c r="BA44" s="349"/>
    </row>
    <row r="45" spans="1:53" ht="15" customHeight="1">
      <c r="AQ45" s="349"/>
      <c r="AR45" s="349"/>
      <c r="AS45" s="349"/>
      <c r="AT45" s="359" t="str">
        <f t="shared" si="0"/>
        <v/>
      </c>
      <c r="AU45" s="349"/>
      <c r="AV45" s="349"/>
      <c r="AW45" s="349"/>
      <c r="AX45" s="349"/>
      <c r="AY45" s="349"/>
      <c r="AZ45" s="349"/>
      <c r="BA45" s="349"/>
    </row>
    <row r="46" spans="1:53" ht="15" customHeight="1">
      <c r="AQ46" s="349"/>
      <c r="AR46" s="349"/>
      <c r="AS46" s="349"/>
      <c r="AT46" s="360" t="str">
        <f t="shared" si="0"/>
        <v/>
      </c>
      <c r="AU46" s="349"/>
      <c r="AV46" s="349"/>
      <c r="AW46" s="349"/>
      <c r="AX46" s="349"/>
      <c r="AY46" s="349"/>
      <c r="AZ46" s="349"/>
      <c r="BA46" s="349"/>
    </row>
    <row r="47" spans="1:53" ht="15" customHeight="1">
      <c r="AQ47" s="349"/>
      <c r="AR47" s="349"/>
      <c r="AS47" s="349"/>
      <c r="AT47" s="360" t="str">
        <f t="shared" si="0"/>
        <v/>
      </c>
      <c r="AU47" s="349"/>
      <c r="AV47" s="349"/>
      <c r="AW47" s="349"/>
      <c r="AX47" s="349"/>
      <c r="AY47" s="349"/>
      <c r="AZ47" s="349"/>
      <c r="BA47" s="349"/>
    </row>
    <row r="48" spans="1:53" ht="15" customHeight="1">
      <c r="AQ48" s="349"/>
      <c r="AR48" s="349"/>
      <c r="AS48" s="349"/>
      <c r="AT48" s="360" t="str">
        <f t="shared" si="0"/>
        <v/>
      </c>
      <c r="AU48" s="349"/>
      <c r="AV48" s="349"/>
      <c r="AW48" s="349"/>
      <c r="AX48" s="349"/>
      <c r="AY48" s="349"/>
      <c r="AZ48" s="349"/>
      <c r="BA48" s="349"/>
    </row>
    <row r="49" spans="43:53" ht="15" customHeight="1">
      <c r="AQ49" s="349"/>
      <c r="AR49" s="349"/>
      <c r="AS49" s="349"/>
      <c r="AT49" s="360" t="str">
        <f t="shared" si="0"/>
        <v/>
      </c>
      <c r="AU49" s="349"/>
      <c r="AV49" s="349"/>
      <c r="AW49" s="349"/>
      <c r="AX49" s="349"/>
      <c r="AY49" s="349"/>
      <c r="AZ49" s="349"/>
      <c r="BA49" s="349"/>
    </row>
    <row r="50" spans="43:53" ht="15" customHeight="1">
      <c r="AQ50" s="349"/>
      <c r="AR50" s="349"/>
      <c r="AS50" s="349"/>
      <c r="AT50" s="360" t="str">
        <f t="shared" si="0"/>
        <v/>
      </c>
      <c r="AU50" s="349"/>
      <c r="AV50" s="349"/>
      <c r="AW50" s="349"/>
      <c r="AX50" s="349"/>
      <c r="AY50" s="349"/>
      <c r="AZ50" s="349"/>
      <c r="BA50" s="349"/>
    </row>
    <row r="51" spans="43:53" ht="15" customHeight="1">
      <c r="AQ51" s="349"/>
      <c r="AR51" s="349"/>
      <c r="AS51" s="349"/>
      <c r="AT51" s="360" t="str">
        <f t="shared" si="0"/>
        <v/>
      </c>
      <c r="AU51" s="349"/>
      <c r="AV51" s="349"/>
      <c r="AW51" s="349"/>
      <c r="AX51" s="349"/>
      <c r="AY51" s="349"/>
      <c r="AZ51" s="349"/>
      <c r="BA51" s="349"/>
    </row>
    <row r="52" spans="43:53" ht="15" customHeight="1">
      <c r="AQ52" s="349"/>
      <c r="AR52" s="349"/>
      <c r="AS52" s="349"/>
      <c r="AT52" s="360" t="str">
        <f t="shared" si="0"/>
        <v/>
      </c>
      <c r="AU52" s="349"/>
      <c r="AV52" s="349"/>
      <c r="AW52" s="349"/>
      <c r="AX52" s="349"/>
      <c r="AY52" s="349"/>
      <c r="AZ52" s="349"/>
      <c r="BA52" s="349"/>
    </row>
    <row r="53" spans="43:53" ht="15" customHeight="1">
      <c r="AQ53" s="349"/>
      <c r="AR53" s="349"/>
      <c r="AS53" s="349"/>
      <c r="AT53" s="360" t="str">
        <f t="shared" si="0"/>
        <v/>
      </c>
      <c r="AU53" s="349"/>
      <c r="AV53" s="349"/>
      <c r="AW53" s="349"/>
      <c r="AX53" s="349"/>
      <c r="AY53" s="349"/>
      <c r="AZ53" s="349"/>
      <c r="BA53" s="349"/>
    </row>
    <row r="54" spans="43:53" ht="15" customHeight="1">
      <c r="AQ54" s="349"/>
      <c r="AR54" s="349"/>
      <c r="AS54" s="349"/>
      <c r="AT54" s="360" t="str">
        <f t="shared" si="0"/>
        <v/>
      </c>
      <c r="AU54" s="349"/>
      <c r="AV54" s="349"/>
      <c r="AW54" s="349"/>
      <c r="AX54" s="349"/>
      <c r="AY54" s="349"/>
      <c r="AZ54" s="349"/>
      <c r="BA54" s="349"/>
    </row>
    <row r="55" spans="43:53" ht="15" customHeight="1">
      <c r="AQ55" s="349"/>
      <c r="AR55" s="349"/>
      <c r="AS55" s="349"/>
      <c r="AT55" s="360" t="str">
        <f t="shared" si="0"/>
        <v/>
      </c>
      <c r="AU55" s="349"/>
      <c r="AV55" s="349"/>
      <c r="AW55" s="349"/>
      <c r="AX55" s="349"/>
      <c r="AY55" s="349"/>
      <c r="AZ55" s="349"/>
      <c r="BA55" s="349"/>
    </row>
    <row r="56" spans="43:53" ht="15" customHeight="1">
      <c r="AQ56" s="349"/>
      <c r="AR56" s="349"/>
      <c r="AS56" s="349"/>
      <c r="AT56" s="360" t="str">
        <f t="shared" si="0"/>
        <v/>
      </c>
      <c r="AU56" s="349"/>
      <c r="AV56" s="349"/>
      <c r="AW56" s="349"/>
      <c r="AX56" s="349"/>
      <c r="AY56" s="349"/>
      <c r="AZ56" s="349"/>
      <c r="BA56" s="349"/>
    </row>
    <row r="57" spans="43:53" ht="15" customHeight="1">
      <c r="AQ57" s="349"/>
      <c r="AR57" s="349"/>
      <c r="AS57" s="349"/>
      <c r="AT57" s="360" t="str">
        <f t="shared" si="0"/>
        <v/>
      </c>
      <c r="AU57" s="349"/>
      <c r="AV57" s="349"/>
      <c r="AW57" s="349"/>
      <c r="AX57" s="349"/>
      <c r="AY57" s="349"/>
      <c r="AZ57" s="349"/>
      <c r="BA57" s="349"/>
    </row>
    <row r="58" spans="43:53" ht="15" customHeight="1">
      <c r="AQ58" s="349"/>
      <c r="AR58" s="349"/>
      <c r="AS58" s="349"/>
      <c r="AT58" s="360" t="str">
        <f t="shared" si="0"/>
        <v/>
      </c>
      <c r="AU58" s="349"/>
      <c r="AV58" s="349"/>
      <c r="AW58" s="349"/>
      <c r="AX58" s="349"/>
      <c r="AY58" s="349"/>
      <c r="AZ58" s="349"/>
      <c r="BA58" s="349"/>
    </row>
    <row r="59" spans="43:53" ht="15" customHeight="1">
      <c r="AQ59" s="349"/>
      <c r="AR59" s="349"/>
      <c r="AS59" s="349"/>
      <c r="AT59" s="360" t="str">
        <f t="shared" si="0"/>
        <v/>
      </c>
      <c r="AU59" s="349"/>
      <c r="AV59" s="349"/>
      <c r="AW59" s="349"/>
      <c r="AX59" s="349"/>
      <c r="AY59" s="349"/>
      <c r="AZ59" s="349"/>
      <c r="BA59" s="349"/>
    </row>
    <row r="60" spans="43:53" ht="15" customHeight="1">
      <c r="AQ60" s="349"/>
      <c r="AR60" s="349"/>
      <c r="AS60" s="349"/>
      <c r="AT60" s="360" t="str">
        <f t="shared" si="0"/>
        <v/>
      </c>
      <c r="AU60" s="349"/>
      <c r="AV60" s="349"/>
      <c r="AW60" s="349"/>
      <c r="AX60" s="349"/>
      <c r="AY60" s="349"/>
      <c r="AZ60" s="349"/>
      <c r="BA60" s="349"/>
    </row>
    <row r="61" spans="43:53" ht="15" customHeight="1">
      <c r="AQ61" s="349"/>
      <c r="AR61" s="349"/>
      <c r="AS61" s="349"/>
      <c r="AT61" s="360" t="str">
        <f t="shared" si="0"/>
        <v/>
      </c>
      <c r="AU61" s="349"/>
      <c r="AV61" s="349"/>
      <c r="AW61" s="349"/>
      <c r="AX61" s="349"/>
      <c r="AY61" s="349"/>
      <c r="AZ61" s="349"/>
      <c r="BA61" s="349"/>
    </row>
    <row r="62" spans="43:53" ht="15" customHeight="1">
      <c r="AQ62" s="349"/>
      <c r="AR62" s="349"/>
      <c r="AS62" s="349"/>
      <c r="AT62" s="360" t="str">
        <f t="shared" si="0"/>
        <v/>
      </c>
      <c r="AU62" s="349"/>
      <c r="AV62" s="349"/>
      <c r="AW62" s="349"/>
      <c r="AX62" s="349"/>
      <c r="AY62" s="349"/>
      <c r="AZ62" s="349"/>
      <c r="BA62" s="349"/>
    </row>
    <row r="63" spans="43:53" ht="15" customHeight="1">
      <c r="AQ63" s="349"/>
      <c r="AR63" s="349"/>
      <c r="AS63" s="349"/>
      <c r="AT63" s="360" t="str">
        <f t="shared" si="0"/>
        <v/>
      </c>
      <c r="AU63" s="349"/>
      <c r="AV63" s="349"/>
      <c r="AW63" s="349"/>
      <c r="AX63" s="349"/>
      <c r="AY63" s="349"/>
      <c r="AZ63" s="349"/>
      <c r="BA63" s="349"/>
    </row>
    <row r="64" spans="43:53" ht="15" customHeight="1">
      <c r="AQ64" s="349"/>
      <c r="AR64" s="349"/>
      <c r="AS64" s="349"/>
      <c r="AT64" s="360" t="str">
        <f t="shared" si="0"/>
        <v/>
      </c>
      <c r="AU64" s="349"/>
      <c r="AV64" s="349"/>
      <c r="AW64" s="349"/>
      <c r="AX64" s="349"/>
      <c r="AY64" s="349"/>
      <c r="AZ64" s="349"/>
      <c r="BA64" s="349"/>
    </row>
    <row r="65" spans="43:53" ht="15" customHeight="1">
      <c r="AQ65" s="349"/>
      <c r="AR65" s="349"/>
      <c r="AS65" s="349"/>
      <c r="AT65" s="360" t="str">
        <f t="shared" si="0"/>
        <v/>
      </c>
      <c r="AU65" s="349"/>
      <c r="AV65" s="349"/>
      <c r="AW65" s="349"/>
      <c r="AX65" s="349"/>
      <c r="AY65" s="349"/>
      <c r="AZ65" s="349"/>
      <c r="BA65" s="349"/>
    </row>
    <row r="66" spans="43:53" ht="15" customHeight="1">
      <c r="AQ66" s="349"/>
      <c r="AR66" s="349"/>
      <c r="AS66" s="349"/>
      <c r="AT66" s="360" t="str">
        <f t="shared" si="0"/>
        <v/>
      </c>
      <c r="AU66" s="349"/>
      <c r="AV66" s="349"/>
      <c r="AW66" s="349"/>
      <c r="AX66" s="349"/>
      <c r="AY66" s="349"/>
      <c r="AZ66" s="349"/>
      <c r="BA66" s="349"/>
    </row>
    <row r="67" spans="43:53" ht="15" customHeight="1">
      <c r="AQ67" s="349"/>
      <c r="AR67" s="349"/>
      <c r="AS67" s="349"/>
      <c r="AT67" s="360" t="str">
        <f t="shared" ref="AT67:AT79" si="1">IF(OR(AR67="",AS67=""),"",TEXT(WORKDAY(AS67,IF(AR67="Baja",3,IF(AR67="Media",5,0))),"dd-mmm"))</f>
        <v/>
      </c>
      <c r="AU67" s="349"/>
      <c r="AV67" s="349"/>
      <c r="AW67" s="349"/>
      <c r="AX67" s="349"/>
      <c r="AY67" s="349"/>
      <c r="AZ67" s="349"/>
      <c r="BA67" s="349"/>
    </row>
    <row r="68" spans="43:53" ht="15" customHeight="1">
      <c r="AQ68" s="349"/>
      <c r="AR68" s="349"/>
      <c r="AS68" s="349"/>
      <c r="AT68" s="360" t="str">
        <f t="shared" si="1"/>
        <v/>
      </c>
      <c r="AU68" s="349"/>
      <c r="AV68" s="349"/>
      <c r="AW68" s="349"/>
      <c r="AX68" s="349"/>
      <c r="AY68" s="349"/>
      <c r="AZ68" s="349"/>
      <c r="BA68" s="349"/>
    </row>
    <row r="69" spans="43:53" ht="15" customHeight="1">
      <c r="AQ69" s="349"/>
      <c r="AR69" s="349"/>
      <c r="AS69" s="349"/>
      <c r="AT69" s="360" t="str">
        <f t="shared" si="1"/>
        <v/>
      </c>
      <c r="AU69" s="349"/>
      <c r="AV69" s="349"/>
      <c r="AW69" s="349"/>
      <c r="AX69" s="349"/>
      <c r="AY69" s="349"/>
      <c r="AZ69" s="349"/>
      <c r="BA69" s="349"/>
    </row>
    <row r="70" spans="43:53" ht="15" customHeight="1">
      <c r="AQ70" s="349"/>
      <c r="AR70" s="349"/>
      <c r="AS70" s="349"/>
      <c r="AT70" s="360" t="str">
        <f t="shared" si="1"/>
        <v/>
      </c>
      <c r="AU70" s="349"/>
      <c r="AV70" s="349"/>
      <c r="AW70" s="349"/>
      <c r="AX70" s="349"/>
      <c r="AY70" s="349"/>
      <c r="AZ70" s="349"/>
      <c r="BA70" s="349"/>
    </row>
    <row r="71" spans="43:53" ht="15" customHeight="1">
      <c r="AQ71" s="349"/>
      <c r="AR71" s="349"/>
      <c r="AS71" s="349"/>
      <c r="AT71" s="360" t="str">
        <f t="shared" si="1"/>
        <v/>
      </c>
      <c r="AU71" s="349"/>
      <c r="AV71" s="349"/>
      <c r="AW71" s="349"/>
      <c r="AX71" s="349"/>
      <c r="AY71" s="349"/>
      <c r="AZ71" s="349"/>
      <c r="BA71" s="349"/>
    </row>
    <row r="72" spans="43:53" ht="15" customHeight="1">
      <c r="AQ72" s="349"/>
      <c r="AR72" s="349"/>
      <c r="AS72" s="349"/>
      <c r="AT72" s="360" t="str">
        <f t="shared" si="1"/>
        <v/>
      </c>
      <c r="AU72" s="349"/>
      <c r="AV72" s="349"/>
      <c r="AW72" s="349"/>
      <c r="AX72" s="349"/>
      <c r="AY72" s="349"/>
      <c r="AZ72" s="349"/>
      <c r="BA72" s="349"/>
    </row>
    <row r="73" spans="43:53" ht="15" customHeight="1">
      <c r="AQ73" s="349"/>
      <c r="AR73" s="349"/>
      <c r="AS73" s="349"/>
      <c r="AT73" s="360" t="str">
        <f t="shared" si="1"/>
        <v/>
      </c>
      <c r="AU73" s="349"/>
      <c r="AV73" s="349"/>
      <c r="AW73" s="349"/>
      <c r="AX73" s="349"/>
      <c r="AY73" s="349"/>
      <c r="AZ73" s="349"/>
      <c r="BA73" s="349"/>
    </row>
    <row r="74" spans="43:53" ht="15" customHeight="1">
      <c r="AQ74" s="349"/>
      <c r="AR74" s="349"/>
      <c r="AS74" s="349"/>
      <c r="AT74" s="360" t="str">
        <f t="shared" si="1"/>
        <v/>
      </c>
      <c r="AU74" s="349"/>
      <c r="AV74" s="349"/>
      <c r="AW74" s="349"/>
      <c r="AX74" s="349"/>
      <c r="AY74" s="349"/>
      <c r="AZ74" s="349"/>
      <c r="BA74" s="349"/>
    </row>
    <row r="75" spans="43:53" ht="15" customHeight="1">
      <c r="AQ75" s="349"/>
      <c r="AR75" s="349"/>
      <c r="AS75" s="349"/>
      <c r="AT75" s="360" t="str">
        <f t="shared" si="1"/>
        <v/>
      </c>
      <c r="AU75" s="349"/>
      <c r="AV75" s="349"/>
      <c r="AW75" s="349"/>
      <c r="AX75" s="349"/>
      <c r="AY75" s="349"/>
      <c r="AZ75" s="349"/>
      <c r="BA75" s="349"/>
    </row>
    <row r="76" spans="43:53" ht="15" customHeight="1">
      <c r="AQ76" s="349"/>
      <c r="AR76" s="349"/>
      <c r="AS76" s="349"/>
      <c r="AT76" s="360" t="str">
        <f t="shared" si="1"/>
        <v/>
      </c>
      <c r="AU76" s="349"/>
      <c r="AV76" s="349"/>
      <c r="AW76" s="349"/>
      <c r="AX76" s="349"/>
      <c r="AY76" s="349"/>
      <c r="AZ76" s="349"/>
      <c r="BA76" s="349"/>
    </row>
    <row r="77" spans="43:53" ht="15" customHeight="1">
      <c r="AQ77" s="349"/>
      <c r="AR77" s="349"/>
      <c r="AS77" s="349"/>
      <c r="AT77" s="360" t="str">
        <f t="shared" si="1"/>
        <v/>
      </c>
      <c r="AU77" s="349"/>
      <c r="AV77" s="349"/>
      <c r="AW77" s="349"/>
      <c r="AX77" s="349"/>
      <c r="AY77" s="349"/>
      <c r="AZ77" s="349"/>
      <c r="BA77" s="349"/>
    </row>
    <row r="78" spans="43:53" ht="15" customHeight="1">
      <c r="AQ78" s="349"/>
      <c r="AR78" s="349"/>
      <c r="AS78" s="349"/>
      <c r="AT78" s="360" t="str">
        <f t="shared" si="1"/>
        <v/>
      </c>
      <c r="AU78" s="349"/>
      <c r="AV78" s="349"/>
      <c r="AW78" s="349"/>
      <c r="AX78" s="349"/>
      <c r="AY78" s="349"/>
      <c r="AZ78" s="349"/>
      <c r="BA78" s="349"/>
    </row>
    <row r="79" spans="43:53" ht="15" customHeight="1">
      <c r="AQ79" s="349"/>
      <c r="AR79" s="349"/>
      <c r="AS79" s="349"/>
      <c r="AT79" s="360" t="str">
        <f t="shared" si="1"/>
        <v/>
      </c>
      <c r="AU79" s="349"/>
      <c r="AV79" s="349"/>
      <c r="AW79" s="349"/>
      <c r="AX79" s="349"/>
      <c r="AY79" s="349"/>
      <c r="AZ79" s="349"/>
      <c r="BA79" s="349"/>
    </row>
  </sheetData>
  <sheetProtection algorithmName="SHA-512" hashValue="3xJLfWlvhzC2u91IfSUVAwXdd6pHva4nsZvwyDR9Qyp/GZeD2AXwBI+rA9SKCSRFgCqmbvmHQT4l5SoWc5APeQ==" saltValue="AXS5JYMzmxyV8hkLQe1PQQ==" spinCount="100000" sheet="1" autoFilter="0"/>
  <protectedRanges>
    <protectedRange algorithmName="SHA-512" hashValue="22rEZDOLaaAzExp0xxQCGNby3L6gXjGHIg9yH60f4Eq8XFziCgY0/JIYc2E2Nq4g+VRVZfuCR88Vp60KM5L1Fw==" saltValue="qJpW/Ecdk5+EDugQ3hU7fw==" spinCount="100000" sqref="A2:AA2" name="Rango1_8"/>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BD14" xr:uid="{1BDEB11F-92C2-49BC-B4DE-E9A1371879BB}">
    <sortState xmlns:xlrd2="http://schemas.microsoft.com/office/spreadsheetml/2017/richdata2" ref="A2:BD10">
      <sortCondition ref="A1:A10"/>
    </sortState>
  </autoFilter>
  <dataValidations count="3">
    <dataValidation type="list" allowBlank="1" showInputMessage="1" showErrorMessage="1" errorTitle="Valor no válido" error="Por favor seleccione una opción de la lista: Pendiente o Finalizado" sqref="AZ2:AZ79" xr:uid="{A7CBC9EA-EE49-4CA4-A8B8-2B9B890F3104}">
      <formula1>"Pendiente,Finalizado"</formula1>
    </dataValidation>
    <dataValidation type="list" allowBlank="1" showInputMessage="1" showErrorMessage="1" errorTitle="Valor no válido" error="Por favor seleccione una opción de la lista: Baja o Media." sqref="AR2:AR79" xr:uid="{E0FAA098-44C1-4578-8751-DAE26DC0E86B}">
      <formula1>"Baja,Media"</formula1>
    </dataValidation>
    <dataValidation type="list" allowBlank="1" showInputMessage="1" showErrorMessage="1" errorTitle="Valor no válido" error="Por favor seleccione una opción de la lista desplegable." sqref="AQ2:AQ79" xr:uid="{1DC5EA75-F642-4C6F-BEE7-E057BB08940E}">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BC79"/>
  <sheetViews>
    <sheetView zoomScale="74" zoomScaleNormal="70" workbookViewId="0">
      <pane xSplit="6" ySplit="1" topLeftCell="AD6" activePane="bottomRight" state="frozen"/>
      <selection pane="bottomRight" activeCell="AK12" sqref="AK12"/>
      <selection pane="bottomLeft"/>
      <selection pane="topRight"/>
    </sheetView>
  </sheetViews>
  <sheetFormatPr defaultColWidth="10.85546875" defaultRowHeight="15" customHeight="1"/>
  <cols>
    <col min="1" max="1" width="8.42578125" style="10" customWidth="1"/>
    <col min="2" max="2" width="15.140625" style="94" customWidth="1"/>
    <col min="3" max="3" width="16" style="94" customWidth="1"/>
    <col min="4" max="5" width="8" style="10" customWidth="1"/>
    <col min="6" max="6" width="28.85546875" style="59" customWidth="1"/>
    <col min="7" max="7" width="70.42578125" style="184" customWidth="1"/>
    <col min="8" max="8" width="13.140625" style="10" customWidth="1"/>
    <col min="9" max="9" width="24.42578125" style="10" customWidth="1"/>
    <col min="10" max="11" width="25.42578125" style="10" customWidth="1"/>
    <col min="12" max="12" width="21.85546875" style="10" customWidth="1"/>
    <col min="13" max="13" width="19" style="185" customWidth="1"/>
    <col min="14" max="14" width="22.140625" style="10" customWidth="1"/>
    <col min="15" max="15" width="21.5703125" style="10" customWidth="1"/>
    <col min="16" max="16" width="14.28515625" style="10" customWidth="1"/>
    <col min="17" max="17" width="19" style="10" customWidth="1"/>
    <col min="18" max="18" width="61.42578125" style="10" customWidth="1"/>
    <col min="19" max="19" width="47.7109375" style="10" customWidth="1"/>
    <col min="20" max="20" width="54.140625" style="10" customWidth="1"/>
    <col min="21" max="21" width="29" style="10" customWidth="1"/>
    <col min="22" max="22" width="25.140625" style="10" customWidth="1"/>
    <col min="23" max="23" width="16.85546875" style="10" customWidth="1"/>
    <col min="24" max="24" width="107.42578125" style="10" customWidth="1"/>
    <col min="25" max="25" width="90" style="10" customWidth="1"/>
    <col min="26" max="26" width="63.140625" style="65" customWidth="1"/>
    <col min="27" max="27" width="13.140625" style="65" customWidth="1"/>
    <col min="28" max="29" width="25.85546875" style="10" customWidth="1"/>
    <col min="30" max="30" width="25.85546875" style="58" customWidth="1"/>
    <col min="31" max="31" width="16.42578125" style="10" customWidth="1"/>
    <col min="32" max="33" width="16.42578125" style="58" customWidth="1"/>
    <col min="34" max="34" width="16.42578125" style="10" customWidth="1"/>
    <col min="35" max="35" width="17.85546875" style="217" customWidth="1"/>
    <col min="36" max="36" width="21.28515625" style="10" customWidth="1"/>
    <col min="37" max="37" width="67.140625" style="59" customWidth="1"/>
    <col min="38" max="38" width="17" style="10" customWidth="1"/>
    <col min="39" max="39" width="21.85546875" style="10" customWidth="1"/>
    <col min="40" max="40" width="17.7109375" style="10" customWidth="1"/>
    <col min="41" max="41" width="13.42578125" style="4" customWidth="1"/>
    <col min="42" max="42" width="53" style="59" customWidth="1"/>
    <col min="43" max="43" width="27.85546875" style="10" customWidth="1"/>
    <col min="44" max="44" width="14.7109375" style="10" customWidth="1"/>
    <col min="45" max="45" width="18" style="10" customWidth="1"/>
    <col min="46" max="46" width="20.28515625" style="361" customWidth="1"/>
    <col min="47" max="47" width="23.5703125" style="10" customWidth="1"/>
    <col min="48" max="48" width="22" style="10" customWidth="1"/>
    <col min="49" max="49" width="15.140625" style="10" customWidth="1"/>
    <col min="50" max="50" width="18" style="10" customWidth="1"/>
    <col min="51" max="51" width="21.85546875" style="10" customWidth="1"/>
    <col min="52" max="52" width="20.7109375" style="10" customWidth="1"/>
    <col min="53" max="53" width="18.42578125" style="10" customWidth="1"/>
    <col min="54" max="54" width="17.42578125" style="65" customWidth="1"/>
    <col min="55" max="55" width="66.28515625" style="69" customWidth="1"/>
    <col min="56" max="56" width="26.42578125" style="10" customWidth="1"/>
    <col min="57" max="16384" width="10.85546875" style="10"/>
  </cols>
  <sheetData>
    <row r="1" spans="1:55" s="59" customFormat="1" ht="66" customHeight="1">
      <c r="A1" s="159" t="s">
        <v>5</v>
      </c>
      <c r="B1" s="160" t="s">
        <v>6</v>
      </c>
      <c r="C1" s="160" t="s">
        <v>7</v>
      </c>
      <c r="D1" s="159" t="s">
        <v>8</v>
      </c>
      <c r="E1" s="159" t="s">
        <v>9</v>
      </c>
      <c r="F1" s="159" t="s">
        <v>10</v>
      </c>
      <c r="G1" s="159" t="s">
        <v>11</v>
      </c>
      <c r="H1" s="159" t="s">
        <v>12</v>
      </c>
      <c r="I1" s="159" t="s">
        <v>13</v>
      </c>
      <c r="J1" s="159" t="s">
        <v>543</v>
      </c>
      <c r="K1" s="159" t="s">
        <v>170</v>
      </c>
      <c r="L1" s="159" t="s">
        <v>16</v>
      </c>
      <c r="M1" s="160" t="s">
        <v>17</v>
      </c>
      <c r="N1" s="159" t="s">
        <v>18</v>
      </c>
      <c r="O1" s="159" t="s">
        <v>171</v>
      </c>
      <c r="P1" s="159" t="s">
        <v>20</v>
      </c>
      <c r="Q1" s="159" t="s">
        <v>21</v>
      </c>
      <c r="R1" s="159" t="s">
        <v>22</v>
      </c>
      <c r="S1" s="159" t="s">
        <v>23</v>
      </c>
      <c r="T1" s="159" t="s">
        <v>24</v>
      </c>
      <c r="U1" s="159" t="s">
        <v>25</v>
      </c>
      <c r="V1" s="159" t="s">
        <v>26</v>
      </c>
      <c r="W1" s="159" t="s">
        <v>173</v>
      </c>
      <c r="X1" s="159" t="s">
        <v>559</v>
      </c>
      <c r="Y1" s="159" t="s">
        <v>29</v>
      </c>
      <c r="Z1" s="177" t="s">
        <v>174</v>
      </c>
      <c r="AA1" s="177" t="s">
        <v>32</v>
      </c>
      <c r="AB1" s="175" t="s">
        <v>33</v>
      </c>
      <c r="AC1" s="175" t="s">
        <v>34</v>
      </c>
      <c r="AD1" s="225" t="s">
        <v>35</v>
      </c>
      <c r="AE1" s="208" t="s">
        <v>36</v>
      </c>
      <c r="AF1" s="176" t="s">
        <v>37</v>
      </c>
      <c r="AG1" s="176" t="s">
        <v>38</v>
      </c>
      <c r="AH1" s="208" t="s">
        <v>39</v>
      </c>
      <c r="AI1" s="210" t="s">
        <v>40</v>
      </c>
      <c r="AJ1" s="211" t="s">
        <v>41</v>
      </c>
      <c r="AK1" s="208" t="s">
        <v>42</v>
      </c>
      <c r="AL1" s="208" t="s">
        <v>43</v>
      </c>
      <c r="AM1" s="208" t="s">
        <v>1763</v>
      </c>
      <c r="AN1" s="166" t="s">
        <v>178</v>
      </c>
      <c r="AO1" s="208" t="s">
        <v>45</v>
      </c>
      <c r="AP1" s="208" t="s">
        <v>46</v>
      </c>
      <c r="AQ1" s="356" t="s">
        <v>535</v>
      </c>
      <c r="AR1" s="356" t="s">
        <v>536</v>
      </c>
      <c r="AS1" s="356" t="s">
        <v>537</v>
      </c>
      <c r="AT1" s="358" t="s">
        <v>538</v>
      </c>
      <c r="AU1" s="362" t="s">
        <v>39</v>
      </c>
      <c r="AV1" s="363" t="s">
        <v>176</v>
      </c>
      <c r="AW1" s="362" t="s">
        <v>177</v>
      </c>
      <c r="AX1" s="362" t="s">
        <v>43</v>
      </c>
      <c r="AY1" s="362" t="s">
        <v>539</v>
      </c>
      <c r="AZ1" s="362" t="s">
        <v>540</v>
      </c>
      <c r="BA1" s="362" t="s">
        <v>46</v>
      </c>
      <c r="BB1" s="200" t="s">
        <v>1764</v>
      </c>
      <c r="BC1" s="200" t="s">
        <v>46</v>
      </c>
    </row>
    <row r="2" spans="1:55" ht="41.25" customHeight="1">
      <c r="A2" s="234">
        <v>54</v>
      </c>
      <c r="B2" s="240">
        <v>46070.903935185182</v>
      </c>
      <c r="C2" s="240">
        <v>46070.907430555599</v>
      </c>
      <c r="D2" s="234" t="s">
        <v>1371</v>
      </c>
      <c r="E2" s="234" t="s">
        <v>1372</v>
      </c>
      <c r="F2" s="234" t="s">
        <v>1373</v>
      </c>
      <c r="G2" s="234" t="s">
        <v>1385</v>
      </c>
      <c r="H2" s="234" t="s">
        <v>342</v>
      </c>
      <c r="I2" s="234" t="s">
        <v>197</v>
      </c>
      <c r="J2" s="344" t="s">
        <v>1374</v>
      </c>
      <c r="K2" s="234"/>
      <c r="L2" s="240" t="s">
        <v>199</v>
      </c>
      <c r="M2" s="240">
        <v>46203</v>
      </c>
      <c r="N2" s="234" t="s">
        <v>83</v>
      </c>
      <c r="O2" s="234" t="s">
        <v>244</v>
      </c>
      <c r="P2" s="234"/>
      <c r="Q2" s="283" t="s">
        <v>79</v>
      </c>
      <c r="R2" s="234" t="s">
        <v>1377</v>
      </c>
      <c r="S2" s="234" t="s">
        <v>1379</v>
      </c>
      <c r="T2" s="234" t="s">
        <v>1378</v>
      </c>
      <c r="U2" s="234" t="s">
        <v>130</v>
      </c>
      <c r="V2" s="265" t="s">
        <v>1285</v>
      </c>
      <c r="W2" s="234" t="s">
        <v>188</v>
      </c>
      <c r="X2" s="264" t="s">
        <v>84</v>
      </c>
      <c r="Y2" s="234" t="s">
        <v>1387</v>
      </c>
      <c r="Z2" s="245" t="s">
        <v>1388</v>
      </c>
      <c r="AA2" s="245"/>
      <c r="AB2" s="250" t="s">
        <v>251</v>
      </c>
      <c r="AC2" s="250" t="s">
        <v>205</v>
      </c>
      <c r="AD2" s="254">
        <v>46129</v>
      </c>
      <c r="AE2" s="250" t="s">
        <v>2</v>
      </c>
      <c r="AF2" s="254">
        <v>46188</v>
      </c>
      <c r="AG2" s="254">
        <v>46216</v>
      </c>
      <c r="AH2" s="250">
        <v>3</v>
      </c>
      <c r="AI2" s="251"/>
      <c r="AJ2" s="252">
        <v>44000</v>
      </c>
      <c r="AK2" s="253" t="s">
        <v>1765</v>
      </c>
      <c r="AL2" s="252" t="s">
        <v>207</v>
      </c>
      <c r="AM2" s="250" t="s">
        <v>208</v>
      </c>
      <c r="AN2" s="250" t="s">
        <v>224</v>
      </c>
      <c r="AO2" s="250" t="s">
        <v>403</v>
      </c>
      <c r="AP2" s="250" t="s">
        <v>1766</v>
      </c>
      <c r="AQ2" s="349"/>
      <c r="AR2" s="349"/>
      <c r="AS2" s="349"/>
      <c r="AT2" s="359" t="str">
        <f>IF(OR(AR2="",AS2=""),"",TEXT(WORKDAY(AS2,IF(AR2="Baja",3,IF(AR2="Media",5,0))),"dd-mmm"))</f>
        <v/>
      </c>
      <c r="AU2" s="349"/>
      <c r="AV2" s="349"/>
      <c r="AW2" s="349"/>
      <c r="AX2" s="349"/>
      <c r="AY2" s="349"/>
      <c r="AZ2" s="349"/>
      <c r="BA2" s="349"/>
      <c r="BB2" s="167"/>
      <c r="BC2" s="168"/>
    </row>
    <row r="3" spans="1:55" ht="65.25" customHeight="1">
      <c r="A3" s="234">
        <v>71</v>
      </c>
      <c r="B3" s="240">
        <v>46093.733761574098</v>
      </c>
      <c r="C3" s="240">
        <v>46093.827060185198</v>
      </c>
      <c r="D3" s="234" t="s">
        <v>494</v>
      </c>
      <c r="E3" s="234" t="s">
        <v>495</v>
      </c>
      <c r="F3" s="234" t="s">
        <v>1767</v>
      </c>
      <c r="G3" s="234" t="s">
        <v>1768</v>
      </c>
      <c r="H3" s="234" t="s">
        <v>1769</v>
      </c>
      <c r="I3" s="234" t="s">
        <v>197</v>
      </c>
      <c r="J3" s="344" t="s">
        <v>498</v>
      </c>
      <c r="K3" s="234"/>
      <c r="L3" s="240" t="s">
        <v>1770</v>
      </c>
      <c r="M3" s="240">
        <v>46142</v>
      </c>
      <c r="N3" s="234" t="s">
        <v>57</v>
      </c>
      <c r="O3" s="234">
        <v>0</v>
      </c>
      <c r="P3" s="234"/>
      <c r="Q3" s="283" t="s">
        <v>79</v>
      </c>
      <c r="R3" s="234" t="s">
        <v>1771</v>
      </c>
      <c r="S3" s="234" t="s">
        <v>1772</v>
      </c>
      <c r="T3" s="234" t="s">
        <v>1773</v>
      </c>
      <c r="U3" s="234" t="s">
        <v>1772</v>
      </c>
      <c r="V3" s="265" t="s">
        <v>1285</v>
      </c>
      <c r="W3" s="234" t="s">
        <v>188</v>
      </c>
      <c r="X3" s="264" t="s">
        <v>149</v>
      </c>
      <c r="Y3" s="234" t="s">
        <v>1774</v>
      </c>
      <c r="Z3" s="245" t="s">
        <v>1775</v>
      </c>
      <c r="AA3" s="245"/>
      <c r="AB3" s="250" t="s">
        <v>390</v>
      </c>
      <c r="AC3" s="250" t="s">
        <v>1649</v>
      </c>
      <c r="AD3" s="254">
        <v>46112</v>
      </c>
      <c r="AE3" s="250" t="s">
        <v>2</v>
      </c>
      <c r="AF3" s="254">
        <v>46125</v>
      </c>
      <c r="AG3" s="254">
        <v>46157</v>
      </c>
      <c r="AH3" s="250">
        <v>4.3</v>
      </c>
      <c r="AI3" s="251">
        <v>3360</v>
      </c>
      <c r="AJ3" s="252">
        <v>9856</v>
      </c>
      <c r="AK3" s="253" t="s">
        <v>1776</v>
      </c>
      <c r="AL3" s="252" t="s">
        <v>1777</v>
      </c>
      <c r="AM3" s="250" t="s">
        <v>208</v>
      </c>
      <c r="AN3" s="250" t="s">
        <v>224</v>
      </c>
      <c r="AO3" s="250" t="s">
        <v>403</v>
      </c>
      <c r="AP3" s="250" t="s">
        <v>1778</v>
      </c>
      <c r="AQ3" s="349"/>
      <c r="AR3" s="349"/>
      <c r="AS3" s="364"/>
      <c r="AT3" s="359" t="str">
        <f>IF(OR(AR3="",AS3=""),"",TEXT(WORKDAY(AS3,IF(AR3="Baja",3,IF(AR3="Media",5,0))),"dd-mmm"))</f>
        <v/>
      </c>
      <c r="AU3" s="349"/>
      <c r="AV3" s="349"/>
      <c r="AW3" s="349"/>
      <c r="AX3" s="349"/>
      <c r="AY3" s="349"/>
      <c r="AZ3" s="349"/>
      <c r="BA3" s="349"/>
      <c r="BB3" s="167"/>
      <c r="BC3" s="168" t="s">
        <v>1779</v>
      </c>
    </row>
    <row r="4" spans="1:55" ht="41.25" customHeight="1">
      <c r="A4" s="234">
        <v>94</v>
      </c>
      <c r="B4" s="240">
        <v>46119.432314814803</v>
      </c>
      <c r="C4" s="240">
        <v>46119.464699074102</v>
      </c>
      <c r="D4" s="234" t="s">
        <v>1752</v>
      </c>
      <c r="E4" s="234" t="s">
        <v>1181</v>
      </c>
      <c r="F4" s="234" t="s">
        <v>1780</v>
      </c>
      <c r="G4" s="234" t="s">
        <v>1781</v>
      </c>
      <c r="H4" s="234" t="s">
        <v>158</v>
      </c>
      <c r="I4" s="234" t="s">
        <v>393</v>
      </c>
      <c r="J4" s="344" t="s">
        <v>1782</v>
      </c>
      <c r="K4" s="234"/>
      <c r="L4" s="240" t="s">
        <v>161</v>
      </c>
      <c r="M4" s="240">
        <v>46203</v>
      </c>
      <c r="N4" s="234" t="s">
        <v>57</v>
      </c>
      <c r="O4" s="234">
        <v>0</v>
      </c>
      <c r="P4" s="234"/>
      <c r="Q4" s="283" t="s">
        <v>79</v>
      </c>
      <c r="R4" s="234" t="s">
        <v>1783</v>
      </c>
      <c r="S4" s="234" t="s">
        <v>1784</v>
      </c>
      <c r="T4" s="234" t="s">
        <v>1785</v>
      </c>
      <c r="U4" s="234" t="s">
        <v>130</v>
      </c>
      <c r="V4" s="265" t="s">
        <v>977</v>
      </c>
      <c r="W4" s="234" t="s">
        <v>188</v>
      </c>
      <c r="X4" s="264" t="s">
        <v>149</v>
      </c>
      <c r="Y4" s="234" t="s">
        <v>1786</v>
      </c>
      <c r="Z4" s="245" t="s">
        <v>1787</v>
      </c>
      <c r="AA4" s="245">
        <v>0.75</v>
      </c>
      <c r="AB4" s="250" t="s">
        <v>390</v>
      </c>
      <c r="AC4" s="250" t="s">
        <v>68</v>
      </c>
      <c r="AD4" s="254">
        <v>46128</v>
      </c>
      <c r="AE4" s="250" t="s">
        <v>2</v>
      </c>
      <c r="AF4" s="254">
        <v>46128</v>
      </c>
      <c r="AG4" s="254">
        <v>46177</v>
      </c>
      <c r="AH4" s="250">
        <v>7</v>
      </c>
      <c r="AI4" s="252"/>
      <c r="AJ4" s="252">
        <v>107175</v>
      </c>
      <c r="AK4" s="253"/>
      <c r="AL4" s="252" t="s">
        <v>1788</v>
      </c>
      <c r="AM4" s="250" t="s">
        <v>208</v>
      </c>
      <c r="AN4" s="250" t="s">
        <v>224</v>
      </c>
      <c r="AO4" s="250" t="s">
        <v>403</v>
      </c>
      <c r="AP4" s="250" t="s">
        <v>1789</v>
      </c>
      <c r="AQ4" s="349"/>
      <c r="AR4" s="349"/>
      <c r="AS4" s="349"/>
      <c r="AT4" s="359" t="str">
        <f>IF(OR(AR4="",AS4=""),"",TEXT(WORKDAY(AS4,IF(AR4="Baja",3,IF(AR4="Media",5,0))),"dd-mmm"))</f>
        <v/>
      </c>
      <c r="AU4" s="349"/>
      <c r="AV4" s="349"/>
      <c r="AW4" s="349"/>
      <c r="AX4" s="349"/>
      <c r="AY4" s="349"/>
      <c r="AZ4" s="349"/>
      <c r="BA4" s="349"/>
      <c r="BB4" s="167"/>
      <c r="BC4" s="168"/>
    </row>
    <row r="5" spans="1:55" ht="137.25" customHeight="1">
      <c r="A5" s="234">
        <v>113</v>
      </c>
      <c r="B5" s="240">
        <v>46135.407118055598</v>
      </c>
      <c r="C5" s="240">
        <v>46135.410821759302</v>
      </c>
      <c r="D5" s="234" t="s">
        <v>237</v>
      </c>
      <c r="E5" s="234" t="s">
        <v>238</v>
      </c>
      <c r="F5" s="234" t="s">
        <v>1790</v>
      </c>
      <c r="G5" s="234" t="s">
        <v>1791</v>
      </c>
      <c r="H5" s="234" t="s">
        <v>214</v>
      </c>
      <c r="I5" s="234" t="s">
        <v>241</v>
      </c>
      <c r="J5" s="344" t="s">
        <v>1792</v>
      </c>
      <c r="K5" s="234"/>
      <c r="L5" s="240" t="s">
        <v>199</v>
      </c>
      <c r="M5" s="240">
        <v>46172</v>
      </c>
      <c r="N5" s="234" t="s">
        <v>83</v>
      </c>
      <c r="O5" s="234" t="s">
        <v>487</v>
      </c>
      <c r="P5" s="234">
        <v>77760</v>
      </c>
      <c r="Q5" s="283" t="s">
        <v>79</v>
      </c>
      <c r="R5" s="234" t="s">
        <v>1793</v>
      </c>
      <c r="S5" s="234" t="s">
        <v>1794</v>
      </c>
      <c r="T5" s="234" t="s">
        <v>1795</v>
      </c>
      <c r="U5" s="234" t="s">
        <v>130</v>
      </c>
      <c r="V5" s="265" t="s">
        <v>248</v>
      </c>
      <c r="W5" s="234" t="s">
        <v>188</v>
      </c>
      <c r="X5" s="264" t="s">
        <v>166</v>
      </c>
      <c r="Y5" s="234" t="s">
        <v>1796</v>
      </c>
      <c r="Z5" s="245">
        <v>0</v>
      </c>
      <c r="AA5" s="245">
        <v>0.65</v>
      </c>
      <c r="AB5" s="250" t="s">
        <v>1797</v>
      </c>
      <c r="AC5" s="250" t="s">
        <v>68</v>
      </c>
      <c r="AD5" s="254">
        <v>46142</v>
      </c>
      <c r="AE5" s="250" t="s">
        <v>3</v>
      </c>
      <c r="AF5" s="254"/>
      <c r="AG5" s="254" t="s">
        <v>525</v>
      </c>
      <c r="AH5" s="250" t="s">
        <v>1798</v>
      </c>
      <c r="AI5" s="252" t="s">
        <v>1799</v>
      </c>
      <c r="AJ5" s="252" t="s">
        <v>1800</v>
      </c>
      <c r="AK5" s="253" t="s">
        <v>1801</v>
      </c>
      <c r="AL5" s="252" t="s">
        <v>223</v>
      </c>
      <c r="AM5" s="250"/>
      <c r="AN5" s="250" t="s">
        <v>224</v>
      </c>
      <c r="AO5" s="250" t="s">
        <v>1802</v>
      </c>
      <c r="AP5" s="250"/>
      <c r="AQ5" s="349"/>
      <c r="AR5" s="349"/>
      <c r="AS5" s="349"/>
      <c r="AT5" s="359" t="str">
        <f>IF(OR(AR5="",AS5=""),"",TEXT(WORKDAY(AS5,IF(AR5="Baja",3,IF(AR5="Media",5,0))),"dd-mmm"))</f>
        <v/>
      </c>
      <c r="AU5" s="349"/>
      <c r="AV5" s="349"/>
      <c r="AW5" s="349"/>
      <c r="AX5" s="349"/>
      <c r="AY5" s="349"/>
      <c r="AZ5" s="349"/>
      <c r="BA5" s="349"/>
      <c r="BB5" s="167"/>
      <c r="BC5" s="168" t="s">
        <v>1803</v>
      </c>
    </row>
    <row r="6" spans="1:55" ht="63" customHeight="1">
      <c r="A6" s="234">
        <v>117</v>
      </c>
      <c r="B6" s="240">
        <v>46139.615277777775</v>
      </c>
      <c r="C6" s="240">
        <v>46139.628472222219</v>
      </c>
      <c r="D6" s="234" t="s">
        <v>124</v>
      </c>
      <c r="E6" s="234" t="s">
        <v>125</v>
      </c>
      <c r="F6" s="234" t="s">
        <v>1804</v>
      </c>
      <c r="G6" s="234" t="s">
        <v>1805</v>
      </c>
      <c r="H6" s="234" t="s">
        <v>342</v>
      </c>
      <c r="I6" s="234" t="s">
        <v>636</v>
      </c>
      <c r="J6" s="344" t="s">
        <v>1806</v>
      </c>
      <c r="K6" s="234"/>
      <c r="L6" s="240" t="s">
        <v>161</v>
      </c>
      <c r="M6" s="240">
        <v>46172</v>
      </c>
      <c r="N6" s="234" t="s">
        <v>57</v>
      </c>
      <c r="O6" s="234"/>
      <c r="P6" s="234"/>
      <c r="Q6" s="283" t="s">
        <v>79</v>
      </c>
      <c r="R6" s="234" t="s">
        <v>1807</v>
      </c>
      <c r="S6" s="234" t="s">
        <v>1808</v>
      </c>
      <c r="T6" s="234" t="s">
        <v>1809</v>
      </c>
      <c r="U6" s="234" t="s">
        <v>370</v>
      </c>
      <c r="V6" s="265" t="s">
        <v>63</v>
      </c>
      <c r="W6" s="234" t="s">
        <v>188</v>
      </c>
      <c r="X6" s="264" t="s">
        <v>166</v>
      </c>
      <c r="Y6" s="234" t="s">
        <v>1810</v>
      </c>
      <c r="Z6" s="245"/>
      <c r="AA6" s="245"/>
      <c r="AB6" s="250" t="s">
        <v>390</v>
      </c>
      <c r="AC6" s="250" t="s">
        <v>68</v>
      </c>
      <c r="AD6" s="254">
        <v>46163</v>
      </c>
      <c r="AE6" s="250" t="s">
        <v>3</v>
      </c>
      <c r="AF6" s="254">
        <v>46163</v>
      </c>
      <c r="AG6" s="254">
        <v>46163</v>
      </c>
      <c r="AH6" s="250">
        <v>4</v>
      </c>
      <c r="AI6" s="251">
        <v>19000</v>
      </c>
      <c r="AJ6" s="252">
        <v>65000</v>
      </c>
      <c r="AK6" s="253" t="s">
        <v>1811</v>
      </c>
      <c r="AL6" s="252" t="s">
        <v>207</v>
      </c>
      <c r="AM6" s="250" t="s">
        <v>208</v>
      </c>
      <c r="AN6" s="250" t="s">
        <v>224</v>
      </c>
      <c r="AO6" s="250" t="s">
        <v>403</v>
      </c>
      <c r="AP6" s="250" t="s">
        <v>1812</v>
      </c>
      <c r="AQ6" s="349"/>
      <c r="AR6" s="349"/>
      <c r="AS6" s="364"/>
      <c r="AT6" s="359" t="str">
        <f>IF(OR(AR6="",AS6=""),"",TEXT(WORKDAY(AS6,IF(AR6="Baja",3,IF(AR6="Media",5,0))),"dd-mmm"))</f>
        <v/>
      </c>
      <c r="AU6" s="349"/>
      <c r="AV6" s="349"/>
      <c r="AW6" s="349"/>
      <c r="AX6" s="349"/>
      <c r="AY6" s="349"/>
      <c r="AZ6" s="349"/>
      <c r="BA6" s="349"/>
      <c r="BB6" s="167"/>
      <c r="BC6" s="168" t="s">
        <v>1813</v>
      </c>
    </row>
    <row r="7" spans="1:55" ht="79.5" customHeight="1">
      <c r="A7" s="234">
        <v>138</v>
      </c>
      <c r="B7" s="240">
        <v>46149.350358796299</v>
      </c>
      <c r="C7" s="240">
        <v>46149.484409722201</v>
      </c>
      <c r="D7" s="234" t="s">
        <v>154</v>
      </c>
      <c r="E7" s="234" t="s">
        <v>155</v>
      </c>
      <c r="F7" s="234" t="s">
        <v>1814</v>
      </c>
      <c r="G7" s="234" t="s">
        <v>1815</v>
      </c>
      <c r="H7" s="234" t="s">
        <v>75</v>
      </c>
      <c r="I7" s="234" t="s">
        <v>159</v>
      </c>
      <c r="J7" s="344" t="s">
        <v>160</v>
      </c>
      <c r="K7" s="234" t="s">
        <v>1816</v>
      </c>
      <c r="L7" s="240" t="s">
        <v>161</v>
      </c>
      <c r="M7" s="240">
        <v>46172</v>
      </c>
      <c r="N7" s="234" t="s">
        <v>57</v>
      </c>
      <c r="O7" s="234">
        <v>0</v>
      </c>
      <c r="P7" s="234">
        <v>0</v>
      </c>
      <c r="Q7" s="283" t="s">
        <v>79</v>
      </c>
      <c r="R7" s="234" t="s">
        <v>1817</v>
      </c>
      <c r="S7" s="234" t="s">
        <v>1818</v>
      </c>
      <c r="T7" s="234" t="s">
        <v>1819</v>
      </c>
      <c r="U7" s="234" t="s">
        <v>82</v>
      </c>
      <c r="V7" s="265" t="s">
        <v>165</v>
      </c>
      <c r="W7" s="234" t="s">
        <v>57</v>
      </c>
      <c r="X7" s="264" t="s">
        <v>84</v>
      </c>
      <c r="Y7" s="234" t="s">
        <v>1820</v>
      </c>
      <c r="Z7" s="245"/>
      <c r="AA7" s="245">
        <v>1.3</v>
      </c>
      <c r="AB7" s="250" t="s">
        <v>133</v>
      </c>
      <c r="AC7" s="250" t="s">
        <v>68</v>
      </c>
      <c r="AD7" s="254">
        <v>46171</v>
      </c>
      <c r="AE7" s="250" t="s">
        <v>3</v>
      </c>
      <c r="AF7" s="254">
        <v>46177</v>
      </c>
      <c r="AG7" s="254">
        <v>46191</v>
      </c>
      <c r="AH7" s="250">
        <v>1</v>
      </c>
      <c r="AI7" s="251"/>
      <c r="AJ7" s="252">
        <v>0</v>
      </c>
      <c r="AK7" s="253"/>
      <c r="AL7" s="252" t="s">
        <v>711</v>
      </c>
      <c r="AM7" s="250" t="s">
        <v>1665</v>
      </c>
      <c r="AN7" s="250" t="s">
        <v>224</v>
      </c>
      <c r="AO7" s="250" t="s">
        <v>403</v>
      </c>
      <c r="AP7" s="250"/>
      <c r="AQ7" s="349"/>
      <c r="AR7" s="349"/>
      <c r="AS7" s="349"/>
      <c r="AT7" s="359" t="str">
        <f>IF(OR(AR7="",AS7=""),"",TEXT(WORKDAY(AS7,IF(AR7="Baja",3,IF(AR7="Media",5,0))),"dd-mmm"))</f>
        <v/>
      </c>
      <c r="AU7" s="349"/>
      <c r="AV7" s="349"/>
      <c r="AW7" s="349"/>
      <c r="AX7" s="349"/>
      <c r="AY7" s="349"/>
      <c r="AZ7" s="349"/>
      <c r="BA7" s="349"/>
      <c r="BB7" s="167"/>
      <c r="BC7" s="168"/>
    </row>
    <row r="8" spans="1:55" ht="57" customHeight="1">
      <c r="A8" s="234">
        <v>139</v>
      </c>
      <c r="B8" s="240">
        <v>46149.750567129602</v>
      </c>
      <c r="C8" s="240">
        <v>46149.757731481499</v>
      </c>
      <c r="D8" s="234" t="s">
        <v>193</v>
      </c>
      <c r="E8" s="234" t="s">
        <v>194</v>
      </c>
      <c r="F8" s="234" t="s">
        <v>1821</v>
      </c>
      <c r="G8" s="234" t="s">
        <v>1822</v>
      </c>
      <c r="H8" s="234" t="s">
        <v>75</v>
      </c>
      <c r="I8" s="234" t="s">
        <v>159</v>
      </c>
      <c r="J8" s="344" t="s">
        <v>1823</v>
      </c>
      <c r="K8" s="234" t="s">
        <v>1824</v>
      </c>
      <c r="L8" s="240" t="s">
        <v>161</v>
      </c>
      <c r="M8" s="240">
        <v>46265</v>
      </c>
      <c r="N8" s="234" t="s">
        <v>57</v>
      </c>
      <c r="O8" s="234">
        <v>0</v>
      </c>
      <c r="P8" s="234"/>
      <c r="Q8" s="283" t="s">
        <v>79</v>
      </c>
      <c r="R8" s="234" t="s">
        <v>1825</v>
      </c>
      <c r="S8" s="234" t="s">
        <v>1826</v>
      </c>
      <c r="T8" s="234" t="s">
        <v>1827</v>
      </c>
      <c r="U8" s="234" t="s">
        <v>56</v>
      </c>
      <c r="V8" s="265" t="s">
        <v>63</v>
      </c>
      <c r="W8" s="234" t="s">
        <v>188</v>
      </c>
      <c r="X8" s="264" t="s">
        <v>64</v>
      </c>
      <c r="Y8" s="234" t="s">
        <v>1828</v>
      </c>
      <c r="Z8" s="245" t="s">
        <v>1829</v>
      </c>
      <c r="AA8" s="245">
        <v>2.15</v>
      </c>
      <c r="AB8" s="250" t="s">
        <v>122</v>
      </c>
      <c r="AC8" s="250" t="s">
        <v>68</v>
      </c>
      <c r="AD8" s="254">
        <v>46154</v>
      </c>
      <c r="AE8" s="250" t="s">
        <v>2</v>
      </c>
      <c r="AF8" s="254">
        <v>46171</v>
      </c>
      <c r="AG8" s="254">
        <v>46178</v>
      </c>
      <c r="AH8" s="250">
        <v>7</v>
      </c>
      <c r="AI8" s="251" t="s">
        <v>1830</v>
      </c>
      <c r="AJ8" s="252">
        <v>388672</v>
      </c>
      <c r="AK8" s="253"/>
      <c r="AL8" s="252" t="s">
        <v>207</v>
      </c>
      <c r="AM8" s="250" t="s">
        <v>208</v>
      </c>
      <c r="AN8" s="250"/>
      <c r="AO8" s="250" t="s">
        <v>403</v>
      </c>
      <c r="AP8" s="250" t="s">
        <v>1831</v>
      </c>
      <c r="AQ8" s="349"/>
      <c r="AR8" s="349"/>
      <c r="AS8" s="349"/>
      <c r="AT8" s="359" t="str">
        <f>IF(OR(AR8="",AS8=""),"",TEXT(WORKDAY(AS8,IF(AR8="Baja",3,IF(AR8="Media",5,0))),"dd-mmm"))</f>
        <v/>
      </c>
      <c r="AU8" s="349"/>
      <c r="AV8" s="349"/>
      <c r="AW8" s="349"/>
      <c r="AX8" s="349"/>
      <c r="AY8" s="349"/>
      <c r="AZ8" s="349"/>
      <c r="BA8" s="349"/>
      <c r="BB8" s="167"/>
      <c r="BC8" s="168"/>
    </row>
    <row r="9" spans="1:55" ht="63.75" customHeight="1">
      <c r="A9" s="234">
        <v>140</v>
      </c>
      <c r="B9" s="240">
        <v>46150.379953703698</v>
      </c>
      <c r="C9" s="240">
        <v>46150.452800925901</v>
      </c>
      <c r="D9" s="234" t="s">
        <v>226</v>
      </c>
      <c r="E9" s="234" t="s">
        <v>227</v>
      </c>
      <c r="F9" s="234" t="s">
        <v>1832</v>
      </c>
      <c r="G9" s="234" t="s">
        <v>1833</v>
      </c>
      <c r="H9" s="234" t="s">
        <v>158</v>
      </c>
      <c r="I9" s="234" t="s">
        <v>91</v>
      </c>
      <c r="J9" s="260" t="s">
        <v>1834</v>
      </c>
      <c r="K9" s="234" t="s">
        <v>1835</v>
      </c>
      <c r="L9" s="240" t="s">
        <v>198</v>
      </c>
      <c r="M9" s="240">
        <v>46153</v>
      </c>
      <c r="N9" s="234" t="s">
        <v>57</v>
      </c>
      <c r="O9" s="234">
        <v>0</v>
      </c>
      <c r="P9" s="234"/>
      <c r="Q9" s="283" t="s">
        <v>79</v>
      </c>
      <c r="R9" s="234" t="s">
        <v>1836</v>
      </c>
      <c r="S9" s="234"/>
      <c r="T9" s="234" t="s">
        <v>1837</v>
      </c>
      <c r="U9" s="234" t="s">
        <v>130</v>
      </c>
      <c r="V9" s="244" t="s">
        <v>63</v>
      </c>
      <c r="W9" s="234" t="s">
        <v>188</v>
      </c>
      <c r="X9" s="264" t="s">
        <v>166</v>
      </c>
      <c r="Y9" s="234" t="s">
        <v>1838</v>
      </c>
      <c r="Z9" s="245" t="s">
        <v>1839</v>
      </c>
      <c r="AA9" s="245"/>
      <c r="AB9" s="250" t="s">
        <v>1725</v>
      </c>
      <c r="AC9" s="250" t="s">
        <v>68</v>
      </c>
      <c r="AD9" s="254">
        <v>46156</v>
      </c>
      <c r="AE9" s="250" t="s">
        <v>3</v>
      </c>
      <c r="AF9" s="254"/>
      <c r="AG9" s="254"/>
      <c r="AH9" s="250">
        <v>1</v>
      </c>
      <c r="AI9" s="251"/>
      <c r="AJ9" s="252">
        <v>14076</v>
      </c>
      <c r="AK9" s="253" t="s">
        <v>1840</v>
      </c>
      <c r="AL9" s="252" t="s">
        <v>631</v>
      </c>
      <c r="AM9" s="250"/>
      <c r="AN9" s="250"/>
      <c r="AO9" s="250" t="s">
        <v>403</v>
      </c>
      <c r="AP9" s="250" t="s">
        <v>1841</v>
      </c>
      <c r="AQ9" s="349"/>
      <c r="AR9" s="349"/>
      <c r="AS9" s="364"/>
      <c r="AT9" s="359"/>
      <c r="AU9" s="349"/>
      <c r="AV9" s="349"/>
      <c r="AW9" s="349"/>
      <c r="AX9" s="349"/>
      <c r="AY9" s="349"/>
      <c r="AZ9" s="349"/>
      <c r="BA9" s="349"/>
      <c r="BB9" s="167"/>
      <c r="BC9" s="168"/>
    </row>
    <row r="10" spans="1:55" ht="50.25" customHeight="1">
      <c r="A10" s="234">
        <v>158</v>
      </c>
      <c r="B10" s="240">
        <v>46153.983356481498</v>
      </c>
      <c r="C10" s="240">
        <v>46153.993564814802</v>
      </c>
      <c r="D10" s="234" t="s">
        <v>124</v>
      </c>
      <c r="E10" s="234" t="s">
        <v>125</v>
      </c>
      <c r="F10" s="234" t="s">
        <v>1842</v>
      </c>
      <c r="G10" s="234" t="s">
        <v>1843</v>
      </c>
      <c r="H10" s="234" t="s">
        <v>158</v>
      </c>
      <c r="I10" s="234" t="s">
        <v>393</v>
      </c>
      <c r="J10" s="344" t="s">
        <v>1844</v>
      </c>
      <c r="K10" s="234" t="s">
        <v>1845</v>
      </c>
      <c r="L10" s="240" t="s">
        <v>161</v>
      </c>
      <c r="M10" s="240">
        <v>46171</v>
      </c>
      <c r="N10" s="234" t="s">
        <v>57</v>
      </c>
      <c r="O10" s="234">
        <v>0</v>
      </c>
      <c r="P10" s="234"/>
      <c r="Q10" s="283" t="s">
        <v>79</v>
      </c>
      <c r="R10" s="234" t="s">
        <v>1846</v>
      </c>
      <c r="S10" s="234" t="s">
        <v>1847</v>
      </c>
      <c r="T10" s="234" t="s">
        <v>1848</v>
      </c>
      <c r="U10" s="234" t="s">
        <v>130</v>
      </c>
      <c r="V10" s="265" t="s">
        <v>63</v>
      </c>
      <c r="W10" s="234" t="s">
        <v>188</v>
      </c>
      <c r="X10" s="264" t="s">
        <v>166</v>
      </c>
      <c r="Y10" s="234" t="s">
        <v>1849</v>
      </c>
      <c r="Z10" s="245" t="s">
        <v>1850</v>
      </c>
      <c r="AA10" s="245">
        <v>0.45</v>
      </c>
      <c r="AB10" s="250" t="s">
        <v>390</v>
      </c>
      <c r="AC10" s="250" t="s">
        <v>68</v>
      </c>
      <c r="AD10" s="254">
        <v>46155</v>
      </c>
      <c r="AE10" s="250" t="s">
        <v>3</v>
      </c>
      <c r="AF10" s="254">
        <v>46188</v>
      </c>
      <c r="AG10" s="254">
        <v>46199</v>
      </c>
      <c r="AH10" s="250">
        <v>1.5</v>
      </c>
      <c r="AI10" s="252"/>
      <c r="AJ10" s="252">
        <v>18916.599999999999</v>
      </c>
      <c r="AK10" s="253"/>
      <c r="AL10" s="252" t="s">
        <v>1788</v>
      </c>
      <c r="AM10" s="250" t="s">
        <v>1762</v>
      </c>
      <c r="AN10" s="250" t="s">
        <v>224</v>
      </c>
      <c r="AO10" s="250" t="s">
        <v>403</v>
      </c>
      <c r="AP10" s="250" t="s">
        <v>1851</v>
      </c>
      <c r="AQ10" s="349"/>
      <c r="AR10" s="349"/>
      <c r="AS10" s="349"/>
      <c r="AT10" s="359" t="str">
        <f>IF(OR(AR10="",AS10=""),"",TEXT(WORKDAY(AS10,IF(AR10="Baja",3,IF(AR10="Media",5,0))),"dd-mmm"))</f>
        <v/>
      </c>
      <c r="AU10" s="349"/>
      <c r="AV10" s="349"/>
      <c r="AW10" s="349"/>
      <c r="AX10" s="349"/>
      <c r="AY10" s="349"/>
      <c r="AZ10" s="349"/>
      <c r="BA10" s="349"/>
      <c r="BB10" s="167"/>
      <c r="BC10" s="168"/>
    </row>
    <row r="11" spans="1:55" ht="117.75" customHeight="1">
      <c r="A11" s="234">
        <v>169</v>
      </c>
      <c r="B11" s="240">
        <v>46161.670162037</v>
      </c>
      <c r="C11" s="240">
        <v>46162.429259259297</v>
      </c>
      <c r="D11" s="234" t="s">
        <v>481</v>
      </c>
      <c r="E11" s="234" t="s">
        <v>482</v>
      </c>
      <c r="F11" s="234" t="s">
        <v>1852</v>
      </c>
      <c r="G11" s="234" t="s">
        <v>1853</v>
      </c>
      <c r="H11" s="234" t="s">
        <v>158</v>
      </c>
      <c r="I11" s="234" t="s">
        <v>197</v>
      </c>
      <c r="J11" s="344" t="s">
        <v>485</v>
      </c>
      <c r="K11" s="234" t="s">
        <v>1854</v>
      </c>
      <c r="L11" s="240" t="s">
        <v>161</v>
      </c>
      <c r="M11" s="240">
        <v>46199</v>
      </c>
      <c r="N11" s="234" t="s">
        <v>83</v>
      </c>
      <c r="O11" s="234" t="s">
        <v>487</v>
      </c>
      <c r="P11" s="234">
        <v>7541</v>
      </c>
      <c r="Q11" s="283" t="s">
        <v>79</v>
      </c>
      <c r="R11" s="234" t="s">
        <v>1855</v>
      </c>
      <c r="S11" s="234" t="s">
        <v>1856</v>
      </c>
      <c r="T11" s="234" t="s">
        <v>1857</v>
      </c>
      <c r="U11" s="234" t="s">
        <v>130</v>
      </c>
      <c r="V11" s="265" t="s">
        <v>248</v>
      </c>
      <c r="W11" s="234" t="s">
        <v>57</v>
      </c>
      <c r="X11" s="264" t="s">
        <v>64</v>
      </c>
      <c r="Y11" s="234" t="s">
        <v>1858</v>
      </c>
      <c r="Z11" s="245" t="s">
        <v>1859</v>
      </c>
      <c r="AA11" s="245">
        <v>2.9</v>
      </c>
      <c r="AB11" s="250" t="s">
        <v>264</v>
      </c>
      <c r="AC11" s="250" t="s">
        <v>68</v>
      </c>
      <c r="AD11" s="254">
        <v>46163</v>
      </c>
      <c r="AE11" s="250" t="s">
        <v>3</v>
      </c>
      <c r="AF11" s="254">
        <v>46167</v>
      </c>
      <c r="AG11" s="254">
        <v>46181</v>
      </c>
      <c r="AH11" s="250">
        <v>2.5</v>
      </c>
      <c r="AI11" s="251"/>
      <c r="AJ11" s="252">
        <v>58233</v>
      </c>
      <c r="AK11" s="253" t="s">
        <v>1860</v>
      </c>
      <c r="AL11" s="252" t="s">
        <v>207</v>
      </c>
      <c r="AM11" s="250" t="s">
        <v>1861</v>
      </c>
      <c r="AN11" s="250" t="s">
        <v>83</v>
      </c>
      <c r="AO11" s="250" t="s">
        <v>403</v>
      </c>
      <c r="AP11" s="250" t="s">
        <v>1862</v>
      </c>
      <c r="AQ11" s="349"/>
      <c r="AR11" s="349"/>
      <c r="AS11" s="349"/>
      <c r="AT11" s="359" t="str">
        <f>IF(OR(AR11="",AS11=""),"",TEXT(WORKDAY(AS11,IF(AR11="Baja",3,IF(AR11="Media",5,0))),"dd-mmm"))</f>
        <v/>
      </c>
      <c r="AU11" s="349"/>
      <c r="AV11" s="349"/>
      <c r="AW11" s="349"/>
      <c r="AX11" s="349"/>
      <c r="AY11" s="349"/>
      <c r="AZ11" s="349"/>
      <c r="BA11" s="349"/>
      <c r="BB11" s="167"/>
      <c r="BC11" s="168"/>
    </row>
    <row r="12" spans="1:55" ht="78.75" customHeight="1">
      <c r="A12" s="234">
        <v>183</v>
      </c>
      <c r="B12" s="240">
        <v>46169.526724536998</v>
      </c>
      <c r="C12" s="240">
        <v>46169.527997685203</v>
      </c>
      <c r="D12" s="234" t="s">
        <v>48</v>
      </c>
      <c r="E12" s="234" t="s">
        <v>49</v>
      </c>
      <c r="F12" s="234" t="s">
        <v>50</v>
      </c>
      <c r="G12" s="234" t="s">
        <v>51</v>
      </c>
      <c r="H12" s="234" t="s">
        <v>52</v>
      </c>
      <c r="I12" s="234" t="s">
        <v>53</v>
      </c>
      <c r="J12" s="344" t="s">
        <v>54</v>
      </c>
      <c r="K12" s="234" t="s">
        <v>1863</v>
      </c>
      <c r="L12" s="240" t="s">
        <v>56</v>
      </c>
      <c r="M12" s="240">
        <v>46356</v>
      </c>
      <c r="N12" s="234" t="s">
        <v>57</v>
      </c>
      <c r="O12" s="234">
        <v>0</v>
      </c>
      <c r="P12" s="234">
        <v>0</v>
      </c>
      <c r="Q12" s="283" t="s">
        <v>58</v>
      </c>
      <c r="R12" s="234" t="s">
        <v>59</v>
      </c>
      <c r="S12" s="234" t="s">
        <v>60</v>
      </c>
      <c r="T12" s="234" t="s">
        <v>1864</v>
      </c>
      <c r="U12" s="234" t="s">
        <v>62</v>
      </c>
      <c r="V12" s="265" t="s">
        <v>63</v>
      </c>
      <c r="W12" s="234" t="s">
        <v>57</v>
      </c>
      <c r="X12" s="264" t="s">
        <v>64</v>
      </c>
      <c r="Y12" s="234" t="s">
        <v>65</v>
      </c>
      <c r="Z12" s="245" t="s">
        <v>1865</v>
      </c>
      <c r="AA12" s="245">
        <v>1.8</v>
      </c>
      <c r="AB12" s="250" t="s">
        <v>251</v>
      </c>
      <c r="AC12" s="250" t="s">
        <v>68</v>
      </c>
      <c r="AD12" s="254">
        <v>46169</v>
      </c>
      <c r="AE12" s="250" t="s">
        <v>3</v>
      </c>
      <c r="AF12" s="254">
        <v>46181</v>
      </c>
      <c r="AG12" s="254">
        <v>46195</v>
      </c>
      <c r="AH12" s="250" t="s">
        <v>927</v>
      </c>
      <c r="AI12" s="251">
        <v>0</v>
      </c>
      <c r="AJ12" s="252">
        <v>0</v>
      </c>
      <c r="AK12" s="253" t="s">
        <v>1866</v>
      </c>
      <c r="AL12" s="252" t="s">
        <v>1867</v>
      </c>
      <c r="AM12" s="250" t="s">
        <v>1868</v>
      </c>
      <c r="AN12" s="250" t="s">
        <v>57</v>
      </c>
      <c r="AO12" s="250" t="s">
        <v>1716</v>
      </c>
      <c r="AP12" s="250" t="s">
        <v>1869</v>
      </c>
      <c r="AQ12" s="349"/>
      <c r="AR12" s="349"/>
      <c r="AS12" s="349"/>
      <c r="AT12" s="359" t="str">
        <f>IF(OR(AR12="",AS12=""),"",TEXT(WORKDAY(AS12,IF(AR12="Baja",3,IF(AR12="Media",5,0))),"dd-mmm"))</f>
        <v/>
      </c>
      <c r="AU12" s="349"/>
      <c r="AV12" s="349"/>
      <c r="AW12" s="349"/>
      <c r="AX12" s="349"/>
      <c r="AY12" s="349"/>
      <c r="AZ12" s="349"/>
      <c r="BA12" s="349"/>
      <c r="BB12" s="167"/>
      <c r="BC12" s="168"/>
    </row>
    <row r="13" spans="1:55" ht="86.25" customHeight="1">
      <c r="A13" s="234">
        <v>188</v>
      </c>
      <c r="B13" s="240">
        <v>46169.524259259299</v>
      </c>
      <c r="C13" s="240">
        <v>46169.550127314797</v>
      </c>
      <c r="D13" s="234" t="s">
        <v>1870</v>
      </c>
      <c r="E13" s="234" t="s">
        <v>1871</v>
      </c>
      <c r="F13" s="234" t="s">
        <v>1872</v>
      </c>
      <c r="G13" s="234" t="s">
        <v>1873</v>
      </c>
      <c r="H13" s="234" t="s">
        <v>214</v>
      </c>
      <c r="I13" s="234" t="s">
        <v>215</v>
      </c>
      <c r="J13" s="344" t="s">
        <v>1874</v>
      </c>
      <c r="K13" s="234" t="s">
        <v>1875</v>
      </c>
      <c r="L13" s="240" t="s">
        <v>198</v>
      </c>
      <c r="M13" s="240">
        <v>46203</v>
      </c>
      <c r="N13" s="234" t="s">
        <v>57</v>
      </c>
      <c r="O13" s="234">
        <v>0</v>
      </c>
      <c r="P13" s="234">
        <v>0</v>
      </c>
      <c r="Q13" s="283" t="s">
        <v>1876</v>
      </c>
      <c r="R13" s="234" t="s">
        <v>1877</v>
      </c>
      <c r="S13" s="234" t="s">
        <v>1878</v>
      </c>
      <c r="T13" s="234" t="s">
        <v>1879</v>
      </c>
      <c r="U13" s="234" t="s">
        <v>62</v>
      </c>
      <c r="V13" s="265" t="s">
        <v>63</v>
      </c>
      <c r="W13" s="234" t="s">
        <v>57</v>
      </c>
      <c r="X13" s="264" t="s">
        <v>84</v>
      </c>
      <c r="Y13" s="234" t="s">
        <v>1880</v>
      </c>
      <c r="Z13" s="245" t="s">
        <v>1881</v>
      </c>
      <c r="AA13" s="245">
        <v>2.1</v>
      </c>
      <c r="AB13" s="250" t="s">
        <v>152</v>
      </c>
      <c r="AC13" s="250" t="s">
        <v>68</v>
      </c>
      <c r="AD13" s="254">
        <v>46181</v>
      </c>
      <c r="AE13" s="250" t="s">
        <v>3</v>
      </c>
      <c r="AF13" s="254">
        <v>46184</v>
      </c>
      <c r="AG13" s="254">
        <v>46198</v>
      </c>
      <c r="AH13" s="250">
        <v>2</v>
      </c>
      <c r="AI13" s="251"/>
      <c r="AJ13" s="252">
        <v>21000</v>
      </c>
      <c r="AK13" s="253"/>
      <c r="AL13" s="252" t="s">
        <v>207</v>
      </c>
      <c r="AM13" s="250" t="s">
        <v>1882</v>
      </c>
      <c r="AN13" s="250"/>
      <c r="AO13" s="250" t="s">
        <v>403</v>
      </c>
      <c r="AP13" s="250"/>
      <c r="AQ13" s="349"/>
      <c r="AR13" s="349"/>
      <c r="AS13" s="349"/>
      <c r="AT13" s="359" t="str">
        <f>IF(OR(AR13="",AS13=""),"",TEXT(WORKDAY(AS13,IF(AR13="Baja",3,IF(AR13="Media",5,0))),"dd-mmm"))</f>
        <v/>
      </c>
      <c r="AU13" s="349"/>
      <c r="AV13" s="349"/>
      <c r="AW13" s="349"/>
      <c r="AX13" s="349"/>
      <c r="AY13" s="349"/>
      <c r="AZ13" s="349"/>
      <c r="BA13" s="349"/>
      <c r="BB13" s="167"/>
      <c r="BC13" s="168"/>
    </row>
    <row r="14" spans="1:55" ht="15" customHeight="1">
      <c r="A14" s="234">
        <v>194</v>
      </c>
      <c r="B14" s="240">
        <v>46169.667824074102</v>
      </c>
      <c r="C14" s="240">
        <v>46169.671122685198</v>
      </c>
      <c r="D14" s="234" t="s">
        <v>88</v>
      </c>
      <c r="E14" s="234" t="s">
        <v>89</v>
      </c>
      <c r="F14" s="234" t="s">
        <v>1883</v>
      </c>
      <c r="G14" s="234" t="s">
        <v>100</v>
      </c>
      <c r="H14" s="234" t="s">
        <v>75</v>
      </c>
      <c r="I14" s="234" t="s">
        <v>76</v>
      </c>
      <c r="J14" s="344" t="s">
        <v>1884</v>
      </c>
      <c r="K14" s="234" t="s">
        <v>1885</v>
      </c>
      <c r="L14" s="240" t="s">
        <v>56</v>
      </c>
      <c r="M14" s="240">
        <v>46235</v>
      </c>
      <c r="N14" s="234" t="s">
        <v>57</v>
      </c>
      <c r="O14" s="234">
        <v>0</v>
      </c>
      <c r="P14" s="234">
        <v>0</v>
      </c>
      <c r="Q14" s="283" t="s">
        <v>79</v>
      </c>
      <c r="R14" s="234" t="s">
        <v>94</v>
      </c>
      <c r="S14" s="234" t="s">
        <v>81</v>
      </c>
      <c r="T14" s="234" t="s">
        <v>1886</v>
      </c>
      <c r="U14" s="234" t="s">
        <v>82</v>
      </c>
      <c r="V14" s="265" t="s">
        <v>63</v>
      </c>
      <c r="W14" s="234" t="s">
        <v>83</v>
      </c>
      <c r="X14" s="264" t="s">
        <v>84</v>
      </c>
      <c r="Y14" s="234" t="s">
        <v>103</v>
      </c>
      <c r="Z14" s="245" t="s">
        <v>1887</v>
      </c>
      <c r="AA14" s="245">
        <v>1.2</v>
      </c>
      <c r="AB14" s="250" t="s">
        <v>67</v>
      </c>
      <c r="AC14" s="250" t="s">
        <v>68</v>
      </c>
      <c r="AD14" s="254">
        <v>46170</v>
      </c>
      <c r="AE14" s="250" t="s">
        <v>3</v>
      </c>
      <c r="AF14" s="254">
        <v>46178</v>
      </c>
      <c r="AG14" s="254">
        <v>46192</v>
      </c>
      <c r="AH14" s="250">
        <v>4</v>
      </c>
      <c r="AI14" s="251"/>
      <c r="AJ14" s="252">
        <v>70000</v>
      </c>
      <c r="AK14" s="253" t="s">
        <v>1888</v>
      </c>
      <c r="AL14" s="252" t="s">
        <v>207</v>
      </c>
      <c r="AM14" s="250" t="s">
        <v>1882</v>
      </c>
      <c r="AN14" s="250" t="s">
        <v>188</v>
      </c>
      <c r="AO14" s="250" t="s">
        <v>403</v>
      </c>
      <c r="AP14" s="250"/>
      <c r="AQ14" s="349"/>
      <c r="AR14" s="349"/>
      <c r="AS14" s="349"/>
      <c r="AT14" s="359" t="str">
        <f>IF(OR(AR14="",AS14=""),"",TEXT(WORKDAY(AS14,IF(AR14="Baja",3,IF(AR14="Media",5,0))),"dd-mmm"))</f>
        <v/>
      </c>
      <c r="AU14" s="349"/>
      <c r="AV14" s="349"/>
      <c r="AW14" s="349"/>
      <c r="AX14" s="349"/>
      <c r="AY14" s="349"/>
      <c r="AZ14" s="349"/>
      <c r="BA14" s="349"/>
      <c r="BB14" s="167"/>
      <c r="BC14" s="168"/>
    </row>
    <row r="15" spans="1:55" ht="15" customHeight="1">
      <c r="A15" s="234">
        <v>196</v>
      </c>
      <c r="B15" s="240">
        <v>46169.674108796302</v>
      </c>
      <c r="C15" s="240">
        <v>46169.677812499998</v>
      </c>
      <c r="D15" s="234" t="s">
        <v>88</v>
      </c>
      <c r="E15" s="234" t="s">
        <v>89</v>
      </c>
      <c r="F15" s="234" t="s">
        <v>1889</v>
      </c>
      <c r="G15" s="234" t="s">
        <v>100</v>
      </c>
      <c r="H15" s="234" t="s">
        <v>75</v>
      </c>
      <c r="I15" s="234" t="s">
        <v>76</v>
      </c>
      <c r="J15" s="344" t="s">
        <v>1890</v>
      </c>
      <c r="K15" s="234" t="s">
        <v>1891</v>
      </c>
      <c r="L15" s="240" t="s">
        <v>56</v>
      </c>
      <c r="M15" s="240">
        <v>46234</v>
      </c>
      <c r="N15" s="234" t="s">
        <v>57</v>
      </c>
      <c r="O15" s="234">
        <v>0</v>
      </c>
      <c r="P15" s="234">
        <v>0</v>
      </c>
      <c r="Q15" s="283" t="s">
        <v>79</v>
      </c>
      <c r="R15" s="234" t="s">
        <v>94</v>
      </c>
      <c r="S15" s="234" t="s">
        <v>81</v>
      </c>
      <c r="T15" s="234" t="s">
        <v>1892</v>
      </c>
      <c r="U15" s="234" t="s">
        <v>82</v>
      </c>
      <c r="V15" s="265" t="s">
        <v>63</v>
      </c>
      <c r="W15" s="234" t="s">
        <v>83</v>
      </c>
      <c r="X15" s="264" t="s">
        <v>84</v>
      </c>
      <c r="Y15" s="234" t="s">
        <v>103</v>
      </c>
      <c r="Z15" s="245" t="s">
        <v>1893</v>
      </c>
      <c r="AA15" s="245">
        <v>1.2</v>
      </c>
      <c r="AB15" s="250" t="s">
        <v>133</v>
      </c>
      <c r="AC15" s="250" t="s">
        <v>68</v>
      </c>
      <c r="AD15" s="254">
        <v>46170</v>
      </c>
      <c r="AE15" s="250" t="s">
        <v>4</v>
      </c>
      <c r="AF15" s="254">
        <v>46170</v>
      </c>
      <c r="AG15" s="254">
        <v>46170</v>
      </c>
      <c r="AH15" s="250">
        <v>1</v>
      </c>
      <c r="AI15" s="251"/>
      <c r="AJ15" s="252"/>
      <c r="AK15" s="253"/>
      <c r="AL15" s="252" t="s">
        <v>711</v>
      </c>
      <c r="AM15" s="250" t="s">
        <v>1762</v>
      </c>
      <c r="AN15" s="250"/>
      <c r="AO15" s="250" t="s">
        <v>403</v>
      </c>
      <c r="AP15" s="250"/>
      <c r="AQ15" s="349"/>
      <c r="AR15" s="349"/>
      <c r="AS15" s="349"/>
      <c r="AT15" s="359" t="str">
        <f>IF(OR(AR15="",AS15=""),"",TEXT(WORKDAY(AS15,IF(AR15="Baja",3,IF(AR15="Media",5,0))),"dd-mmm"))</f>
        <v/>
      </c>
      <c r="AU15" s="349"/>
      <c r="AV15" s="349"/>
      <c r="AW15" s="349"/>
      <c r="AX15" s="349"/>
      <c r="AY15" s="349"/>
      <c r="AZ15" s="349"/>
      <c r="BA15" s="349"/>
      <c r="BB15" s="167"/>
      <c r="BC15" s="168"/>
    </row>
    <row r="16" spans="1:55" ht="15" customHeight="1">
      <c r="A16" s="234">
        <v>216</v>
      </c>
      <c r="B16" s="240">
        <v>46169.998946759297</v>
      </c>
      <c r="C16" s="240">
        <v>46170.000914351898</v>
      </c>
      <c r="D16" s="234" t="s">
        <v>124</v>
      </c>
      <c r="E16" s="234" t="s">
        <v>125</v>
      </c>
      <c r="F16" s="234" t="s">
        <v>1894</v>
      </c>
      <c r="G16" s="234" t="s">
        <v>74</v>
      </c>
      <c r="H16" s="234" t="s">
        <v>75</v>
      </c>
      <c r="I16" s="234" t="s">
        <v>76</v>
      </c>
      <c r="J16" s="344" t="s">
        <v>127</v>
      </c>
      <c r="K16" s="234" t="s">
        <v>1895</v>
      </c>
      <c r="L16" s="240" t="s">
        <v>56</v>
      </c>
      <c r="M16" s="240">
        <v>46209</v>
      </c>
      <c r="N16" s="234" t="s">
        <v>57</v>
      </c>
      <c r="O16" s="234">
        <v>0</v>
      </c>
      <c r="P16" s="234">
        <v>0</v>
      </c>
      <c r="Q16" s="283" t="s">
        <v>79</v>
      </c>
      <c r="R16" s="234" t="s">
        <v>80</v>
      </c>
      <c r="S16" s="234" t="s">
        <v>81</v>
      </c>
      <c r="T16" s="234" t="s">
        <v>129</v>
      </c>
      <c r="U16" s="234" t="s">
        <v>82</v>
      </c>
      <c r="V16" s="265" t="s">
        <v>63</v>
      </c>
      <c r="W16" s="234" t="s">
        <v>83</v>
      </c>
      <c r="X16" s="264" t="s">
        <v>84</v>
      </c>
      <c r="Y16" s="234" t="s">
        <v>131</v>
      </c>
      <c r="Z16" s="245" t="s">
        <v>1896</v>
      </c>
      <c r="AA16" s="245">
        <v>1.2</v>
      </c>
      <c r="AB16" s="250" t="s">
        <v>133</v>
      </c>
      <c r="AC16" s="250" t="s">
        <v>68</v>
      </c>
      <c r="AD16" s="254">
        <v>46170</v>
      </c>
      <c r="AE16" s="250" t="s">
        <v>3</v>
      </c>
      <c r="AF16" s="254">
        <v>46177</v>
      </c>
      <c r="AG16" s="254">
        <v>46191</v>
      </c>
      <c r="AH16" s="250">
        <v>1</v>
      </c>
      <c r="AI16" s="251">
        <v>7500</v>
      </c>
      <c r="AJ16" s="252">
        <v>26250</v>
      </c>
      <c r="AK16" s="253"/>
      <c r="AL16" s="252" t="s">
        <v>631</v>
      </c>
      <c r="AM16" s="250" t="s">
        <v>1665</v>
      </c>
      <c r="AN16" s="250" t="s">
        <v>224</v>
      </c>
      <c r="AO16" s="250" t="s">
        <v>403</v>
      </c>
      <c r="AP16" s="250" t="s">
        <v>1897</v>
      </c>
      <c r="AQ16" s="349"/>
      <c r="AR16" s="349"/>
      <c r="AS16" s="349"/>
      <c r="AT16" s="359" t="str">
        <f>IF(OR(AR16="",AS16=""),"",TEXT(WORKDAY(AS16,IF(AR16="Baja",3,IF(AR16="Media",5,0))),"dd-mmm"))</f>
        <v/>
      </c>
      <c r="AU16" s="349"/>
      <c r="AV16" s="349"/>
      <c r="AW16" s="349"/>
      <c r="AX16" s="349"/>
      <c r="AY16" s="349"/>
      <c r="AZ16" s="349"/>
      <c r="BA16" s="349"/>
      <c r="BB16" s="167"/>
      <c r="BC16" s="168"/>
    </row>
    <row r="17" spans="1:55" ht="15" customHeight="1">
      <c r="A17" s="234">
        <v>220</v>
      </c>
      <c r="B17" s="240">
        <v>46170.005717592598</v>
      </c>
      <c r="C17" s="240">
        <v>46170.006967592599</v>
      </c>
      <c r="D17" s="234" t="s">
        <v>124</v>
      </c>
      <c r="E17" s="234" t="s">
        <v>125</v>
      </c>
      <c r="F17" s="234" t="s">
        <v>1898</v>
      </c>
      <c r="G17" s="234" t="s">
        <v>74</v>
      </c>
      <c r="H17" s="234" t="s">
        <v>75</v>
      </c>
      <c r="I17" s="234" t="s">
        <v>76</v>
      </c>
      <c r="J17" s="344" t="s">
        <v>127</v>
      </c>
      <c r="K17" s="234" t="s">
        <v>1899</v>
      </c>
      <c r="L17" s="240" t="s">
        <v>56</v>
      </c>
      <c r="M17" s="240">
        <v>46209</v>
      </c>
      <c r="N17" s="234" t="s">
        <v>57</v>
      </c>
      <c r="O17" s="234">
        <v>0</v>
      </c>
      <c r="P17" s="234">
        <v>0</v>
      </c>
      <c r="Q17" s="283" t="s">
        <v>79</v>
      </c>
      <c r="R17" s="234" t="s">
        <v>80</v>
      </c>
      <c r="S17" s="234" t="s">
        <v>81</v>
      </c>
      <c r="T17" s="234" t="s">
        <v>81</v>
      </c>
      <c r="U17" s="234" t="s">
        <v>82</v>
      </c>
      <c r="V17" s="265" t="s">
        <v>63</v>
      </c>
      <c r="W17" s="234" t="s">
        <v>83</v>
      </c>
      <c r="X17" s="264" t="s">
        <v>84</v>
      </c>
      <c r="Y17" s="234" t="s">
        <v>131</v>
      </c>
      <c r="Z17" s="245" t="s">
        <v>1900</v>
      </c>
      <c r="AA17" s="245">
        <v>1.2</v>
      </c>
      <c r="AB17" s="250" t="s">
        <v>133</v>
      </c>
      <c r="AC17" s="250" t="s">
        <v>68</v>
      </c>
      <c r="AD17" s="254">
        <v>46170</v>
      </c>
      <c r="AE17" s="250" t="s">
        <v>4</v>
      </c>
      <c r="AF17" s="254">
        <v>46176</v>
      </c>
      <c r="AG17" s="254">
        <v>46183</v>
      </c>
      <c r="AH17" s="250">
        <v>0.5</v>
      </c>
      <c r="AI17" s="251">
        <v>0</v>
      </c>
      <c r="AJ17" s="252">
        <v>0</v>
      </c>
      <c r="AK17" s="253"/>
      <c r="AL17" s="252" t="s">
        <v>711</v>
      </c>
      <c r="AM17" s="250" t="s">
        <v>1762</v>
      </c>
      <c r="AN17" s="250" t="s">
        <v>83</v>
      </c>
      <c r="AO17" s="250" t="s">
        <v>403</v>
      </c>
      <c r="AP17" s="250"/>
      <c r="AQ17" s="349"/>
      <c r="AR17" s="349"/>
      <c r="AS17" s="349"/>
      <c r="AT17" s="359" t="str">
        <f>IF(OR(AR17="",AS17=""),"",TEXT(WORKDAY(AS17,IF(AR17="Baja",3,IF(AR17="Media",5,0))),"dd-mmm"))</f>
        <v/>
      </c>
      <c r="AU17" s="349"/>
      <c r="AV17" s="349"/>
      <c r="AW17" s="349"/>
      <c r="AX17" s="349"/>
      <c r="AY17" s="349"/>
      <c r="AZ17" s="349"/>
      <c r="BA17" s="349"/>
      <c r="BB17" s="167"/>
      <c r="BC17" s="168"/>
    </row>
    <row r="18" spans="1:55" ht="15" customHeight="1">
      <c r="A18" s="234">
        <v>221</v>
      </c>
      <c r="B18" s="240">
        <v>46170.006446759297</v>
      </c>
      <c r="C18" s="240">
        <v>46170.007523148102</v>
      </c>
      <c r="D18" s="234" t="s">
        <v>124</v>
      </c>
      <c r="E18" s="234" t="s">
        <v>125</v>
      </c>
      <c r="F18" s="234" t="s">
        <v>1901</v>
      </c>
      <c r="G18" s="234" t="s">
        <v>74</v>
      </c>
      <c r="H18" s="234" t="s">
        <v>75</v>
      </c>
      <c r="I18" s="234" t="s">
        <v>76</v>
      </c>
      <c r="J18" s="344" t="s">
        <v>127</v>
      </c>
      <c r="K18" s="234" t="s">
        <v>1902</v>
      </c>
      <c r="L18" s="240" t="s">
        <v>56</v>
      </c>
      <c r="M18" s="240">
        <v>46209</v>
      </c>
      <c r="N18" s="234" t="s">
        <v>57</v>
      </c>
      <c r="O18" s="234">
        <v>0</v>
      </c>
      <c r="P18" s="234">
        <v>0</v>
      </c>
      <c r="Q18" s="283" t="s">
        <v>79</v>
      </c>
      <c r="R18" s="234" t="s">
        <v>80</v>
      </c>
      <c r="S18" s="234" t="s">
        <v>81</v>
      </c>
      <c r="T18" s="234" t="s">
        <v>81</v>
      </c>
      <c r="U18" s="234" t="s">
        <v>82</v>
      </c>
      <c r="V18" s="265" t="s">
        <v>63</v>
      </c>
      <c r="W18" s="234" t="s">
        <v>83</v>
      </c>
      <c r="X18" s="264" t="s">
        <v>84</v>
      </c>
      <c r="Y18" s="234" t="s">
        <v>131</v>
      </c>
      <c r="Z18" s="245" t="s">
        <v>1903</v>
      </c>
      <c r="AA18" s="245">
        <v>1.2</v>
      </c>
      <c r="AB18" s="250" t="s">
        <v>133</v>
      </c>
      <c r="AC18" s="250" t="s">
        <v>68</v>
      </c>
      <c r="AD18" s="254">
        <v>46170</v>
      </c>
      <c r="AE18" s="250" t="s">
        <v>4</v>
      </c>
      <c r="AF18" s="254">
        <v>46176</v>
      </c>
      <c r="AG18" s="254">
        <v>46183</v>
      </c>
      <c r="AH18" s="250">
        <v>0.75</v>
      </c>
      <c r="AI18" s="251">
        <v>0</v>
      </c>
      <c r="AJ18" s="252">
        <v>0</v>
      </c>
      <c r="AK18" s="253"/>
      <c r="AL18" s="252" t="s">
        <v>711</v>
      </c>
      <c r="AM18" s="250" t="s">
        <v>1762</v>
      </c>
      <c r="AN18" s="250" t="s">
        <v>57</v>
      </c>
      <c r="AO18" s="250" t="s">
        <v>403</v>
      </c>
      <c r="AP18" s="250"/>
      <c r="AQ18" s="349"/>
      <c r="AR18" s="349"/>
      <c r="AS18" s="349"/>
      <c r="AT18" s="359" t="str">
        <f>IF(OR(AR18="",AS18=""),"",TEXT(WORKDAY(AS18,IF(AR18="Baja",3,IF(AR18="Media",5,0))),"dd-mmm"))</f>
        <v/>
      </c>
      <c r="AU18" s="349"/>
      <c r="AV18" s="349"/>
      <c r="AW18" s="349"/>
      <c r="AX18" s="349"/>
      <c r="AY18" s="349"/>
      <c r="AZ18" s="349"/>
      <c r="BA18" s="349"/>
      <c r="BB18" s="167"/>
      <c r="BC18" s="168"/>
    </row>
    <row r="19" spans="1:55" ht="15" customHeight="1">
      <c r="AQ19" s="349"/>
      <c r="AR19" s="349"/>
      <c r="AS19" s="349"/>
      <c r="AT19" s="359" t="str">
        <f>IF(OR(AR19="",AS19=""),"",TEXT(WORKDAY(AS19,IF(AR19="Baja",3,IF(AR19="Media",5,0))),"dd-mmm"))</f>
        <v/>
      </c>
      <c r="AU19" s="349"/>
      <c r="AV19" s="349"/>
      <c r="AW19" s="349"/>
      <c r="AX19" s="349"/>
      <c r="AY19" s="349"/>
      <c r="AZ19" s="349"/>
      <c r="BA19" s="349"/>
    </row>
    <row r="20" spans="1:55" ht="15" customHeight="1">
      <c r="AQ20" s="349"/>
      <c r="AR20" s="349"/>
      <c r="AS20" s="349"/>
      <c r="AT20" s="359" t="str">
        <f>IF(OR(AR20="",AS20=""),"",TEXT(WORKDAY(AS20,IF(AR20="Baja",3,IF(AR20="Media",5,0))),"dd-mmm"))</f>
        <v/>
      </c>
      <c r="AU20" s="349"/>
      <c r="AV20" s="349"/>
      <c r="AW20" s="349"/>
      <c r="AX20" s="349"/>
      <c r="AY20" s="349"/>
      <c r="AZ20" s="349"/>
      <c r="BA20" s="349"/>
    </row>
    <row r="21" spans="1:55" ht="15" customHeight="1">
      <c r="AQ21" s="349"/>
      <c r="AR21" s="349"/>
      <c r="AS21" s="349"/>
      <c r="AT21" s="359" t="str">
        <f>IF(OR(AR21="",AS21=""),"",TEXT(WORKDAY(AS21,IF(AR21="Baja",3,IF(AR21="Media",5,0))),"dd-mmm"))</f>
        <v/>
      </c>
      <c r="AU21" s="349"/>
      <c r="AV21" s="349"/>
      <c r="AW21" s="349"/>
      <c r="AX21" s="349"/>
      <c r="AY21" s="349"/>
      <c r="AZ21" s="349"/>
      <c r="BA21" s="349"/>
    </row>
    <row r="22" spans="1:55" ht="15" customHeight="1">
      <c r="AQ22" s="349"/>
      <c r="AR22" s="349"/>
      <c r="AS22" s="349"/>
      <c r="AT22" s="359" t="str">
        <f>IF(OR(AR22="",AS22=""),"",TEXT(WORKDAY(AS22,IF(AR22="Baja",3,IF(AR22="Media",5,0))),"dd-mmm"))</f>
        <v/>
      </c>
      <c r="AU22" s="349"/>
      <c r="AV22" s="349"/>
      <c r="AW22" s="349"/>
      <c r="AX22" s="349"/>
      <c r="AY22" s="349"/>
      <c r="AZ22" s="349"/>
      <c r="BA22" s="349"/>
    </row>
    <row r="23" spans="1:55" ht="15" customHeight="1">
      <c r="AQ23" s="349"/>
      <c r="AR23" s="349"/>
      <c r="AS23" s="349"/>
      <c r="AT23" s="359" t="str">
        <f>IF(OR(AR23="",AS23=""),"",TEXT(WORKDAY(AS23,IF(AR23="Baja",3,IF(AR23="Media",5,0))),"dd-mmm"))</f>
        <v/>
      </c>
      <c r="AU23" s="349"/>
      <c r="AV23" s="349"/>
      <c r="AW23" s="349"/>
      <c r="AX23" s="349"/>
      <c r="AY23" s="349"/>
      <c r="AZ23" s="349"/>
      <c r="BA23" s="349"/>
    </row>
    <row r="24" spans="1:55" ht="15" customHeight="1">
      <c r="AQ24" s="349"/>
      <c r="AR24" s="349"/>
      <c r="AS24" s="349"/>
      <c r="AT24" s="359" t="str">
        <f>IF(OR(AR24="",AS24=""),"",TEXT(WORKDAY(AS24,IF(AR24="Baja",3,IF(AR24="Media",5,0))),"dd-mmm"))</f>
        <v/>
      </c>
      <c r="AU24" s="349"/>
      <c r="AV24" s="349"/>
      <c r="AW24" s="349"/>
      <c r="AX24" s="349"/>
      <c r="AY24" s="349"/>
      <c r="AZ24" s="349"/>
      <c r="BA24" s="349"/>
    </row>
    <row r="25" spans="1:55" ht="15" customHeight="1">
      <c r="AQ25" s="349"/>
      <c r="AR25" s="349"/>
      <c r="AS25" s="349"/>
      <c r="AT25" s="359" t="str">
        <f>IF(OR(AR25="",AS25=""),"",TEXT(WORKDAY(AS25,IF(AR25="Baja",3,IF(AR25="Media",5,0))),"dd-mmm"))</f>
        <v/>
      </c>
      <c r="AU25" s="349"/>
      <c r="AV25" s="349"/>
      <c r="AW25" s="349"/>
      <c r="AX25" s="349"/>
      <c r="AY25" s="349"/>
      <c r="AZ25" s="349"/>
      <c r="BA25" s="349"/>
    </row>
    <row r="26" spans="1:55" ht="15" customHeight="1">
      <c r="AQ26" s="349"/>
      <c r="AR26" s="349"/>
      <c r="AS26" s="349"/>
      <c r="AT26" s="359" t="str">
        <f>IF(OR(AR26="",AS26=""),"",TEXT(WORKDAY(AS26,IF(AR26="Baja",3,IF(AR26="Media",5,0))),"dd-mmm"))</f>
        <v/>
      </c>
      <c r="AU26" s="349"/>
      <c r="AV26" s="349"/>
      <c r="AW26" s="349"/>
      <c r="AX26" s="349"/>
      <c r="AY26" s="349"/>
      <c r="AZ26" s="349"/>
      <c r="BA26" s="349"/>
    </row>
    <row r="27" spans="1:55" ht="15" customHeight="1">
      <c r="AQ27" s="349"/>
      <c r="AR27" s="349"/>
      <c r="AS27" s="349"/>
      <c r="AT27" s="359" t="str">
        <f>IF(OR(AR27="",AS27=""),"",TEXT(WORKDAY(AS27,IF(AR27="Baja",3,IF(AR27="Media",5,0))),"dd-mmm"))</f>
        <v/>
      </c>
      <c r="AU27" s="349"/>
      <c r="AV27" s="349"/>
      <c r="AW27" s="349"/>
      <c r="AX27" s="349"/>
      <c r="AY27" s="349"/>
      <c r="AZ27" s="349"/>
      <c r="BA27" s="349"/>
    </row>
    <row r="28" spans="1:55" ht="15" customHeight="1">
      <c r="AQ28" s="349"/>
      <c r="AR28" s="349"/>
      <c r="AS28" s="349"/>
      <c r="AT28" s="359" t="str">
        <f>IF(OR(AR28="",AS28=""),"",TEXT(WORKDAY(AS28,IF(AR28="Baja",3,IF(AR28="Media",5,0))),"dd-mmm"))</f>
        <v/>
      </c>
      <c r="AU28" s="349"/>
      <c r="AV28" s="349"/>
      <c r="AW28" s="349"/>
      <c r="AX28" s="349"/>
      <c r="AY28" s="349"/>
      <c r="AZ28" s="349"/>
      <c r="BA28" s="349"/>
    </row>
    <row r="29" spans="1:55" ht="15" customHeight="1">
      <c r="AQ29" s="349"/>
      <c r="AR29" s="349"/>
      <c r="AS29" s="349"/>
      <c r="AT29" s="359" t="str">
        <f>IF(OR(AR29="",AS29=""),"",TEXT(WORKDAY(AS29,IF(AR29="Baja",3,IF(AR29="Media",5,0))),"dd-mmm"))</f>
        <v/>
      </c>
      <c r="AU29" s="349"/>
      <c r="AV29" s="349"/>
      <c r="AW29" s="349"/>
      <c r="AX29" s="349"/>
      <c r="AY29" s="349"/>
      <c r="AZ29" s="349"/>
      <c r="BA29" s="349"/>
    </row>
    <row r="30" spans="1:55" ht="15" customHeight="1">
      <c r="AQ30" s="349"/>
      <c r="AR30" s="349"/>
      <c r="AS30" s="349"/>
      <c r="AT30" s="359" t="str">
        <f>IF(OR(AR30="",AS30=""),"",TEXT(WORKDAY(AS30,IF(AR30="Baja",3,IF(AR30="Media",5,0))),"dd-mmm"))</f>
        <v/>
      </c>
      <c r="AU30" s="349"/>
      <c r="AV30" s="349"/>
      <c r="AW30" s="349"/>
      <c r="AX30" s="349"/>
      <c r="AY30" s="349"/>
      <c r="AZ30" s="349"/>
      <c r="BA30" s="349"/>
    </row>
    <row r="31" spans="1:55" ht="15" customHeight="1">
      <c r="AQ31" s="349"/>
      <c r="AR31" s="349"/>
      <c r="AS31" s="349"/>
      <c r="AT31" s="359" t="str">
        <f>IF(OR(AR31="",AS31=""),"",TEXT(WORKDAY(AS31,IF(AR31="Baja",3,IF(AR31="Media",5,0))),"dd-mmm"))</f>
        <v/>
      </c>
      <c r="AU31" s="349"/>
      <c r="AV31" s="349"/>
      <c r="AW31" s="349"/>
      <c r="AX31" s="349"/>
      <c r="AY31" s="349"/>
      <c r="AZ31" s="349"/>
      <c r="BA31" s="349"/>
    </row>
    <row r="32" spans="1:55" ht="15" customHeight="1">
      <c r="AQ32" s="349"/>
      <c r="AR32" s="349"/>
      <c r="AS32" s="349"/>
      <c r="AT32" s="359" t="str">
        <f>IF(OR(AR32="",AS32=""),"",TEXT(WORKDAY(AS32,IF(AR32="Baja",3,IF(AR32="Media",5,0))),"dd-mmm"))</f>
        <v/>
      </c>
      <c r="AU32" s="349"/>
      <c r="AV32" s="349"/>
      <c r="AW32" s="349"/>
      <c r="AX32" s="349"/>
      <c r="AY32" s="349"/>
      <c r="AZ32" s="349"/>
      <c r="BA32" s="349"/>
    </row>
    <row r="33" spans="43:53" ht="15" customHeight="1">
      <c r="AQ33" s="349"/>
      <c r="AR33" s="349"/>
      <c r="AS33" s="349"/>
      <c r="AT33" s="359" t="str">
        <f>IF(OR(AR33="",AS33=""),"",TEXT(WORKDAY(AS33,IF(AR33="Baja",3,IF(AR33="Media",5,0))),"dd-mmm"))</f>
        <v/>
      </c>
      <c r="AU33" s="349"/>
      <c r="AV33" s="349"/>
      <c r="AW33" s="349"/>
      <c r="AX33" s="349"/>
      <c r="AY33" s="349"/>
      <c r="AZ33" s="349"/>
      <c r="BA33" s="349"/>
    </row>
    <row r="34" spans="43:53" ht="15" customHeight="1">
      <c r="AQ34" s="349"/>
      <c r="AR34" s="349"/>
      <c r="AS34" s="349"/>
      <c r="AT34" s="359" t="str">
        <f>IF(OR(AR34="",AS34=""),"",TEXT(WORKDAY(AS34,IF(AR34="Baja",3,IF(AR34="Media",5,0))),"dd-mmm"))</f>
        <v/>
      </c>
      <c r="AU34" s="349"/>
      <c r="AV34" s="349"/>
      <c r="AW34" s="349"/>
      <c r="AX34" s="349"/>
      <c r="AY34" s="349"/>
      <c r="AZ34" s="349"/>
      <c r="BA34" s="349"/>
    </row>
    <row r="35" spans="43:53" ht="15" customHeight="1">
      <c r="AQ35" s="349"/>
      <c r="AR35" s="349"/>
      <c r="AS35" s="349"/>
      <c r="AT35" s="359" t="str">
        <f>IF(OR(AR35="",AS35=""),"",TEXT(WORKDAY(AS35,IF(AR35="Baja",3,IF(AR35="Media",5,0))),"dd-mmm"))</f>
        <v/>
      </c>
      <c r="AU35" s="349"/>
      <c r="AV35" s="349"/>
      <c r="AW35" s="349"/>
      <c r="AX35" s="349"/>
      <c r="AY35" s="349"/>
      <c r="AZ35" s="349"/>
      <c r="BA35" s="349"/>
    </row>
    <row r="36" spans="43:53" ht="15" customHeight="1">
      <c r="AQ36" s="349"/>
      <c r="AR36" s="349"/>
      <c r="AS36" s="349"/>
      <c r="AT36" s="359" t="str">
        <f>IF(OR(AR36="",AS36=""),"",TEXT(WORKDAY(AS36,IF(AR36="Baja",3,IF(AR36="Media",5,0))),"dd-mmm"))</f>
        <v/>
      </c>
      <c r="AU36" s="349"/>
      <c r="AV36" s="349"/>
      <c r="AW36" s="349"/>
      <c r="AX36" s="349"/>
      <c r="AY36" s="349"/>
      <c r="AZ36" s="349"/>
      <c r="BA36" s="349"/>
    </row>
    <row r="37" spans="43:53" ht="15" customHeight="1">
      <c r="AQ37" s="349"/>
      <c r="AR37" s="349"/>
      <c r="AS37" s="349"/>
      <c r="AT37" s="359" t="str">
        <f>IF(OR(AR37="",AS37=""),"",TEXT(WORKDAY(AS37,IF(AR37="Baja",3,IF(AR37="Media",5,0))),"dd-mmm"))</f>
        <v/>
      </c>
      <c r="AU37" s="349"/>
      <c r="AV37" s="349"/>
      <c r="AW37" s="349"/>
      <c r="AX37" s="349"/>
      <c r="AY37" s="349"/>
      <c r="AZ37" s="349"/>
      <c r="BA37" s="349"/>
    </row>
    <row r="38" spans="43:53" ht="15" customHeight="1">
      <c r="AQ38" s="349"/>
      <c r="AR38" s="349"/>
      <c r="AS38" s="349"/>
      <c r="AT38" s="359" t="str">
        <f>IF(OR(AR38="",AS38=""),"",TEXT(WORKDAY(AS38,IF(AR38="Baja",3,IF(AR38="Media",5,0))),"dd-mmm"))</f>
        <v/>
      </c>
      <c r="AU38" s="349"/>
      <c r="AV38" s="349"/>
      <c r="AW38" s="349"/>
      <c r="AX38" s="349"/>
      <c r="AY38" s="349"/>
      <c r="AZ38" s="349"/>
      <c r="BA38" s="349"/>
    </row>
    <row r="39" spans="43:53" ht="15" customHeight="1">
      <c r="AQ39" s="349"/>
      <c r="AR39" s="349"/>
      <c r="AS39" s="349"/>
      <c r="AT39" s="359" t="str">
        <f>IF(OR(AR39="",AS39=""),"",TEXT(WORKDAY(AS39,IF(AR39="Baja",3,IF(AR39="Media",5,0))),"dd-mmm"))</f>
        <v/>
      </c>
      <c r="AU39" s="349"/>
      <c r="AV39" s="349"/>
      <c r="AW39" s="349"/>
      <c r="AX39" s="349"/>
      <c r="AY39" s="349"/>
      <c r="AZ39" s="349"/>
      <c r="BA39" s="349"/>
    </row>
    <row r="40" spans="43:53" ht="15" customHeight="1">
      <c r="AQ40" s="349"/>
      <c r="AR40" s="349"/>
      <c r="AS40" s="349"/>
      <c r="AT40" s="359" t="str">
        <f>IF(OR(AR40="",AS40=""),"",TEXT(WORKDAY(AS40,IF(AR40="Baja",3,IF(AR40="Media",5,0))),"dd-mmm"))</f>
        <v/>
      </c>
      <c r="AU40" s="349"/>
      <c r="AV40" s="349"/>
      <c r="AW40" s="349"/>
      <c r="AX40" s="349"/>
      <c r="AY40" s="349"/>
      <c r="AZ40" s="349"/>
      <c r="BA40" s="349"/>
    </row>
    <row r="41" spans="43:53" ht="15" customHeight="1">
      <c r="AQ41" s="349"/>
      <c r="AR41" s="349"/>
      <c r="AS41" s="349"/>
      <c r="AT41" s="359" t="str">
        <f>IF(OR(AR41="",AS41=""),"",TEXT(WORKDAY(AS41,IF(AR41="Baja",3,IF(AR41="Media",5,0))),"dd-mmm"))</f>
        <v/>
      </c>
      <c r="AU41" s="349"/>
      <c r="AV41" s="349"/>
      <c r="AW41" s="349"/>
      <c r="AX41" s="349"/>
      <c r="AY41" s="349"/>
      <c r="AZ41" s="349"/>
      <c r="BA41" s="349"/>
    </row>
    <row r="42" spans="43:53" ht="15" customHeight="1">
      <c r="AQ42" s="349"/>
      <c r="AR42" s="349"/>
      <c r="AS42" s="349"/>
      <c r="AT42" s="359" t="str">
        <f>IF(OR(AR42="",AS42=""),"",TEXT(WORKDAY(AS42,IF(AR42="Baja",3,IF(AR42="Media",5,0))),"dd-mmm"))</f>
        <v/>
      </c>
      <c r="AU42" s="349"/>
      <c r="AV42" s="349"/>
      <c r="AW42" s="349"/>
      <c r="AX42" s="349"/>
      <c r="AY42" s="349"/>
      <c r="AZ42" s="349"/>
      <c r="BA42" s="349"/>
    </row>
    <row r="43" spans="43:53" ht="15" customHeight="1">
      <c r="AQ43" s="349"/>
      <c r="AR43" s="349"/>
      <c r="AS43" s="349"/>
      <c r="AT43" s="359" t="str">
        <f>IF(OR(AR43="",AS43=""),"",TEXT(WORKDAY(AS43,IF(AR43="Baja",3,IF(AR43="Media",5,0))),"dd-mmm"))</f>
        <v/>
      </c>
      <c r="AU43" s="349"/>
      <c r="AV43" s="349"/>
      <c r="AW43" s="349"/>
      <c r="AX43" s="349"/>
      <c r="AY43" s="349"/>
      <c r="AZ43" s="349"/>
      <c r="BA43" s="349"/>
    </row>
    <row r="44" spans="43:53" ht="15" customHeight="1">
      <c r="AQ44" s="349"/>
      <c r="AR44" s="349"/>
      <c r="AS44" s="349"/>
      <c r="AT44" s="359" t="str">
        <f>IF(OR(AR44="",AS44=""),"",TEXT(WORKDAY(AS44,IF(AR44="Baja",3,IF(AR44="Media",5,0))),"dd-mmm"))</f>
        <v/>
      </c>
      <c r="AU44" s="349"/>
      <c r="AV44" s="349"/>
      <c r="AW44" s="349"/>
      <c r="AX44" s="349"/>
      <c r="AY44" s="349"/>
      <c r="AZ44" s="349"/>
      <c r="BA44" s="349"/>
    </row>
    <row r="45" spans="43:53" ht="15" customHeight="1">
      <c r="AQ45" s="349"/>
      <c r="AR45" s="349"/>
      <c r="AS45" s="349"/>
      <c r="AT45" s="359" t="str">
        <f>IF(OR(AR45="",AS45=""),"",TEXT(WORKDAY(AS45,IF(AR45="Baja",3,IF(AR45="Media",5,0))),"dd-mmm"))</f>
        <v/>
      </c>
      <c r="AU45" s="349"/>
      <c r="AV45" s="349"/>
      <c r="AW45" s="349"/>
      <c r="AX45" s="349"/>
      <c r="AY45" s="349"/>
      <c r="AZ45" s="349"/>
      <c r="BA45" s="349"/>
    </row>
    <row r="46" spans="43:53" ht="15" customHeight="1">
      <c r="AQ46" s="349"/>
      <c r="AR46" s="349"/>
      <c r="AS46" s="349"/>
      <c r="AT46" s="360" t="str">
        <f>IF(OR(AR46="",AS46=""),"",TEXT(WORKDAY(AS46,IF(AR46="Baja",3,IF(AR46="Media",5,0))),"dd-mmm"))</f>
        <v/>
      </c>
      <c r="AU46" s="349"/>
      <c r="AV46" s="349"/>
      <c r="AW46" s="349"/>
      <c r="AX46" s="349"/>
      <c r="AY46" s="349"/>
      <c r="AZ46" s="349"/>
      <c r="BA46" s="349"/>
    </row>
    <row r="47" spans="43:53" ht="15" customHeight="1">
      <c r="AQ47" s="349"/>
      <c r="AR47" s="349"/>
      <c r="AS47" s="349"/>
      <c r="AT47" s="360" t="str">
        <f>IF(OR(AR47="",AS47=""),"",TEXT(WORKDAY(AS47,IF(AR47="Baja",3,IF(AR47="Media",5,0))),"dd-mmm"))</f>
        <v/>
      </c>
      <c r="AU47" s="349"/>
      <c r="AV47" s="349"/>
      <c r="AW47" s="349"/>
      <c r="AX47" s="349"/>
      <c r="AY47" s="349"/>
      <c r="AZ47" s="349"/>
      <c r="BA47" s="349"/>
    </row>
    <row r="48" spans="43:53" ht="15" customHeight="1">
      <c r="AQ48" s="349"/>
      <c r="AR48" s="349"/>
      <c r="AS48" s="349"/>
      <c r="AT48" s="360" t="str">
        <f>IF(OR(AR48="",AS48=""),"",TEXT(WORKDAY(AS48,IF(AR48="Baja",3,IF(AR48="Media",5,0))),"dd-mmm"))</f>
        <v/>
      </c>
      <c r="AU48" s="349"/>
      <c r="AV48" s="349"/>
      <c r="AW48" s="349"/>
      <c r="AX48" s="349"/>
      <c r="AY48" s="349"/>
      <c r="AZ48" s="349"/>
      <c r="BA48" s="349"/>
    </row>
    <row r="49" spans="43:53" ht="15" customHeight="1">
      <c r="AQ49" s="349"/>
      <c r="AR49" s="349"/>
      <c r="AS49" s="349"/>
      <c r="AT49" s="360" t="str">
        <f>IF(OR(AR49="",AS49=""),"",TEXT(WORKDAY(AS49,IF(AR49="Baja",3,IF(AR49="Media",5,0))),"dd-mmm"))</f>
        <v/>
      </c>
      <c r="AU49" s="349"/>
      <c r="AV49" s="349"/>
      <c r="AW49" s="349"/>
      <c r="AX49" s="349"/>
      <c r="AY49" s="349"/>
      <c r="AZ49" s="349"/>
      <c r="BA49" s="349"/>
    </row>
    <row r="50" spans="43:53" ht="15" customHeight="1">
      <c r="AQ50" s="349"/>
      <c r="AR50" s="349"/>
      <c r="AS50" s="349"/>
      <c r="AT50" s="360" t="str">
        <f>IF(OR(AR50="",AS50=""),"",TEXT(WORKDAY(AS50,IF(AR50="Baja",3,IF(AR50="Media",5,0))),"dd-mmm"))</f>
        <v/>
      </c>
      <c r="AU50" s="349"/>
      <c r="AV50" s="349"/>
      <c r="AW50" s="349"/>
      <c r="AX50" s="349"/>
      <c r="AY50" s="349"/>
      <c r="AZ50" s="349"/>
      <c r="BA50" s="349"/>
    </row>
    <row r="51" spans="43:53" ht="15" customHeight="1">
      <c r="AQ51" s="349"/>
      <c r="AR51" s="349"/>
      <c r="AS51" s="349"/>
      <c r="AT51" s="360" t="str">
        <f>IF(OR(AR51="",AS51=""),"",TEXT(WORKDAY(AS51,IF(AR51="Baja",3,IF(AR51="Media",5,0))),"dd-mmm"))</f>
        <v/>
      </c>
      <c r="AU51" s="349"/>
      <c r="AV51" s="349"/>
      <c r="AW51" s="349"/>
      <c r="AX51" s="349"/>
      <c r="AY51" s="349"/>
      <c r="AZ51" s="349"/>
      <c r="BA51" s="349"/>
    </row>
    <row r="52" spans="43:53" ht="15" customHeight="1">
      <c r="AQ52" s="349"/>
      <c r="AR52" s="349"/>
      <c r="AS52" s="349"/>
      <c r="AT52" s="360" t="str">
        <f>IF(OR(AR52="",AS52=""),"",TEXT(WORKDAY(AS52,IF(AR52="Baja",3,IF(AR52="Media",5,0))),"dd-mmm"))</f>
        <v/>
      </c>
      <c r="AU52" s="349"/>
      <c r="AV52" s="349"/>
      <c r="AW52" s="349"/>
      <c r="AX52" s="349"/>
      <c r="AY52" s="349"/>
      <c r="AZ52" s="349"/>
      <c r="BA52" s="349"/>
    </row>
    <row r="53" spans="43:53" ht="15" customHeight="1">
      <c r="AQ53" s="349"/>
      <c r="AR53" s="349"/>
      <c r="AS53" s="349"/>
      <c r="AT53" s="360" t="str">
        <f>IF(OR(AR53="",AS53=""),"",TEXT(WORKDAY(AS53,IF(AR53="Baja",3,IF(AR53="Media",5,0))),"dd-mmm"))</f>
        <v/>
      </c>
      <c r="AU53" s="349"/>
      <c r="AV53" s="349"/>
      <c r="AW53" s="349"/>
      <c r="AX53" s="349"/>
      <c r="AY53" s="349"/>
      <c r="AZ53" s="349"/>
      <c r="BA53" s="349"/>
    </row>
    <row r="54" spans="43:53" ht="15" customHeight="1">
      <c r="AQ54" s="349"/>
      <c r="AR54" s="349"/>
      <c r="AS54" s="349"/>
      <c r="AT54" s="360" t="str">
        <f>IF(OR(AR54="",AS54=""),"",TEXT(WORKDAY(AS54,IF(AR54="Baja",3,IF(AR54="Media",5,0))),"dd-mmm"))</f>
        <v/>
      </c>
      <c r="AU54" s="349"/>
      <c r="AV54" s="349"/>
      <c r="AW54" s="349"/>
      <c r="AX54" s="349"/>
      <c r="AY54" s="349"/>
      <c r="AZ54" s="349"/>
      <c r="BA54" s="349"/>
    </row>
    <row r="55" spans="43:53" ht="15" customHeight="1">
      <c r="AQ55" s="349"/>
      <c r="AR55" s="349"/>
      <c r="AS55" s="349"/>
      <c r="AT55" s="360" t="str">
        <f>IF(OR(AR55="",AS55=""),"",TEXT(WORKDAY(AS55,IF(AR55="Baja",3,IF(AR55="Media",5,0))),"dd-mmm"))</f>
        <v/>
      </c>
      <c r="AU55" s="349"/>
      <c r="AV55" s="349"/>
      <c r="AW55" s="349"/>
      <c r="AX55" s="349"/>
      <c r="AY55" s="349"/>
      <c r="AZ55" s="349"/>
      <c r="BA55" s="349"/>
    </row>
    <row r="56" spans="43:53" ht="15" customHeight="1">
      <c r="AQ56" s="349"/>
      <c r="AR56" s="349"/>
      <c r="AS56" s="349"/>
      <c r="AT56" s="360" t="str">
        <f>IF(OR(AR56="",AS56=""),"",TEXT(WORKDAY(AS56,IF(AR56="Baja",3,IF(AR56="Media",5,0))),"dd-mmm"))</f>
        <v/>
      </c>
      <c r="AU56" s="349"/>
      <c r="AV56" s="349"/>
      <c r="AW56" s="349"/>
      <c r="AX56" s="349"/>
      <c r="AY56" s="349"/>
      <c r="AZ56" s="349"/>
      <c r="BA56" s="349"/>
    </row>
    <row r="57" spans="43:53" ht="15" customHeight="1">
      <c r="AQ57" s="349"/>
      <c r="AR57" s="349"/>
      <c r="AS57" s="349"/>
      <c r="AT57" s="360" t="str">
        <f>IF(OR(AR57="",AS57=""),"",TEXT(WORKDAY(AS57,IF(AR57="Baja",3,IF(AR57="Media",5,0))),"dd-mmm"))</f>
        <v/>
      </c>
      <c r="AU57" s="349"/>
      <c r="AV57" s="349"/>
      <c r="AW57" s="349"/>
      <c r="AX57" s="349"/>
      <c r="AY57" s="349"/>
      <c r="AZ57" s="349"/>
      <c r="BA57" s="349"/>
    </row>
    <row r="58" spans="43:53" ht="15" customHeight="1">
      <c r="AQ58" s="349"/>
      <c r="AR58" s="349"/>
      <c r="AS58" s="349"/>
      <c r="AT58" s="360" t="str">
        <f>IF(OR(AR58="",AS58=""),"",TEXT(WORKDAY(AS58,IF(AR58="Baja",3,IF(AR58="Media",5,0))),"dd-mmm"))</f>
        <v/>
      </c>
      <c r="AU58" s="349"/>
      <c r="AV58" s="349"/>
      <c r="AW58" s="349"/>
      <c r="AX58" s="349"/>
      <c r="AY58" s="349"/>
      <c r="AZ58" s="349"/>
      <c r="BA58" s="349"/>
    </row>
    <row r="59" spans="43:53" ht="15" customHeight="1">
      <c r="AQ59" s="349"/>
      <c r="AR59" s="349"/>
      <c r="AS59" s="349"/>
      <c r="AT59" s="360" t="str">
        <f>IF(OR(AR59="",AS59=""),"",TEXT(WORKDAY(AS59,IF(AR59="Baja",3,IF(AR59="Media",5,0))),"dd-mmm"))</f>
        <v/>
      </c>
      <c r="AU59" s="349"/>
      <c r="AV59" s="349"/>
      <c r="AW59" s="349"/>
      <c r="AX59" s="349"/>
      <c r="AY59" s="349"/>
      <c r="AZ59" s="349"/>
      <c r="BA59" s="349"/>
    </row>
    <row r="60" spans="43:53" ht="15" customHeight="1">
      <c r="AQ60" s="349"/>
      <c r="AR60" s="349"/>
      <c r="AS60" s="349"/>
      <c r="AT60" s="360" t="str">
        <f>IF(OR(AR60="",AS60=""),"",TEXT(WORKDAY(AS60,IF(AR60="Baja",3,IF(AR60="Media",5,0))),"dd-mmm"))</f>
        <v/>
      </c>
      <c r="AU60" s="349"/>
      <c r="AV60" s="349"/>
      <c r="AW60" s="349"/>
      <c r="AX60" s="349"/>
      <c r="AY60" s="349"/>
      <c r="AZ60" s="349"/>
      <c r="BA60" s="349"/>
    </row>
    <row r="61" spans="43:53" ht="15" customHeight="1">
      <c r="AQ61" s="349"/>
      <c r="AR61" s="349"/>
      <c r="AS61" s="349"/>
      <c r="AT61" s="360" t="str">
        <f>IF(OR(AR61="",AS61=""),"",TEXT(WORKDAY(AS61,IF(AR61="Baja",3,IF(AR61="Media",5,0))),"dd-mmm"))</f>
        <v/>
      </c>
      <c r="AU61" s="349"/>
      <c r="AV61" s="349"/>
      <c r="AW61" s="349"/>
      <c r="AX61" s="349"/>
      <c r="AY61" s="349"/>
      <c r="AZ61" s="349"/>
      <c r="BA61" s="349"/>
    </row>
    <row r="62" spans="43:53" ht="15" customHeight="1">
      <c r="AQ62" s="349"/>
      <c r="AR62" s="349"/>
      <c r="AS62" s="349"/>
      <c r="AT62" s="360" t="str">
        <f>IF(OR(AR62="",AS62=""),"",TEXT(WORKDAY(AS62,IF(AR62="Baja",3,IF(AR62="Media",5,0))),"dd-mmm"))</f>
        <v/>
      </c>
      <c r="AU62" s="349"/>
      <c r="AV62" s="349"/>
      <c r="AW62" s="349"/>
      <c r="AX62" s="349"/>
      <c r="AY62" s="349"/>
      <c r="AZ62" s="349"/>
      <c r="BA62" s="349"/>
    </row>
    <row r="63" spans="43:53" ht="15" customHeight="1">
      <c r="AQ63" s="349"/>
      <c r="AR63" s="349"/>
      <c r="AS63" s="349"/>
      <c r="AT63" s="360" t="str">
        <f>IF(OR(AR63="",AS63=""),"",TEXT(WORKDAY(AS63,IF(AR63="Baja",3,IF(AR63="Media",5,0))),"dd-mmm"))</f>
        <v/>
      </c>
      <c r="AU63" s="349"/>
      <c r="AV63" s="349"/>
      <c r="AW63" s="349"/>
      <c r="AX63" s="349"/>
      <c r="AY63" s="349"/>
      <c r="AZ63" s="349"/>
      <c r="BA63" s="349"/>
    </row>
    <row r="64" spans="43:53" ht="15" customHeight="1">
      <c r="AQ64" s="349"/>
      <c r="AR64" s="349"/>
      <c r="AS64" s="349"/>
      <c r="AT64" s="360" t="str">
        <f>IF(OR(AR64="",AS64=""),"",TEXT(WORKDAY(AS64,IF(AR64="Baja",3,IF(AR64="Media",5,0))),"dd-mmm"))</f>
        <v/>
      </c>
      <c r="AU64" s="349"/>
      <c r="AV64" s="349"/>
      <c r="AW64" s="349"/>
      <c r="AX64" s="349"/>
      <c r="AY64" s="349"/>
      <c r="AZ64" s="349"/>
      <c r="BA64" s="349"/>
    </row>
    <row r="65" spans="43:53" ht="15" customHeight="1">
      <c r="AQ65" s="349"/>
      <c r="AR65" s="349"/>
      <c r="AS65" s="349"/>
      <c r="AT65" s="360" t="str">
        <f>IF(OR(AR65="",AS65=""),"",TEXT(WORKDAY(AS65,IF(AR65="Baja",3,IF(AR65="Media",5,0))),"dd-mmm"))</f>
        <v/>
      </c>
      <c r="AU65" s="349"/>
      <c r="AV65" s="349"/>
      <c r="AW65" s="349"/>
      <c r="AX65" s="349"/>
      <c r="AY65" s="349"/>
      <c r="AZ65" s="349"/>
      <c r="BA65" s="349"/>
    </row>
    <row r="66" spans="43:53" ht="15" customHeight="1">
      <c r="AQ66" s="349"/>
      <c r="AR66" s="349"/>
      <c r="AS66" s="349"/>
      <c r="AT66" s="360" t="str">
        <f>IF(OR(AR66="",AS66=""),"",TEXT(WORKDAY(AS66,IF(AR66="Baja",3,IF(AR66="Media",5,0))),"dd-mmm"))</f>
        <v/>
      </c>
      <c r="AU66" s="349"/>
      <c r="AV66" s="349"/>
      <c r="AW66" s="349"/>
      <c r="AX66" s="349"/>
      <c r="AY66" s="349"/>
      <c r="AZ66" s="349"/>
      <c r="BA66" s="349"/>
    </row>
    <row r="67" spans="43:53" ht="15" customHeight="1">
      <c r="AQ67" s="349"/>
      <c r="AR67" s="349"/>
      <c r="AS67" s="349"/>
      <c r="AT67" s="360" t="str">
        <f>IF(OR(AR67="",AS67=""),"",TEXT(WORKDAY(AS67,IF(AR67="Baja",3,IF(AR67="Media",5,0))),"dd-mmm"))</f>
        <v/>
      </c>
      <c r="AU67" s="349"/>
      <c r="AV67" s="349"/>
      <c r="AW67" s="349"/>
      <c r="AX67" s="349"/>
      <c r="AY67" s="349"/>
      <c r="AZ67" s="349"/>
      <c r="BA67" s="349"/>
    </row>
    <row r="68" spans="43:53" ht="15" customHeight="1">
      <c r="AQ68" s="349"/>
      <c r="AR68" s="349"/>
      <c r="AS68" s="349"/>
      <c r="AT68" s="360" t="str">
        <f>IF(OR(AR68="",AS68=""),"",TEXT(WORKDAY(AS68,IF(AR68="Baja",3,IF(AR68="Media",5,0))),"dd-mmm"))</f>
        <v/>
      </c>
      <c r="AU68" s="349"/>
      <c r="AV68" s="349"/>
      <c r="AW68" s="349"/>
      <c r="AX68" s="349"/>
      <c r="AY68" s="349"/>
      <c r="AZ68" s="349"/>
      <c r="BA68" s="349"/>
    </row>
    <row r="69" spans="43:53" ht="15" customHeight="1">
      <c r="AQ69" s="349"/>
      <c r="AR69" s="349"/>
      <c r="AS69" s="349"/>
      <c r="AT69" s="360" t="str">
        <f>IF(OR(AR69="",AS69=""),"",TEXT(WORKDAY(AS69,IF(AR69="Baja",3,IF(AR69="Media",5,0))),"dd-mmm"))</f>
        <v/>
      </c>
      <c r="AU69" s="349"/>
      <c r="AV69" s="349"/>
      <c r="AW69" s="349"/>
      <c r="AX69" s="349"/>
      <c r="AY69" s="349"/>
      <c r="AZ69" s="349"/>
      <c r="BA69" s="349"/>
    </row>
    <row r="70" spans="43:53" ht="15" customHeight="1">
      <c r="AQ70" s="349"/>
      <c r="AR70" s="349"/>
      <c r="AS70" s="349"/>
      <c r="AT70" s="360" t="str">
        <f>IF(OR(AR70="",AS70=""),"",TEXT(WORKDAY(AS70,IF(AR70="Baja",3,IF(AR70="Media",5,0))),"dd-mmm"))</f>
        <v/>
      </c>
      <c r="AU70" s="349"/>
      <c r="AV70" s="349"/>
      <c r="AW70" s="349"/>
      <c r="AX70" s="349"/>
      <c r="AY70" s="349"/>
      <c r="AZ70" s="349"/>
      <c r="BA70" s="349"/>
    </row>
    <row r="71" spans="43:53" ht="15" customHeight="1">
      <c r="AQ71" s="349"/>
      <c r="AR71" s="349"/>
      <c r="AS71" s="349"/>
      <c r="AT71" s="360" t="str">
        <f>IF(OR(AR71="",AS71=""),"",TEXT(WORKDAY(AS71,IF(AR71="Baja",3,IF(AR71="Media",5,0))),"dd-mmm"))</f>
        <v/>
      </c>
      <c r="AU71" s="349"/>
      <c r="AV71" s="349"/>
      <c r="AW71" s="349"/>
      <c r="AX71" s="349"/>
      <c r="AY71" s="349"/>
      <c r="AZ71" s="349"/>
      <c r="BA71" s="349"/>
    </row>
    <row r="72" spans="43:53" ht="15" customHeight="1">
      <c r="AQ72" s="349"/>
      <c r="AR72" s="349"/>
      <c r="AS72" s="349"/>
      <c r="AT72" s="360" t="str">
        <f>IF(OR(AR72="",AS72=""),"",TEXT(WORKDAY(AS72,IF(AR72="Baja",3,IF(AR72="Media",5,0))),"dd-mmm"))</f>
        <v/>
      </c>
      <c r="AU72" s="349"/>
      <c r="AV72" s="349"/>
      <c r="AW72" s="349"/>
      <c r="AX72" s="349"/>
      <c r="AY72" s="349"/>
      <c r="AZ72" s="349"/>
      <c r="BA72" s="349"/>
    </row>
    <row r="73" spans="43:53" ht="15" customHeight="1">
      <c r="AQ73" s="349"/>
      <c r="AR73" s="349"/>
      <c r="AS73" s="349"/>
      <c r="AT73" s="360" t="str">
        <f>IF(OR(AR73="",AS73=""),"",TEXT(WORKDAY(AS73,IF(AR73="Baja",3,IF(AR73="Media",5,0))),"dd-mmm"))</f>
        <v/>
      </c>
      <c r="AU73" s="349"/>
      <c r="AV73" s="349"/>
      <c r="AW73" s="349"/>
      <c r="AX73" s="349"/>
      <c r="AY73" s="349"/>
      <c r="AZ73" s="349"/>
      <c r="BA73" s="349"/>
    </row>
    <row r="74" spans="43:53" ht="15" customHeight="1">
      <c r="AQ74" s="349"/>
      <c r="AR74" s="349"/>
      <c r="AS74" s="349"/>
      <c r="AT74" s="360" t="str">
        <f>IF(OR(AR74="",AS74=""),"",TEXT(WORKDAY(AS74,IF(AR74="Baja",3,IF(AR74="Media",5,0))),"dd-mmm"))</f>
        <v/>
      </c>
      <c r="AU74" s="349"/>
      <c r="AV74" s="349"/>
      <c r="AW74" s="349"/>
      <c r="AX74" s="349"/>
      <c r="AY74" s="349"/>
      <c r="AZ74" s="349"/>
      <c r="BA74" s="349"/>
    </row>
    <row r="75" spans="43:53" ht="15" customHeight="1">
      <c r="AQ75" s="349"/>
      <c r="AR75" s="349"/>
      <c r="AS75" s="349"/>
      <c r="AT75" s="360" t="str">
        <f>IF(OR(AR75="",AS75=""),"",TEXT(WORKDAY(AS75,IF(AR75="Baja",3,IF(AR75="Media",5,0))),"dd-mmm"))</f>
        <v/>
      </c>
      <c r="AU75" s="349"/>
      <c r="AV75" s="349"/>
      <c r="AW75" s="349"/>
      <c r="AX75" s="349"/>
      <c r="AY75" s="349"/>
      <c r="AZ75" s="349"/>
      <c r="BA75" s="349"/>
    </row>
    <row r="76" spans="43:53" ht="15" customHeight="1">
      <c r="AQ76" s="349"/>
      <c r="AR76" s="349"/>
      <c r="AS76" s="349"/>
      <c r="AT76" s="360" t="str">
        <f>IF(OR(AR76="",AS76=""),"",TEXT(WORKDAY(AS76,IF(AR76="Baja",3,IF(AR76="Media",5,0))),"dd-mmm"))</f>
        <v/>
      </c>
      <c r="AU76" s="349"/>
      <c r="AV76" s="349"/>
      <c r="AW76" s="349"/>
      <c r="AX76" s="349"/>
      <c r="AY76" s="349"/>
      <c r="AZ76" s="349"/>
      <c r="BA76" s="349"/>
    </row>
    <row r="77" spans="43:53" ht="15" customHeight="1">
      <c r="AQ77" s="349"/>
      <c r="AR77" s="349"/>
      <c r="AS77" s="349"/>
      <c r="AT77" s="360" t="str">
        <f>IF(OR(AR77="",AS77=""),"",TEXT(WORKDAY(AS77,IF(AR77="Baja",3,IF(AR77="Media",5,0))),"dd-mmm"))</f>
        <v/>
      </c>
      <c r="AU77" s="349"/>
      <c r="AV77" s="349"/>
      <c r="AW77" s="349"/>
      <c r="AX77" s="349"/>
      <c r="AY77" s="349"/>
      <c r="AZ77" s="349"/>
      <c r="BA77" s="349"/>
    </row>
    <row r="78" spans="43:53" ht="15" customHeight="1">
      <c r="AQ78" s="349"/>
      <c r="AR78" s="349"/>
      <c r="AS78" s="349"/>
      <c r="AT78" s="360" t="str">
        <f>IF(OR(AR78="",AS78=""),"",TEXT(WORKDAY(AS78,IF(AR78="Baja",3,IF(AR78="Media",5,0))),"dd-mmm"))</f>
        <v/>
      </c>
      <c r="AU78" s="349"/>
      <c r="AV78" s="349"/>
      <c r="AW78" s="349"/>
      <c r="AX78" s="349"/>
      <c r="AY78" s="349"/>
      <c r="AZ78" s="349"/>
      <c r="BA78" s="349"/>
    </row>
    <row r="79" spans="43:53" ht="15" customHeight="1">
      <c r="AQ79" s="349"/>
      <c r="AR79" s="349"/>
      <c r="AS79" s="349"/>
      <c r="AT79" s="360" t="str">
        <f>IF(OR(AR79="",AS79=""),"",TEXT(WORKDAY(AS79,IF(AR79="Baja",3,IF(AR79="Media",5,0))),"dd-mmm"))</f>
        <v/>
      </c>
      <c r="AU79" s="349"/>
      <c r="AV79" s="349"/>
      <c r="AW79" s="349"/>
      <c r="AX79" s="349"/>
      <c r="AY79" s="349"/>
      <c r="AZ79" s="349"/>
      <c r="BA79" s="349"/>
    </row>
  </sheetData>
  <sheetProtection algorithmName="SHA-512" hashValue="3+Bj3pfBvFvHa9gNt7aY1d2QLBKbljjiTmZunJLEOnFg8dMHgZWc7xKouGFurQ1Jo81mff8SVC3A+TFupnD/Ng==" saltValue="Vkq7E3ApsCr0NcuaAtPMbw=="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BC79" xr:uid="{CC9C5CF8-0000-496B-A2C3-C328268A9AD7}">
    <sortState xmlns:xlrd2="http://schemas.microsoft.com/office/spreadsheetml/2017/richdata2" ref="A2:BC79">
      <sortCondition ref="A1:A18"/>
    </sortState>
  </autoFilter>
  <dataValidations count="3">
    <dataValidation type="list" allowBlank="1" showInputMessage="1" showErrorMessage="1" errorTitle="Valor no válido" error="Por favor seleccione una opción de la lista: Pendiente o Finalizado" sqref="AZ2:AZ79" xr:uid="{5217728F-F46E-48D3-8519-B9F7DF46E9D4}">
      <formula1>"Pendiente,Finalizado"</formula1>
    </dataValidation>
    <dataValidation type="list" allowBlank="1" showInputMessage="1" showErrorMessage="1" errorTitle="Valor no válido" error="Por favor seleccione una opción de la lista: Baja o Media." sqref="AR2:AR79" xr:uid="{F4602CDB-008B-49B8-8A9D-013CB5C8ACBB}">
      <formula1>"Baja,Media"</formula1>
    </dataValidation>
    <dataValidation type="list" allowBlank="1" showInputMessage="1" showErrorMessage="1" errorTitle="Valor no válido" error="Por favor seleccione una opción de la lista desplegable." sqref="AQ2:AQ79" xr:uid="{87356026-967F-4A0D-A9C0-B0574FCA2933}">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tabColor theme="5" tint="-0.249977111117893"/>
  </sheetPr>
  <dimension ref="A1:BG79"/>
  <sheetViews>
    <sheetView zoomScale="89" zoomScaleNormal="89" workbookViewId="0">
      <pane xSplit="6" ySplit="1" topLeftCell="AP2" activePane="bottomRight" state="frozen"/>
      <selection pane="bottomRight" activeCell="AQ1" sqref="AQ1:BA1048576"/>
      <selection pane="bottomLeft" activeCell="A2" sqref="A2"/>
      <selection pane="topRight" activeCell="G1" sqref="G1"/>
    </sheetView>
  </sheetViews>
  <sheetFormatPr defaultColWidth="20.42578125" defaultRowHeight="15" customHeight="1"/>
  <cols>
    <col min="1" max="1" width="6.42578125" style="39" customWidth="1"/>
    <col min="2" max="2" width="11.7109375" customWidth="1"/>
    <col min="3" max="3" width="11.140625" customWidth="1"/>
    <col min="4" max="4" width="20.42578125" customWidth="1"/>
    <col min="5" max="5" width="13.7109375" customWidth="1"/>
    <col min="6" max="6" width="40.42578125" customWidth="1"/>
    <col min="7" max="7" width="45.5703125" customWidth="1"/>
    <col min="8" max="15" width="20.42578125" customWidth="1"/>
    <col min="16" max="16" width="13.140625" customWidth="1"/>
    <col min="17" max="17" width="20.42578125" customWidth="1"/>
    <col min="18" max="18" width="31.42578125" customWidth="1"/>
    <col min="19" max="25" width="20.42578125" customWidth="1"/>
    <col min="26" max="26" width="42.5703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219" customWidth="1"/>
    <col min="38" max="41" width="20.42578125" customWidth="1"/>
    <col min="42" max="42" width="38.28515625" customWidth="1"/>
    <col min="43" max="43" width="27.85546875" style="10" customWidth="1"/>
    <col min="44" max="44" width="14.7109375" style="10" customWidth="1"/>
    <col min="45" max="45" width="18" style="10" customWidth="1"/>
    <col min="46" max="46" width="20.28515625" style="361" customWidth="1"/>
    <col min="47" max="47" width="23.5703125" style="10" customWidth="1"/>
    <col min="48" max="48" width="22" style="10" customWidth="1"/>
    <col min="49" max="49" width="15.140625" style="10" customWidth="1"/>
    <col min="50" max="50" width="18" style="10" customWidth="1"/>
    <col min="51" max="51" width="21.85546875" style="10" customWidth="1"/>
    <col min="52" max="52" width="20.7109375" style="10" customWidth="1"/>
    <col min="53" max="53" width="18.42578125" style="10" customWidth="1"/>
    <col min="54" max="55" width="20.42578125" customWidth="1"/>
    <col min="56" max="57" width="28.42578125" customWidth="1"/>
    <col min="58" max="59" width="20.42578125" style="203" customWidth="1"/>
    <col min="60" max="60" width="20.42578125" customWidth="1"/>
  </cols>
  <sheetData>
    <row r="1" spans="1:59" s="59" customFormat="1" ht="43.5">
      <c r="A1" s="267" t="s">
        <v>5</v>
      </c>
      <c r="B1" s="268" t="s">
        <v>6</v>
      </c>
      <c r="C1" s="268" t="s">
        <v>7</v>
      </c>
      <c r="D1" s="267" t="s">
        <v>8</v>
      </c>
      <c r="E1" s="267" t="s">
        <v>9</v>
      </c>
      <c r="F1" s="267" t="s">
        <v>10</v>
      </c>
      <c r="G1" s="267" t="s">
        <v>11</v>
      </c>
      <c r="H1" s="267" t="s">
        <v>12</v>
      </c>
      <c r="I1" s="267" t="s">
        <v>13</v>
      </c>
      <c r="J1" s="249" t="s">
        <v>14</v>
      </c>
      <c r="K1" s="267" t="s">
        <v>170</v>
      </c>
      <c r="L1" s="249" t="s">
        <v>16</v>
      </c>
      <c r="M1" s="249" t="s">
        <v>17</v>
      </c>
      <c r="N1" s="267" t="s">
        <v>18</v>
      </c>
      <c r="O1" s="267" t="s">
        <v>171</v>
      </c>
      <c r="P1" s="267" t="s">
        <v>20</v>
      </c>
      <c r="Q1" s="249" t="s">
        <v>21</v>
      </c>
      <c r="R1" s="267" t="s">
        <v>22</v>
      </c>
      <c r="S1" s="159" t="s">
        <v>23</v>
      </c>
      <c r="T1" s="249" t="s">
        <v>24</v>
      </c>
      <c r="U1" s="249" t="s">
        <v>25</v>
      </c>
      <c r="V1" s="267" t="s">
        <v>26</v>
      </c>
      <c r="W1" s="267" t="s">
        <v>173</v>
      </c>
      <c r="X1" s="249" t="s">
        <v>28</v>
      </c>
      <c r="Y1" s="267" t="s">
        <v>29</v>
      </c>
      <c r="Z1" s="269" t="s">
        <v>174</v>
      </c>
      <c r="AA1" s="269" t="s">
        <v>31</v>
      </c>
      <c r="AB1" s="175" t="s">
        <v>33</v>
      </c>
      <c r="AC1" s="175" t="s">
        <v>34</v>
      </c>
      <c r="AD1" s="225" t="s">
        <v>35</v>
      </c>
      <c r="AE1" s="208" t="s">
        <v>36</v>
      </c>
      <c r="AF1" s="176" t="s">
        <v>37</v>
      </c>
      <c r="AG1" s="176" t="s">
        <v>38</v>
      </c>
      <c r="AH1" s="208" t="s">
        <v>39</v>
      </c>
      <c r="AI1" s="210" t="s">
        <v>40</v>
      </c>
      <c r="AJ1" s="211" t="s">
        <v>41</v>
      </c>
      <c r="AK1" s="208" t="s">
        <v>42</v>
      </c>
      <c r="AL1" s="208" t="s">
        <v>43</v>
      </c>
      <c r="AM1" s="208" t="s">
        <v>1633</v>
      </c>
      <c r="AN1" s="166" t="s">
        <v>178</v>
      </c>
      <c r="AO1" s="208" t="s">
        <v>45</v>
      </c>
      <c r="AP1" s="208" t="s">
        <v>46</v>
      </c>
      <c r="AQ1" s="356" t="s">
        <v>535</v>
      </c>
      <c r="AR1" s="356" t="s">
        <v>536</v>
      </c>
      <c r="AS1" s="356" t="s">
        <v>537</v>
      </c>
      <c r="AT1" s="358" t="s">
        <v>538</v>
      </c>
      <c r="AU1" s="362" t="s">
        <v>39</v>
      </c>
      <c r="AV1" s="363" t="s">
        <v>176</v>
      </c>
      <c r="AW1" s="362" t="s">
        <v>177</v>
      </c>
      <c r="AX1" s="362" t="s">
        <v>43</v>
      </c>
      <c r="AY1" s="362" t="s">
        <v>539</v>
      </c>
      <c r="AZ1" s="362" t="s">
        <v>540</v>
      </c>
      <c r="BA1" s="362" t="s">
        <v>46</v>
      </c>
      <c r="BB1" s="200" t="s">
        <v>1634</v>
      </c>
      <c r="BC1" s="200" t="s">
        <v>46</v>
      </c>
      <c r="BD1" s="259" t="s">
        <v>1635</v>
      </c>
      <c r="BE1" s="259" t="s">
        <v>1636</v>
      </c>
      <c r="BF1" s="266" t="s">
        <v>1904</v>
      </c>
      <c r="BG1" s="266" t="s">
        <v>1905</v>
      </c>
    </row>
    <row r="2" spans="1:59" ht="64.5" customHeight="1">
      <c r="A2" s="234">
        <v>161</v>
      </c>
      <c r="B2" s="243">
        <v>46155.444895833301</v>
      </c>
      <c r="C2" s="243">
        <v>46155.537881944401</v>
      </c>
      <c r="D2" s="234" t="s">
        <v>1906</v>
      </c>
      <c r="E2" s="234" t="s">
        <v>1907</v>
      </c>
      <c r="F2" s="234" t="s">
        <v>1908</v>
      </c>
      <c r="G2" s="234" t="s">
        <v>1909</v>
      </c>
      <c r="H2" s="234" t="s">
        <v>158</v>
      </c>
      <c r="I2" s="234" t="s">
        <v>241</v>
      </c>
      <c r="J2" s="260" t="s">
        <v>1910</v>
      </c>
      <c r="K2" s="234" t="s">
        <v>1911</v>
      </c>
      <c r="L2" s="243" t="s">
        <v>1912</v>
      </c>
      <c r="M2" s="243">
        <v>46156</v>
      </c>
      <c r="N2" s="234" t="s">
        <v>57</v>
      </c>
      <c r="O2" s="234">
        <v>0</v>
      </c>
      <c r="P2" s="234">
        <v>0</v>
      </c>
      <c r="Q2" s="260" t="s">
        <v>79</v>
      </c>
      <c r="R2" s="234" t="s">
        <v>1913</v>
      </c>
      <c r="S2" s="234" t="s">
        <v>1914</v>
      </c>
      <c r="T2" s="234" t="s">
        <v>1915</v>
      </c>
      <c r="U2" s="260" t="s">
        <v>130</v>
      </c>
      <c r="V2" s="234" t="s">
        <v>63</v>
      </c>
      <c r="W2" s="234" t="s">
        <v>188</v>
      </c>
      <c r="X2" s="260" t="s">
        <v>166</v>
      </c>
      <c r="Y2" s="234" t="s">
        <v>1916</v>
      </c>
      <c r="Z2" s="234" t="s">
        <v>1917</v>
      </c>
      <c r="AA2" s="310"/>
      <c r="AB2" s="270" t="s">
        <v>390</v>
      </c>
      <c r="AC2" s="250" t="s">
        <v>68</v>
      </c>
      <c r="AD2" s="254">
        <v>46163</v>
      </c>
      <c r="AE2" s="250" t="s">
        <v>4</v>
      </c>
      <c r="AF2" s="254">
        <v>46163</v>
      </c>
      <c r="AG2" s="254">
        <v>46163</v>
      </c>
      <c r="AH2" s="250">
        <v>1</v>
      </c>
      <c r="AI2" s="251">
        <v>0</v>
      </c>
      <c r="AJ2" s="252">
        <v>0</v>
      </c>
      <c r="AK2" s="253"/>
      <c r="AL2" s="252" t="s">
        <v>711</v>
      </c>
      <c r="AM2" s="250" t="s">
        <v>1918</v>
      </c>
      <c r="AN2" s="250" t="s">
        <v>188</v>
      </c>
      <c r="AO2" s="250" t="s">
        <v>403</v>
      </c>
      <c r="AP2" s="250"/>
      <c r="AQ2" s="349"/>
      <c r="AR2" s="349"/>
      <c r="AS2" s="364"/>
      <c r="AT2" s="359"/>
      <c r="AU2" s="349"/>
      <c r="AV2" s="349"/>
      <c r="AW2" s="349"/>
      <c r="AX2" s="349"/>
      <c r="AY2" s="349"/>
      <c r="AZ2" s="349"/>
      <c r="BA2" s="349"/>
      <c r="BB2" s="254" t="s">
        <v>224</v>
      </c>
      <c r="BC2" s="250"/>
      <c r="BD2" s="250" t="s">
        <v>1919</v>
      </c>
      <c r="BE2" s="250"/>
      <c r="BF2" s="271"/>
      <c r="BG2" s="271"/>
    </row>
    <row r="3" spans="1:59" ht="118.5" customHeight="1">
      <c r="A3" s="234">
        <v>23</v>
      </c>
      <c r="B3" s="243">
        <v>46042.744837963</v>
      </c>
      <c r="C3" s="243">
        <v>46042.760972222197</v>
      </c>
      <c r="D3" s="234" t="s">
        <v>855</v>
      </c>
      <c r="E3" s="234" t="s">
        <v>856</v>
      </c>
      <c r="F3" s="234" t="s">
        <v>1050</v>
      </c>
      <c r="G3" s="234" t="s">
        <v>1062</v>
      </c>
      <c r="H3" s="234" t="s">
        <v>75</v>
      </c>
      <c r="I3" s="234" t="s">
        <v>91</v>
      </c>
      <c r="J3" s="260" t="s">
        <v>1051</v>
      </c>
      <c r="K3" s="234"/>
      <c r="L3" s="243" t="s">
        <v>258</v>
      </c>
      <c r="M3" s="243">
        <v>46112</v>
      </c>
      <c r="N3" s="234" t="s">
        <v>57</v>
      </c>
      <c r="O3" s="234"/>
      <c r="P3" s="234"/>
      <c r="Q3" s="260" t="s">
        <v>79</v>
      </c>
      <c r="R3" s="234" t="s">
        <v>1054</v>
      </c>
      <c r="S3" s="234"/>
      <c r="T3" s="234" t="s">
        <v>1055</v>
      </c>
      <c r="U3" s="260" t="s">
        <v>82</v>
      </c>
      <c r="V3" s="234" t="s">
        <v>623</v>
      </c>
      <c r="W3" s="234" t="s">
        <v>188</v>
      </c>
      <c r="X3" s="260" t="s">
        <v>84</v>
      </c>
      <c r="Y3" s="234" t="s">
        <v>1064</v>
      </c>
      <c r="Z3" s="236" t="s">
        <v>1065</v>
      </c>
      <c r="AA3" s="310"/>
      <c r="AB3" s="270" t="s">
        <v>1725</v>
      </c>
      <c r="AC3" s="250"/>
      <c r="AD3" s="254"/>
      <c r="AE3" s="250" t="s">
        <v>3</v>
      </c>
      <c r="AF3" s="254"/>
      <c r="AG3" s="254"/>
      <c r="AH3" s="250">
        <v>2</v>
      </c>
      <c r="AI3" s="251"/>
      <c r="AJ3" s="252">
        <v>33500</v>
      </c>
      <c r="AK3" s="253" t="s">
        <v>1920</v>
      </c>
      <c r="AL3" s="252" t="s">
        <v>223</v>
      </c>
      <c r="AM3" s="250" t="s">
        <v>1651</v>
      </c>
      <c r="AN3" s="250"/>
      <c r="AO3" s="250" t="s">
        <v>403</v>
      </c>
      <c r="AP3" s="250"/>
      <c r="AQ3" s="349"/>
      <c r="AR3" s="349"/>
      <c r="AS3" s="364"/>
      <c r="AT3" s="359" t="str">
        <f t="shared" ref="AT3:AT66" si="0">IF(OR(AR3="",AS3=""),"",TEXT(WORKDAY(AS3,IF(AR3="Baja",3,IF(AR3="Media",5,0))),"dd-mmm"))</f>
        <v/>
      </c>
      <c r="AU3" s="349"/>
      <c r="AV3" s="349"/>
      <c r="AW3" s="349"/>
      <c r="AX3" s="349"/>
      <c r="AY3" s="349"/>
      <c r="AZ3" s="349"/>
      <c r="BA3" s="349"/>
      <c r="BB3" s="254" t="s">
        <v>83</v>
      </c>
      <c r="BC3" s="250"/>
      <c r="BD3" s="250" t="s">
        <v>224</v>
      </c>
      <c r="BE3" s="250" t="s">
        <v>1921</v>
      </c>
      <c r="BF3" s="271"/>
      <c r="BG3" s="271"/>
    </row>
    <row r="4" spans="1:59" ht="66.75" customHeight="1">
      <c r="A4" s="234">
        <v>55</v>
      </c>
      <c r="B4" s="243">
        <v>46071.365555555603</v>
      </c>
      <c r="C4" s="243">
        <v>46071.394305555601</v>
      </c>
      <c r="D4" s="234" t="s">
        <v>765</v>
      </c>
      <c r="E4" s="234" t="s">
        <v>766</v>
      </c>
      <c r="F4" s="234" t="s">
        <v>1922</v>
      </c>
      <c r="G4" s="234" t="s">
        <v>768</v>
      </c>
      <c r="H4" s="234" t="s">
        <v>75</v>
      </c>
      <c r="I4" s="234" t="s">
        <v>76</v>
      </c>
      <c r="J4" s="260" t="s">
        <v>1923</v>
      </c>
      <c r="K4" s="234"/>
      <c r="L4" s="243" t="s">
        <v>184</v>
      </c>
      <c r="M4" s="243">
        <v>46102</v>
      </c>
      <c r="N4" s="234" t="s">
        <v>57</v>
      </c>
      <c r="O4" s="234"/>
      <c r="P4" s="234"/>
      <c r="Q4" s="260" t="s">
        <v>79</v>
      </c>
      <c r="R4" s="234" t="s">
        <v>771</v>
      </c>
      <c r="S4" s="234"/>
      <c r="T4" s="234" t="s">
        <v>772</v>
      </c>
      <c r="U4" s="260" t="s">
        <v>130</v>
      </c>
      <c r="V4" s="234" t="s">
        <v>779</v>
      </c>
      <c r="W4" s="234" t="s">
        <v>188</v>
      </c>
      <c r="X4" s="260" t="s">
        <v>149</v>
      </c>
      <c r="Y4" s="234" t="s">
        <v>781</v>
      </c>
      <c r="Z4" s="234" t="s">
        <v>782</v>
      </c>
      <c r="AA4" s="310"/>
      <c r="AB4" s="270" t="s">
        <v>67</v>
      </c>
      <c r="AC4" s="250"/>
      <c r="AD4" s="254"/>
      <c r="AE4" s="250" t="s">
        <v>3</v>
      </c>
      <c r="AF4" s="254"/>
      <c r="AG4" s="254"/>
      <c r="AH4" s="250" t="s">
        <v>783</v>
      </c>
      <c r="AI4" s="251"/>
      <c r="AJ4" s="252">
        <v>92035.25</v>
      </c>
      <c r="AK4" s="253" t="s">
        <v>785</v>
      </c>
      <c r="AL4" s="252" t="s">
        <v>631</v>
      </c>
      <c r="AM4" s="250" t="s">
        <v>208</v>
      </c>
      <c r="AN4" s="250"/>
      <c r="AO4" s="250" t="s">
        <v>403</v>
      </c>
      <c r="AP4" s="250"/>
      <c r="AQ4" s="349"/>
      <c r="AR4" s="349"/>
      <c r="AS4" s="364"/>
      <c r="AT4" s="359" t="str">
        <f t="shared" si="0"/>
        <v/>
      </c>
      <c r="AU4" s="349"/>
      <c r="AV4" s="349"/>
      <c r="AW4" s="349"/>
      <c r="AX4" s="349"/>
      <c r="AY4" s="349"/>
      <c r="AZ4" s="349"/>
      <c r="BA4" s="349"/>
      <c r="BB4" s="254" t="s">
        <v>224</v>
      </c>
      <c r="BC4" s="250"/>
      <c r="BD4" s="250" t="s">
        <v>224</v>
      </c>
      <c r="BE4" s="250" t="s">
        <v>1924</v>
      </c>
      <c r="BF4" s="271"/>
      <c r="BG4" s="271"/>
    </row>
    <row r="5" spans="1:59" ht="71.25" customHeight="1">
      <c r="A5" s="234">
        <v>56</v>
      </c>
      <c r="B5" s="243">
        <v>46071.782638888886</v>
      </c>
      <c r="C5" s="243">
        <v>46071.78402777778</v>
      </c>
      <c r="D5" s="234" t="s">
        <v>765</v>
      </c>
      <c r="E5" s="234" t="s">
        <v>766</v>
      </c>
      <c r="F5" s="234" t="s">
        <v>806</v>
      </c>
      <c r="G5" s="234" t="s">
        <v>1925</v>
      </c>
      <c r="H5" s="234" t="s">
        <v>75</v>
      </c>
      <c r="I5" s="234" t="s">
        <v>76</v>
      </c>
      <c r="J5" s="260" t="s">
        <v>1923</v>
      </c>
      <c r="K5" s="234"/>
      <c r="L5" s="243" t="s">
        <v>184</v>
      </c>
      <c r="M5" s="243">
        <v>46101</v>
      </c>
      <c r="N5" s="234" t="s">
        <v>57</v>
      </c>
      <c r="O5" s="234"/>
      <c r="P5" s="234"/>
      <c r="Q5" s="260" t="s">
        <v>79</v>
      </c>
      <c r="R5" s="234" t="s">
        <v>810</v>
      </c>
      <c r="S5" s="234"/>
      <c r="T5" s="234" t="s">
        <v>811</v>
      </c>
      <c r="U5" s="260" t="s">
        <v>370</v>
      </c>
      <c r="V5" s="234" t="s">
        <v>818</v>
      </c>
      <c r="W5" s="234" t="s">
        <v>188</v>
      </c>
      <c r="X5" s="260" t="s">
        <v>84</v>
      </c>
      <c r="Y5" s="234" t="s">
        <v>1926</v>
      </c>
      <c r="Z5" s="234" t="s">
        <v>821</v>
      </c>
      <c r="AA5" s="310"/>
      <c r="AB5" s="270" t="s">
        <v>67</v>
      </c>
      <c r="AC5" s="250"/>
      <c r="AD5" s="254"/>
      <c r="AE5" s="250" t="s">
        <v>3</v>
      </c>
      <c r="AF5" s="254"/>
      <c r="AG5" s="254"/>
      <c r="AH5" s="250">
        <v>3</v>
      </c>
      <c r="AI5" s="251"/>
      <c r="AJ5" s="252">
        <v>47790</v>
      </c>
      <c r="AK5" s="253" t="s">
        <v>1927</v>
      </c>
      <c r="AL5" s="252" t="s">
        <v>631</v>
      </c>
      <c r="AM5" s="250"/>
      <c r="AN5" s="250"/>
      <c r="AO5" s="250" t="s">
        <v>403</v>
      </c>
      <c r="AP5" s="250"/>
      <c r="AQ5" s="349"/>
      <c r="AR5" s="349"/>
      <c r="AS5" s="349"/>
      <c r="AT5" s="359" t="str">
        <f t="shared" si="0"/>
        <v/>
      </c>
      <c r="AU5" s="349"/>
      <c r="AV5" s="349"/>
      <c r="AW5" s="349"/>
      <c r="AX5" s="349"/>
      <c r="AY5" s="349"/>
      <c r="AZ5" s="349"/>
      <c r="BA5" s="349"/>
      <c r="BB5" s="254" t="s">
        <v>224</v>
      </c>
      <c r="BC5" s="250"/>
      <c r="BD5" s="250" t="s">
        <v>224</v>
      </c>
      <c r="BE5" s="250" t="s">
        <v>1924</v>
      </c>
      <c r="BF5" s="271"/>
      <c r="BG5" s="271"/>
    </row>
    <row r="6" spans="1:59" ht="55.5" customHeight="1">
      <c r="A6" s="234">
        <v>130</v>
      </c>
      <c r="B6" s="243">
        <v>46142.660879629599</v>
      </c>
      <c r="C6" s="243">
        <v>46142.680972222202</v>
      </c>
      <c r="D6" s="234" t="s">
        <v>226</v>
      </c>
      <c r="E6" s="234" t="s">
        <v>227</v>
      </c>
      <c r="F6" s="234" t="s">
        <v>1928</v>
      </c>
      <c r="G6" s="234" t="s">
        <v>1929</v>
      </c>
      <c r="H6" s="234" t="s">
        <v>158</v>
      </c>
      <c r="I6" s="234" t="s">
        <v>393</v>
      </c>
      <c r="J6" s="260" t="s">
        <v>1930</v>
      </c>
      <c r="K6" s="234"/>
      <c r="L6" s="243" t="s">
        <v>258</v>
      </c>
      <c r="M6" s="243">
        <v>46296</v>
      </c>
      <c r="N6" s="234" t="s">
        <v>57</v>
      </c>
      <c r="O6" s="234">
        <v>0</v>
      </c>
      <c r="P6" s="234"/>
      <c r="Q6" s="260" t="s">
        <v>79</v>
      </c>
      <c r="R6" s="234" t="s">
        <v>1931</v>
      </c>
      <c r="S6" s="234" t="s">
        <v>1932</v>
      </c>
      <c r="T6" s="234" t="s">
        <v>1933</v>
      </c>
      <c r="U6" s="260" t="s">
        <v>130</v>
      </c>
      <c r="V6" s="234" t="s">
        <v>63</v>
      </c>
      <c r="W6" s="234" t="s">
        <v>188</v>
      </c>
      <c r="X6" s="260" t="s">
        <v>166</v>
      </c>
      <c r="Y6" s="234" t="s">
        <v>1934</v>
      </c>
      <c r="Z6" s="234" t="s">
        <v>1935</v>
      </c>
      <c r="AA6" s="310"/>
      <c r="AB6" s="270" t="s">
        <v>152</v>
      </c>
      <c r="AC6" s="250" t="s">
        <v>68</v>
      </c>
      <c r="AD6" s="254">
        <v>46149</v>
      </c>
      <c r="AE6" s="250"/>
      <c r="AF6" s="254"/>
      <c r="AG6" s="254"/>
      <c r="AH6" s="250">
        <v>4</v>
      </c>
      <c r="AI6" s="251"/>
      <c r="AJ6" s="252">
        <v>90000</v>
      </c>
      <c r="AK6" s="253"/>
      <c r="AL6" s="252" t="s">
        <v>631</v>
      </c>
      <c r="AM6" s="250" t="s">
        <v>208</v>
      </c>
      <c r="AN6" s="250"/>
      <c r="AO6" s="250" t="s">
        <v>403</v>
      </c>
      <c r="AP6" s="250"/>
      <c r="AQ6" s="349"/>
      <c r="AR6" s="349"/>
      <c r="AS6" s="349"/>
      <c r="AT6" s="359" t="str">
        <f t="shared" si="0"/>
        <v/>
      </c>
      <c r="AU6" s="349"/>
      <c r="AV6" s="349"/>
      <c r="AW6" s="349"/>
      <c r="AX6" s="349"/>
      <c r="AY6" s="349"/>
      <c r="AZ6" s="349"/>
      <c r="BA6" s="349"/>
      <c r="BB6" s="254" t="s">
        <v>224</v>
      </c>
      <c r="BC6" s="250"/>
      <c r="BD6" s="250" t="s">
        <v>224</v>
      </c>
      <c r="BE6" s="250" t="s">
        <v>1936</v>
      </c>
      <c r="BF6" s="271"/>
      <c r="BG6" s="271"/>
    </row>
    <row r="7" spans="1:59" ht="48.75" customHeight="1">
      <c r="A7" s="234">
        <v>175</v>
      </c>
      <c r="B7" s="243">
        <v>46168.366296296299</v>
      </c>
      <c r="C7" s="243">
        <v>46168.4558217593</v>
      </c>
      <c r="D7" s="234" t="s">
        <v>179</v>
      </c>
      <c r="E7" s="234" t="s">
        <v>180</v>
      </c>
      <c r="F7" s="234" t="s">
        <v>1937</v>
      </c>
      <c r="G7" s="234" t="s">
        <v>1938</v>
      </c>
      <c r="H7" s="234" t="s">
        <v>75</v>
      </c>
      <c r="I7" s="234" t="s">
        <v>159</v>
      </c>
      <c r="J7" s="260" t="s">
        <v>1939</v>
      </c>
      <c r="K7" s="234" t="s">
        <v>1940</v>
      </c>
      <c r="L7" s="243" t="s">
        <v>184</v>
      </c>
      <c r="M7" s="243">
        <v>46178</v>
      </c>
      <c r="N7" s="234" t="s">
        <v>57</v>
      </c>
      <c r="O7" s="234">
        <v>0</v>
      </c>
      <c r="P7" s="234">
        <v>0</v>
      </c>
      <c r="Q7" s="260" t="s">
        <v>396</v>
      </c>
      <c r="R7" s="234" t="s">
        <v>1941</v>
      </c>
      <c r="S7" s="234" t="s">
        <v>1942</v>
      </c>
      <c r="T7" s="234" t="s">
        <v>1943</v>
      </c>
      <c r="U7" s="260" t="s">
        <v>130</v>
      </c>
      <c r="V7" s="234" t="s">
        <v>165</v>
      </c>
      <c r="W7" s="234" t="s">
        <v>57</v>
      </c>
      <c r="X7" s="260" t="s">
        <v>149</v>
      </c>
      <c r="Y7" s="234" t="s">
        <v>1944</v>
      </c>
      <c r="Z7" s="234" t="s">
        <v>1945</v>
      </c>
      <c r="AA7" s="310">
        <v>2.35</v>
      </c>
      <c r="AB7" s="270" t="s">
        <v>67</v>
      </c>
      <c r="AC7" s="250" t="s">
        <v>68</v>
      </c>
      <c r="AD7" s="254">
        <v>46170</v>
      </c>
      <c r="AE7" s="250" t="s">
        <v>4</v>
      </c>
      <c r="AF7" s="254">
        <v>46170</v>
      </c>
      <c r="AG7" s="254">
        <v>46170</v>
      </c>
      <c r="AH7" s="250">
        <v>1</v>
      </c>
      <c r="AI7" s="251">
        <v>0</v>
      </c>
      <c r="AJ7" s="252">
        <v>0</v>
      </c>
      <c r="AK7" s="253" t="s">
        <v>1946</v>
      </c>
      <c r="AL7" s="252" t="s">
        <v>711</v>
      </c>
      <c r="AM7" s="250" t="s">
        <v>1947</v>
      </c>
      <c r="AN7" s="250" t="s">
        <v>224</v>
      </c>
      <c r="AO7" s="250" t="s">
        <v>403</v>
      </c>
      <c r="AP7" s="250" t="s">
        <v>1948</v>
      </c>
      <c r="AQ7" s="349"/>
      <c r="AR7" s="349"/>
      <c r="AS7" s="349"/>
      <c r="AT7" s="359" t="str">
        <f t="shared" si="0"/>
        <v/>
      </c>
      <c r="AU7" s="349"/>
      <c r="AV7" s="349"/>
      <c r="AW7" s="349"/>
      <c r="AX7" s="349"/>
      <c r="AY7" s="349"/>
      <c r="AZ7" s="349"/>
      <c r="BA7" s="349"/>
      <c r="BB7" s="254" t="s">
        <v>224</v>
      </c>
      <c r="BC7" s="250"/>
      <c r="BD7" s="250"/>
      <c r="BE7" s="250"/>
      <c r="BF7" s="271"/>
      <c r="BG7" s="271"/>
    </row>
    <row r="8" spans="1:59" ht="69.75" customHeight="1">
      <c r="A8" s="234">
        <v>122</v>
      </c>
      <c r="B8" s="243">
        <v>46141.427557870396</v>
      </c>
      <c r="C8" s="243">
        <v>46141.475474537001</v>
      </c>
      <c r="D8" s="234" t="s">
        <v>1752</v>
      </c>
      <c r="E8" s="234" t="s">
        <v>1181</v>
      </c>
      <c r="F8" s="234" t="s">
        <v>1949</v>
      </c>
      <c r="G8" s="234" t="s">
        <v>1950</v>
      </c>
      <c r="H8" s="234" t="s">
        <v>75</v>
      </c>
      <c r="I8" s="234" t="s">
        <v>91</v>
      </c>
      <c r="J8" s="260" t="s">
        <v>1755</v>
      </c>
      <c r="K8" s="234"/>
      <c r="L8" s="243" t="s">
        <v>258</v>
      </c>
      <c r="M8" s="243">
        <v>46150</v>
      </c>
      <c r="N8" s="234" t="s">
        <v>57</v>
      </c>
      <c r="O8" s="234">
        <v>0</v>
      </c>
      <c r="P8" s="234"/>
      <c r="Q8" s="260" t="s">
        <v>1951</v>
      </c>
      <c r="R8" s="234" t="s">
        <v>1952</v>
      </c>
      <c r="S8" s="234"/>
      <c r="T8" s="234" t="s">
        <v>1953</v>
      </c>
      <c r="U8" s="260" t="s">
        <v>56</v>
      </c>
      <c r="V8" s="234" t="s">
        <v>63</v>
      </c>
      <c r="W8" s="234" t="s">
        <v>188</v>
      </c>
      <c r="X8" s="260" t="s">
        <v>166</v>
      </c>
      <c r="Y8" s="234" t="s">
        <v>1954</v>
      </c>
      <c r="Z8" s="234" t="s">
        <v>1955</v>
      </c>
      <c r="AA8" s="310"/>
      <c r="AB8" s="270" t="s">
        <v>97</v>
      </c>
      <c r="AC8" s="250" t="s">
        <v>68</v>
      </c>
      <c r="AD8" s="254">
        <v>46142</v>
      </c>
      <c r="AE8" s="250" t="s">
        <v>3</v>
      </c>
      <c r="AF8" s="254">
        <v>46153</v>
      </c>
      <c r="AG8" s="254">
        <v>46155</v>
      </c>
      <c r="AH8" s="250">
        <v>1</v>
      </c>
      <c r="AI8" s="251">
        <v>413</v>
      </c>
      <c r="AJ8" s="252">
        <v>1466.1499999999999</v>
      </c>
      <c r="AK8" s="253" t="s">
        <v>1956</v>
      </c>
      <c r="AL8" s="252" t="s">
        <v>1761</v>
      </c>
      <c r="AM8" s="250" t="s">
        <v>1861</v>
      </c>
      <c r="AN8" s="250" t="s">
        <v>57</v>
      </c>
      <c r="AO8" s="250" t="s">
        <v>403</v>
      </c>
      <c r="AP8" s="250"/>
      <c r="AQ8" s="349"/>
      <c r="AR8" s="349"/>
      <c r="AS8" s="349"/>
      <c r="AT8" s="359" t="str">
        <f t="shared" si="0"/>
        <v/>
      </c>
      <c r="AU8" s="349"/>
      <c r="AV8" s="349"/>
      <c r="AW8" s="349"/>
      <c r="AX8" s="349"/>
      <c r="AY8" s="349"/>
      <c r="AZ8" s="349"/>
      <c r="BA8" s="349"/>
      <c r="BB8" s="254" t="s">
        <v>224</v>
      </c>
      <c r="BC8" s="250"/>
      <c r="BD8" s="250" t="s">
        <v>224</v>
      </c>
      <c r="BE8" s="250" t="s">
        <v>1957</v>
      </c>
      <c r="BF8" s="271"/>
      <c r="BG8" s="271"/>
    </row>
    <row r="9" spans="1:59" ht="64.5" customHeight="1">
      <c r="A9" s="234">
        <v>131</v>
      </c>
      <c r="B9" s="243">
        <v>46142.716261574104</v>
      </c>
      <c r="C9" s="243">
        <v>46142.721655092602</v>
      </c>
      <c r="D9" s="234" t="s">
        <v>1752</v>
      </c>
      <c r="E9" s="234" t="s">
        <v>1181</v>
      </c>
      <c r="F9" s="234" t="s">
        <v>1958</v>
      </c>
      <c r="G9" s="234" t="s">
        <v>1959</v>
      </c>
      <c r="H9" s="234" t="s">
        <v>158</v>
      </c>
      <c r="I9" s="234" t="s">
        <v>91</v>
      </c>
      <c r="J9" s="260" t="s">
        <v>1960</v>
      </c>
      <c r="K9" s="234"/>
      <c r="L9" s="243" t="s">
        <v>258</v>
      </c>
      <c r="M9" s="243">
        <v>46154</v>
      </c>
      <c r="N9" s="234" t="s">
        <v>57</v>
      </c>
      <c r="O9" s="234">
        <v>0</v>
      </c>
      <c r="P9" s="234"/>
      <c r="Q9" s="260" t="s">
        <v>1951</v>
      </c>
      <c r="R9" s="234" t="s">
        <v>1961</v>
      </c>
      <c r="S9" s="234"/>
      <c r="T9" s="234" t="s">
        <v>1953</v>
      </c>
      <c r="U9" s="260" t="s">
        <v>56</v>
      </c>
      <c r="V9" s="234" t="s">
        <v>400</v>
      </c>
      <c r="W9" s="234" t="s">
        <v>188</v>
      </c>
      <c r="X9" s="260" t="s">
        <v>166</v>
      </c>
      <c r="Y9" s="234" t="s">
        <v>1954</v>
      </c>
      <c r="Z9" s="234">
        <v>0</v>
      </c>
      <c r="AA9" s="310"/>
      <c r="AB9" s="270" t="s">
        <v>97</v>
      </c>
      <c r="AC9" s="250" t="s">
        <v>68</v>
      </c>
      <c r="AD9" s="254">
        <v>46149</v>
      </c>
      <c r="AE9" s="250" t="s">
        <v>3</v>
      </c>
      <c r="AF9" s="254">
        <v>46153</v>
      </c>
      <c r="AG9" s="254">
        <v>46155</v>
      </c>
      <c r="AH9" s="250">
        <v>0.25</v>
      </c>
      <c r="AI9" s="251">
        <v>413</v>
      </c>
      <c r="AJ9" s="252">
        <v>1466.1499999999999</v>
      </c>
      <c r="AK9" s="253" t="s">
        <v>1956</v>
      </c>
      <c r="AL9" s="252" t="s">
        <v>1761</v>
      </c>
      <c r="AM9" s="250" t="s">
        <v>1861</v>
      </c>
      <c r="AN9" s="250" t="s">
        <v>57</v>
      </c>
      <c r="AO9" s="250" t="s">
        <v>403</v>
      </c>
      <c r="AP9" s="250"/>
      <c r="AQ9" s="349"/>
      <c r="AR9" s="349"/>
      <c r="AS9" s="349"/>
      <c r="AT9" s="359" t="str">
        <f t="shared" si="0"/>
        <v/>
      </c>
      <c r="AU9" s="349"/>
      <c r="AV9" s="349"/>
      <c r="AW9" s="349"/>
      <c r="AX9" s="349"/>
      <c r="AY9" s="349"/>
      <c r="AZ9" s="349"/>
      <c r="BA9" s="349"/>
      <c r="BB9" s="254" t="s">
        <v>224</v>
      </c>
      <c r="BC9" s="250"/>
      <c r="BD9" s="250" t="s">
        <v>83</v>
      </c>
      <c r="BE9" s="250" t="s">
        <v>1957</v>
      </c>
      <c r="BF9" s="271"/>
      <c r="BG9" s="271"/>
    </row>
    <row r="10" spans="1:59" ht="15" customHeight="1">
      <c r="AQ10" s="349"/>
      <c r="AR10" s="349"/>
      <c r="AS10" s="349"/>
      <c r="AT10" s="359" t="str">
        <f t="shared" si="0"/>
        <v/>
      </c>
      <c r="AU10" s="349"/>
      <c r="AV10" s="349"/>
      <c r="AW10" s="349"/>
      <c r="AX10" s="349"/>
      <c r="AY10" s="349"/>
      <c r="AZ10" s="349"/>
      <c r="BA10" s="349"/>
    </row>
    <row r="11" spans="1:59" ht="15" customHeight="1">
      <c r="AQ11" s="349"/>
      <c r="AR11" s="349"/>
      <c r="AS11" s="349"/>
      <c r="AT11" s="359" t="str">
        <f t="shared" si="0"/>
        <v/>
      </c>
      <c r="AU11" s="349"/>
      <c r="AV11" s="349"/>
      <c r="AW11" s="349"/>
      <c r="AX11" s="349"/>
      <c r="AY11" s="349"/>
      <c r="AZ11" s="349"/>
      <c r="BA11" s="349"/>
    </row>
    <row r="12" spans="1:59" ht="15" customHeight="1">
      <c r="AQ12" s="349"/>
      <c r="AR12" s="349"/>
      <c r="AS12" s="349"/>
      <c r="AT12" s="359" t="str">
        <f t="shared" si="0"/>
        <v/>
      </c>
      <c r="AU12" s="349"/>
      <c r="AV12" s="349"/>
      <c r="AW12" s="349"/>
      <c r="AX12" s="349"/>
      <c r="AY12" s="349"/>
      <c r="AZ12" s="349"/>
      <c r="BA12" s="349"/>
    </row>
    <row r="13" spans="1:59" ht="15" customHeight="1">
      <c r="AQ13" s="349"/>
      <c r="AR13" s="349"/>
      <c r="AS13" s="349"/>
      <c r="AT13" s="359" t="str">
        <f t="shared" si="0"/>
        <v/>
      </c>
      <c r="AU13" s="349"/>
      <c r="AV13" s="349"/>
      <c r="AW13" s="349"/>
      <c r="AX13" s="349"/>
      <c r="AY13" s="349"/>
      <c r="AZ13" s="349"/>
      <c r="BA13" s="349"/>
    </row>
    <row r="14" spans="1:59" ht="15" customHeight="1">
      <c r="AQ14" s="349"/>
      <c r="AR14" s="349"/>
      <c r="AS14" s="349"/>
      <c r="AT14" s="359" t="str">
        <f t="shared" si="0"/>
        <v/>
      </c>
      <c r="AU14" s="349"/>
      <c r="AV14" s="349"/>
      <c r="AW14" s="349"/>
      <c r="AX14" s="349"/>
      <c r="AY14" s="349"/>
      <c r="AZ14" s="349"/>
      <c r="BA14" s="349"/>
    </row>
    <row r="15" spans="1:59" ht="15" customHeight="1">
      <c r="AQ15" s="349"/>
      <c r="AR15" s="349"/>
      <c r="AS15" s="349"/>
      <c r="AT15" s="359" t="str">
        <f t="shared" si="0"/>
        <v/>
      </c>
      <c r="AU15" s="349"/>
      <c r="AV15" s="349"/>
      <c r="AW15" s="349"/>
      <c r="AX15" s="349"/>
      <c r="AY15" s="349"/>
      <c r="AZ15" s="349"/>
      <c r="BA15" s="349"/>
    </row>
    <row r="16" spans="1:59" ht="15" customHeight="1">
      <c r="AQ16" s="349"/>
      <c r="AR16" s="349"/>
      <c r="AS16" s="349"/>
      <c r="AT16" s="359" t="str">
        <f t="shared" si="0"/>
        <v/>
      </c>
      <c r="AU16" s="349"/>
      <c r="AV16" s="349"/>
      <c r="AW16" s="349"/>
      <c r="AX16" s="349"/>
      <c r="AY16" s="349"/>
      <c r="AZ16" s="349"/>
      <c r="BA16" s="349"/>
    </row>
    <row r="17" spans="43:53" ht="15" customHeight="1">
      <c r="AQ17" s="349"/>
      <c r="AR17" s="349"/>
      <c r="AS17" s="349"/>
      <c r="AT17" s="359" t="str">
        <f t="shared" si="0"/>
        <v/>
      </c>
      <c r="AU17" s="349"/>
      <c r="AV17" s="349"/>
      <c r="AW17" s="349"/>
      <c r="AX17" s="349"/>
      <c r="AY17" s="349"/>
      <c r="AZ17" s="349"/>
      <c r="BA17" s="349"/>
    </row>
    <row r="18" spans="43:53" ht="15" customHeight="1">
      <c r="AQ18" s="349"/>
      <c r="AR18" s="349"/>
      <c r="AS18" s="349"/>
      <c r="AT18" s="359" t="str">
        <f t="shared" si="0"/>
        <v/>
      </c>
      <c r="AU18" s="349"/>
      <c r="AV18" s="349"/>
      <c r="AW18" s="349"/>
      <c r="AX18" s="349"/>
      <c r="AY18" s="349"/>
      <c r="AZ18" s="349"/>
      <c r="BA18" s="349"/>
    </row>
    <row r="19" spans="43:53" ht="15" customHeight="1">
      <c r="AQ19" s="349"/>
      <c r="AR19" s="349"/>
      <c r="AS19" s="349"/>
      <c r="AT19" s="359" t="str">
        <f t="shared" si="0"/>
        <v/>
      </c>
      <c r="AU19" s="349"/>
      <c r="AV19" s="349"/>
      <c r="AW19" s="349"/>
      <c r="AX19" s="349"/>
      <c r="AY19" s="349"/>
      <c r="AZ19" s="349"/>
      <c r="BA19" s="349"/>
    </row>
    <row r="20" spans="43:53" ht="15" customHeight="1">
      <c r="AQ20" s="349"/>
      <c r="AR20" s="349"/>
      <c r="AS20" s="349"/>
      <c r="AT20" s="359" t="str">
        <f t="shared" si="0"/>
        <v/>
      </c>
      <c r="AU20" s="349"/>
      <c r="AV20" s="349"/>
      <c r="AW20" s="349"/>
      <c r="AX20" s="349"/>
      <c r="AY20" s="349"/>
      <c r="AZ20" s="349"/>
      <c r="BA20" s="349"/>
    </row>
    <row r="21" spans="43:53" ht="15" customHeight="1">
      <c r="AQ21" s="349"/>
      <c r="AR21" s="349"/>
      <c r="AS21" s="349"/>
      <c r="AT21" s="359" t="str">
        <f t="shared" si="0"/>
        <v/>
      </c>
      <c r="AU21" s="349"/>
      <c r="AV21" s="349"/>
      <c r="AW21" s="349"/>
      <c r="AX21" s="349"/>
      <c r="AY21" s="349"/>
      <c r="AZ21" s="349"/>
      <c r="BA21" s="349"/>
    </row>
    <row r="22" spans="43:53" ht="15" customHeight="1">
      <c r="AQ22" s="349"/>
      <c r="AR22" s="349"/>
      <c r="AS22" s="349"/>
      <c r="AT22" s="359" t="str">
        <f t="shared" si="0"/>
        <v/>
      </c>
      <c r="AU22" s="349"/>
      <c r="AV22" s="349"/>
      <c r="AW22" s="349"/>
      <c r="AX22" s="349"/>
      <c r="AY22" s="349"/>
      <c r="AZ22" s="349"/>
      <c r="BA22" s="349"/>
    </row>
    <row r="23" spans="43:53" ht="15" customHeight="1">
      <c r="AQ23" s="349"/>
      <c r="AR23" s="349"/>
      <c r="AS23" s="349"/>
      <c r="AT23" s="359" t="str">
        <f t="shared" si="0"/>
        <v/>
      </c>
      <c r="AU23" s="349"/>
      <c r="AV23" s="349"/>
      <c r="AW23" s="349"/>
      <c r="AX23" s="349"/>
      <c r="AY23" s="349"/>
      <c r="AZ23" s="349"/>
      <c r="BA23" s="349"/>
    </row>
    <row r="24" spans="43:53" ht="15" customHeight="1">
      <c r="AQ24" s="349"/>
      <c r="AR24" s="349"/>
      <c r="AS24" s="349"/>
      <c r="AT24" s="359" t="str">
        <f t="shared" si="0"/>
        <v/>
      </c>
      <c r="AU24" s="349"/>
      <c r="AV24" s="349"/>
      <c r="AW24" s="349"/>
      <c r="AX24" s="349"/>
      <c r="AY24" s="349"/>
      <c r="AZ24" s="349"/>
      <c r="BA24" s="349"/>
    </row>
    <row r="25" spans="43:53" ht="15" customHeight="1">
      <c r="AQ25" s="349"/>
      <c r="AR25" s="349"/>
      <c r="AS25" s="349"/>
      <c r="AT25" s="359" t="str">
        <f t="shared" si="0"/>
        <v/>
      </c>
      <c r="AU25" s="349"/>
      <c r="AV25" s="349"/>
      <c r="AW25" s="349"/>
      <c r="AX25" s="349"/>
      <c r="AY25" s="349"/>
      <c r="AZ25" s="349"/>
      <c r="BA25" s="349"/>
    </row>
    <row r="26" spans="43:53" ht="15" customHeight="1">
      <c r="AQ26" s="349"/>
      <c r="AR26" s="349"/>
      <c r="AS26" s="349"/>
      <c r="AT26" s="359" t="str">
        <f t="shared" si="0"/>
        <v/>
      </c>
      <c r="AU26" s="349"/>
      <c r="AV26" s="349"/>
      <c r="AW26" s="349"/>
      <c r="AX26" s="349"/>
      <c r="AY26" s="349"/>
      <c r="AZ26" s="349"/>
      <c r="BA26" s="349"/>
    </row>
    <row r="27" spans="43:53" ht="15" customHeight="1">
      <c r="AQ27" s="349"/>
      <c r="AR27" s="349"/>
      <c r="AS27" s="349"/>
      <c r="AT27" s="359" t="str">
        <f t="shared" si="0"/>
        <v/>
      </c>
      <c r="AU27" s="349"/>
      <c r="AV27" s="349"/>
      <c r="AW27" s="349"/>
      <c r="AX27" s="349"/>
      <c r="AY27" s="349"/>
      <c r="AZ27" s="349"/>
      <c r="BA27" s="349"/>
    </row>
    <row r="28" spans="43:53" ht="15" customHeight="1">
      <c r="AQ28" s="349"/>
      <c r="AR28" s="349"/>
      <c r="AS28" s="349"/>
      <c r="AT28" s="359" t="str">
        <f t="shared" si="0"/>
        <v/>
      </c>
      <c r="AU28" s="349"/>
      <c r="AV28" s="349"/>
      <c r="AW28" s="349"/>
      <c r="AX28" s="349"/>
      <c r="AY28" s="349"/>
      <c r="AZ28" s="349"/>
      <c r="BA28" s="349"/>
    </row>
    <row r="29" spans="43:53" ht="15" customHeight="1">
      <c r="AQ29" s="349"/>
      <c r="AR29" s="349"/>
      <c r="AS29" s="349"/>
      <c r="AT29" s="359" t="str">
        <f t="shared" si="0"/>
        <v/>
      </c>
      <c r="AU29" s="349"/>
      <c r="AV29" s="349"/>
      <c r="AW29" s="349"/>
      <c r="AX29" s="349"/>
      <c r="AY29" s="349"/>
      <c r="AZ29" s="349"/>
      <c r="BA29" s="349"/>
    </row>
    <row r="30" spans="43:53" ht="15" customHeight="1">
      <c r="AQ30" s="349"/>
      <c r="AR30" s="349"/>
      <c r="AS30" s="349"/>
      <c r="AT30" s="359" t="str">
        <f t="shared" si="0"/>
        <v/>
      </c>
      <c r="AU30" s="349"/>
      <c r="AV30" s="349"/>
      <c r="AW30" s="349"/>
      <c r="AX30" s="349"/>
      <c r="AY30" s="349"/>
      <c r="AZ30" s="349"/>
      <c r="BA30" s="349"/>
    </row>
    <row r="31" spans="43:53" ht="15" customHeight="1">
      <c r="AQ31" s="349"/>
      <c r="AR31" s="349"/>
      <c r="AS31" s="349"/>
      <c r="AT31" s="359" t="str">
        <f t="shared" si="0"/>
        <v/>
      </c>
      <c r="AU31" s="349"/>
      <c r="AV31" s="349"/>
      <c r="AW31" s="349"/>
      <c r="AX31" s="349"/>
      <c r="AY31" s="349"/>
      <c r="AZ31" s="349"/>
      <c r="BA31" s="349"/>
    </row>
    <row r="32" spans="43:53" ht="15" customHeight="1">
      <c r="AQ32" s="349"/>
      <c r="AR32" s="349"/>
      <c r="AS32" s="349"/>
      <c r="AT32" s="359" t="str">
        <f t="shared" si="0"/>
        <v/>
      </c>
      <c r="AU32" s="349"/>
      <c r="AV32" s="349"/>
      <c r="AW32" s="349"/>
      <c r="AX32" s="349"/>
      <c r="AY32" s="349"/>
      <c r="AZ32" s="349"/>
      <c r="BA32" s="349"/>
    </row>
    <row r="33" spans="43:53" ht="15" customHeight="1">
      <c r="AQ33" s="349"/>
      <c r="AR33" s="349"/>
      <c r="AS33" s="349"/>
      <c r="AT33" s="359" t="str">
        <f t="shared" si="0"/>
        <v/>
      </c>
      <c r="AU33" s="349"/>
      <c r="AV33" s="349"/>
      <c r="AW33" s="349"/>
      <c r="AX33" s="349"/>
      <c r="AY33" s="349"/>
      <c r="AZ33" s="349"/>
      <c r="BA33" s="349"/>
    </row>
    <row r="34" spans="43:53" ht="15" customHeight="1">
      <c r="AQ34" s="349"/>
      <c r="AR34" s="349"/>
      <c r="AS34" s="349"/>
      <c r="AT34" s="359" t="str">
        <f t="shared" si="0"/>
        <v/>
      </c>
      <c r="AU34" s="349"/>
      <c r="AV34" s="349"/>
      <c r="AW34" s="349"/>
      <c r="AX34" s="349"/>
      <c r="AY34" s="349"/>
      <c r="AZ34" s="349"/>
      <c r="BA34" s="349"/>
    </row>
    <row r="35" spans="43:53" ht="15" customHeight="1">
      <c r="AQ35" s="349"/>
      <c r="AR35" s="349"/>
      <c r="AS35" s="349"/>
      <c r="AT35" s="359" t="str">
        <f t="shared" si="0"/>
        <v/>
      </c>
      <c r="AU35" s="349"/>
      <c r="AV35" s="349"/>
      <c r="AW35" s="349"/>
      <c r="AX35" s="349"/>
      <c r="AY35" s="349"/>
      <c r="AZ35" s="349"/>
      <c r="BA35" s="349"/>
    </row>
    <row r="36" spans="43:53" ht="15" customHeight="1">
      <c r="AQ36" s="349"/>
      <c r="AR36" s="349"/>
      <c r="AS36" s="349"/>
      <c r="AT36" s="359" t="str">
        <f t="shared" si="0"/>
        <v/>
      </c>
      <c r="AU36" s="349"/>
      <c r="AV36" s="349"/>
      <c r="AW36" s="349"/>
      <c r="AX36" s="349"/>
      <c r="AY36" s="349"/>
      <c r="AZ36" s="349"/>
      <c r="BA36" s="349"/>
    </row>
    <row r="37" spans="43:53" ht="15" customHeight="1">
      <c r="AQ37" s="349"/>
      <c r="AR37" s="349"/>
      <c r="AS37" s="349"/>
      <c r="AT37" s="359" t="str">
        <f t="shared" si="0"/>
        <v/>
      </c>
      <c r="AU37" s="349"/>
      <c r="AV37" s="349"/>
      <c r="AW37" s="349"/>
      <c r="AX37" s="349"/>
      <c r="AY37" s="349"/>
      <c r="AZ37" s="349"/>
      <c r="BA37" s="349"/>
    </row>
    <row r="38" spans="43:53" ht="15" customHeight="1">
      <c r="AQ38" s="349"/>
      <c r="AR38" s="349"/>
      <c r="AS38" s="349"/>
      <c r="AT38" s="359" t="str">
        <f t="shared" si="0"/>
        <v/>
      </c>
      <c r="AU38" s="349"/>
      <c r="AV38" s="349"/>
      <c r="AW38" s="349"/>
      <c r="AX38" s="349"/>
      <c r="AY38" s="349"/>
      <c r="AZ38" s="349"/>
      <c r="BA38" s="349"/>
    </row>
    <row r="39" spans="43:53" ht="15" customHeight="1">
      <c r="AQ39" s="349"/>
      <c r="AR39" s="349"/>
      <c r="AS39" s="349"/>
      <c r="AT39" s="359" t="str">
        <f t="shared" si="0"/>
        <v/>
      </c>
      <c r="AU39" s="349"/>
      <c r="AV39" s="349"/>
      <c r="AW39" s="349"/>
      <c r="AX39" s="349"/>
      <c r="AY39" s="349"/>
      <c r="AZ39" s="349"/>
      <c r="BA39" s="349"/>
    </row>
    <row r="40" spans="43:53" ht="15" customHeight="1">
      <c r="AQ40" s="349"/>
      <c r="AR40" s="349"/>
      <c r="AS40" s="349"/>
      <c r="AT40" s="359" t="str">
        <f t="shared" si="0"/>
        <v/>
      </c>
      <c r="AU40" s="349"/>
      <c r="AV40" s="349"/>
      <c r="AW40" s="349"/>
      <c r="AX40" s="349"/>
      <c r="AY40" s="349"/>
      <c r="AZ40" s="349"/>
      <c r="BA40" s="349"/>
    </row>
    <row r="41" spans="43:53" ht="15" customHeight="1">
      <c r="AQ41" s="349"/>
      <c r="AR41" s="349"/>
      <c r="AS41" s="349"/>
      <c r="AT41" s="359" t="str">
        <f t="shared" si="0"/>
        <v/>
      </c>
      <c r="AU41" s="349"/>
      <c r="AV41" s="349"/>
      <c r="AW41" s="349"/>
      <c r="AX41" s="349"/>
      <c r="AY41" s="349"/>
      <c r="AZ41" s="349"/>
      <c r="BA41" s="349"/>
    </row>
    <row r="42" spans="43:53" ht="15" customHeight="1">
      <c r="AQ42" s="349"/>
      <c r="AR42" s="349"/>
      <c r="AS42" s="349"/>
      <c r="AT42" s="359" t="str">
        <f t="shared" si="0"/>
        <v/>
      </c>
      <c r="AU42" s="349"/>
      <c r="AV42" s="349"/>
      <c r="AW42" s="349"/>
      <c r="AX42" s="349"/>
      <c r="AY42" s="349"/>
      <c r="AZ42" s="349"/>
      <c r="BA42" s="349"/>
    </row>
    <row r="43" spans="43:53" ht="15" customHeight="1">
      <c r="AQ43" s="349"/>
      <c r="AR43" s="349"/>
      <c r="AS43" s="349"/>
      <c r="AT43" s="359" t="str">
        <f t="shared" si="0"/>
        <v/>
      </c>
      <c r="AU43" s="349"/>
      <c r="AV43" s="349"/>
      <c r="AW43" s="349"/>
      <c r="AX43" s="349"/>
      <c r="AY43" s="349"/>
      <c r="AZ43" s="349"/>
      <c r="BA43" s="349"/>
    </row>
    <row r="44" spans="43:53" ht="15" customHeight="1">
      <c r="AQ44" s="349"/>
      <c r="AR44" s="349"/>
      <c r="AS44" s="349"/>
      <c r="AT44" s="359" t="str">
        <f t="shared" si="0"/>
        <v/>
      </c>
      <c r="AU44" s="349"/>
      <c r="AV44" s="349"/>
      <c r="AW44" s="349"/>
      <c r="AX44" s="349"/>
      <c r="AY44" s="349"/>
      <c r="AZ44" s="349"/>
      <c r="BA44" s="349"/>
    </row>
    <row r="45" spans="43:53" ht="15" customHeight="1">
      <c r="AQ45" s="349"/>
      <c r="AR45" s="349"/>
      <c r="AS45" s="349"/>
      <c r="AT45" s="359" t="str">
        <f t="shared" si="0"/>
        <v/>
      </c>
      <c r="AU45" s="349"/>
      <c r="AV45" s="349"/>
      <c r="AW45" s="349"/>
      <c r="AX45" s="349"/>
      <c r="AY45" s="349"/>
      <c r="AZ45" s="349"/>
      <c r="BA45" s="349"/>
    </row>
    <row r="46" spans="43:53" ht="15" customHeight="1">
      <c r="AQ46" s="349"/>
      <c r="AR46" s="349"/>
      <c r="AS46" s="349"/>
      <c r="AT46" s="360" t="str">
        <f t="shared" si="0"/>
        <v/>
      </c>
      <c r="AU46" s="349"/>
      <c r="AV46" s="349"/>
      <c r="AW46" s="349"/>
      <c r="AX46" s="349"/>
      <c r="AY46" s="349"/>
      <c r="AZ46" s="349"/>
      <c r="BA46" s="349"/>
    </row>
    <row r="47" spans="43:53" ht="15" customHeight="1">
      <c r="AQ47" s="349"/>
      <c r="AR47" s="349"/>
      <c r="AS47" s="349"/>
      <c r="AT47" s="360" t="str">
        <f t="shared" si="0"/>
        <v/>
      </c>
      <c r="AU47" s="349"/>
      <c r="AV47" s="349"/>
      <c r="AW47" s="349"/>
      <c r="AX47" s="349"/>
      <c r="AY47" s="349"/>
      <c r="AZ47" s="349"/>
      <c r="BA47" s="349"/>
    </row>
    <row r="48" spans="43:53" ht="15" customHeight="1">
      <c r="AQ48" s="349"/>
      <c r="AR48" s="349"/>
      <c r="AS48" s="349"/>
      <c r="AT48" s="360" t="str">
        <f t="shared" si="0"/>
        <v/>
      </c>
      <c r="AU48" s="349"/>
      <c r="AV48" s="349"/>
      <c r="AW48" s="349"/>
      <c r="AX48" s="349"/>
      <c r="AY48" s="349"/>
      <c r="AZ48" s="349"/>
      <c r="BA48" s="349"/>
    </row>
    <row r="49" spans="43:53" ht="15" customHeight="1">
      <c r="AQ49" s="349"/>
      <c r="AR49" s="349"/>
      <c r="AS49" s="349"/>
      <c r="AT49" s="360" t="str">
        <f t="shared" si="0"/>
        <v/>
      </c>
      <c r="AU49" s="349"/>
      <c r="AV49" s="349"/>
      <c r="AW49" s="349"/>
      <c r="AX49" s="349"/>
      <c r="AY49" s="349"/>
      <c r="AZ49" s="349"/>
      <c r="BA49" s="349"/>
    </row>
    <row r="50" spans="43:53" ht="15" customHeight="1">
      <c r="AQ50" s="349"/>
      <c r="AR50" s="349"/>
      <c r="AS50" s="349"/>
      <c r="AT50" s="360" t="str">
        <f t="shared" si="0"/>
        <v/>
      </c>
      <c r="AU50" s="349"/>
      <c r="AV50" s="349"/>
      <c r="AW50" s="349"/>
      <c r="AX50" s="349"/>
      <c r="AY50" s="349"/>
      <c r="AZ50" s="349"/>
      <c r="BA50" s="349"/>
    </row>
    <row r="51" spans="43:53" ht="15" customHeight="1">
      <c r="AQ51" s="349"/>
      <c r="AR51" s="349"/>
      <c r="AS51" s="349"/>
      <c r="AT51" s="360" t="str">
        <f t="shared" si="0"/>
        <v/>
      </c>
      <c r="AU51" s="349"/>
      <c r="AV51" s="349"/>
      <c r="AW51" s="349"/>
      <c r="AX51" s="349"/>
      <c r="AY51" s="349"/>
      <c r="AZ51" s="349"/>
      <c r="BA51" s="349"/>
    </row>
    <row r="52" spans="43:53" ht="15" customHeight="1">
      <c r="AQ52" s="349"/>
      <c r="AR52" s="349"/>
      <c r="AS52" s="349"/>
      <c r="AT52" s="360" t="str">
        <f t="shared" si="0"/>
        <v/>
      </c>
      <c r="AU52" s="349"/>
      <c r="AV52" s="349"/>
      <c r="AW52" s="349"/>
      <c r="AX52" s="349"/>
      <c r="AY52" s="349"/>
      <c r="AZ52" s="349"/>
      <c r="BA52" s="349"/>
    </row>
    <row r="53" spans="43:53" ht="15" customHeight="1">
      <c r="AQ53" s="349"/>
      <c r="AR53" s="349"/>
      <c r="AS53" s="349"/>
      <c r="AT53" s="360" t="str">
        <f t="shared" si="0"/>
        <v/>
      </c>
      <c r="AU53" s="349"/>
      <c r="AV53" s="349"/>
      <c r="AW53" s="349"/>
      <c r="AX53" s="349"/>
      <c r="AY53" s="349"/>
      <c r="AZ53" s="349"/>
      <c r="BA53" s="349"/>
    </row>
    <row r="54" spans="43:53" ht="15" customHeight="1">
      <c r="AQ54" s="349"/>
      <c r="AR54" s="349"/>
      <c r="AS54" s="349"/>
      <c r="AT54" s="360" t="str">
        <f t="shared" si="0"/>
        <v/>
      </c>
      <c r="AU54" s="349"/>
      <c r="AV54" s="349"/>
      <c r="AW54" s="349"/>
      <c r="AX54" s="349"/>
      <c r="AY54" s="349"/>
      <c r="AZ54" s="349"/>
      <c r="BA54" s="349"/>
    </row>
    <row r="55" spans="43:53" ht="15" customHeight="1">
      <c r="AQ55" s="349"/>
      <c r="AR55" s="349"/>
      <c r="AS55" s="349"/>
      <c r="AT55" s="360" t="str">
        <f t="shared" si="0"/>
        <v/>
      </c>
      <c r="AU55" s="349"/>
      <c r="AV55" s="349"/>
      <c r="AW55" s="349"/>
      <c r="AX55" s="349"/>
      <c r="AY55" s="349"/>
      <c r="AZ55" s="349"/>
      <c r="BA55" s="349"/>
    </row>
    <row r="56" spans="43:53" ht="15" customHeight="1">
      <c r="AQ56" s="349"/>
      <c r="AR56" s="349"/>
      <c r="AS56" s="349"/>
      <c r="AT56" s="360" t="str">
        <f t="shared" si="0"/>
        <v/>
      </c>
      <c r="AU56" s="349"/>
      <c r="AV56" s="349"/>
      <c r="AW56" s="349"/>
      <c r="AX56" s="349"/>
      <c r="AY56" s="349"/>
      <c r="AZ56" s="349"/>
      <c r="BA56" s="349"/>
    </row>
    <row r="57" spans="43:53" ht="15" customHeight="1">
      <c r="AQ57" s="349"/>
      <c r="AR57" s="349"/>
      <c r="AS57" s="349"/>
      <c r="AT57" s="360" t="str">
        <f t="shared" si="0"/>
        <v/>
      </c>
      <c r="AU57" s="349"/>
      <c r="AV57" s="349"/>
      <c r="AW57" s="349"/>
      <c r="AX57" s="349"/>
      <c r="AY57" s="349"/>
      <c r="AZ57" s="349"/>
      <c r="BA57" s="349"/>
    </row>
    <row r="58" spans="43:53" ht="15" customHeight="1">
      <c r="AQ58" s="349"/>
      <c r="AR58" s="349"/>
      <c r="AS58" s="349"/>
      <c r="AT58" s="360" t="str">
        <f t="shared" si="0"/>
        <v/>
      </c>
      <c r="AU58" s="349"/>
      <c r="AV58" s="349"/>
      <c r="AW58" s="349"/>
      <c r="AX58" s="349"/>
      <c r="AY58" s="349"/>
      <c r="AZ58" s="349"/>
      <c r="BA58" s="349"/>
    </row>
    <row r="59" spans="43:53" ht="15" customHeight="1">
      <c r="AQ59" s="349"/>
      <c r="AR59" s="349"/>
      <c r="AS59" s="349"/>
      <c r="AT59" s="360" t="str">
        <f t="shared" si="0"/>
        <v/>
      </c>
      <c r="AU59" s="349"/>
      <c r="AV59" s="349"/>
      <c r="AW59" s="349"/>
      <c r="AX59" s="349"/>
      <c r="AY59" s="349"/>
      <c r="AZ59" s="349"/>
      <c r="BA59" s="349"/>
    </row>
    <row r="60" spans="43:53" ht="15" customHeight="1">
      <c r="AQ60" s="349"/>
      <c r="AR60" s="349"/>
      <c r="AS60" s="349"/>
      <c r="AT60" s="360" t="str">
        <f t="shared" si="0"/>
        <v/>
      </c>
      <c r="AU60" s="349"/>
      <c r="AV60" s="349"/>
      <c r="AW60" s="349"/>
      <c r="AX60" s="349"/>
      <c r="AY60" s="349"/>
      <c r="AZ60" s="349"/>
      <c r="BA60" s="349"/>
    </row>
    <row r="61" spans="43:53" ht="15" customHeight="1">
      <c r="AQ61" s="349"/>
      <c r="AR61" s="349"/>
      <c r="AS61" s="349"/>
      <c r="AT61" s="360" t="str">
        <f t="shared" si="0"/>
        <v/>
      </c>
      <c r="AU61" s="349"/>
      <c r="AV61" s="349"/>
      <c r="AW61" s="349"/>
      <c r="AX61" s="349"/>
      <c r="AY61" s="349"/>
      <c r="AZ61" s="349"/>
      <c r="BA61" s="349"/>
    </row>
    <row r="62" spans="43:53" ht="15" customHeight="1">
      <c r="AQ62" s="349"/>
      <c r="AR62" s="349"/>
      <c r="AS62" s="349"/>
      <c r="AT62" s="360" t="str">
        <f t="shared" si="0"/>
        <v/>
      </c>
      <c r="AU62" s="349"/>
      <c r="AV62" s="349"/>
      <c r="AW62" s="349"/>
      <c r="AX62" s="349"/>
      <c r="AY62" s="349"/>
      <c r="AZ62" s="349"/>
      <c r="BA62" s="349"/>
    </row>
    <row r="63" spans="43:53" ht="15" customHeight="1">
      <c r="AQ63" s="349"/>
      <c r="AR63" s="349"/>
      <c r="AS63" s="349"/>
      <c r="AT63" s="360" t="str">
        <f t="shared" si="0"/>
        <v/>
      </c>
      <c r="AU63" s="349"/>
      <c r="AV63" s="349"/>
      <c r="AW63" s="349"/>
      <c r="AX63" s="349"/>
      <c r="AY63" s="349"/>
      <c r="AZ63" s="349"/>
      <c r="BA63" s="349"/>
    </row>
    <row r="64" spans="43:53" ht="15" customHeight="1">
      <c r="AQ64" s="349"/>
      <c r="AR64" s="349"/>
      <c r="AS64" s="349"/>
      <c r="AT64" s="360" t="str">
        <f t="shared" si="0"/>
        <v/>
      </c>
      <c r="AU64" s="349"/>
      <c r="AV64" s="349"/>
      <c r="AW64" s="349"/>
      <c r="AX64" s="349"/>
      <c r="AY64" s="349"/>
      <c r="AZ64" s="349"/>
      <c r="BA64" s="349"/>
    </row>
    <row r="65" spans="43:53" ht="15" customHeight="1">
      <c r="AQ65" s="349"/>
      <c r="AR65" s="349"/>
      <c r="AS65" s="349"/>
      <c r="AT65" s="360" t="str">
        <f t="shared" si="0"/>
        <v/>
      </c>
      <c r="AU65" s="349"/>
      <c r="AV65" s="349"/>
      <c r="AW65" s="349"/>
      <c r="AX65" s="349"/>
      <c r="AY65" s="349"/>
      <c r="AZ65" s="349"/>
      <c r="BA65" s="349"/>
    </row>
    <row r="66" spans="43:53" ht="15" customHeight="1">
      <c r="AQ66" s="349"/>
      <c r="AR66" s="349"/>
      <c r="AS66" s="349"/>
      <c r="AT66" s="360" t="str">
        <f t="shared" si="0"/>
        <v/>
      </c>
      <c r="AU66" s="349"/>
      <c r="AV66" s="349"/>
      <c r="AW66" s="349"/>
      <c r="AX66" s="349"/>
      <c r="AY66" s="349"/>
      <c r="AZ66" s="349"/>
      <c r="BA66" s="349"/>
    </row>
    <row r="67" spans="43:53" ht="15" customHeight="1">
      <c r="AQ67" s="349"/>
      <c r="AR67" s="349"/>
      <c r="AS67" s="349"/>
      <c r="AT67" s="360" t="str">
        <f t="shared" ref="AT67:AT79" si="1">IF(OR(AR67="",AS67=""),"",TEXT(WORKDAY(AS67,IF(AR67="Baja",3,IF(AR67="Media",5,0))),"dd-mmm"))</f>
        <v/>
      </c>
      <c r="AU67" s="349"/>
      <c r="AV67" s="349"/>
      <c r="AW67" s="349"/>
      <c r="AX67" s="349"/>
      <c r="AY67" s="349"/>
      <c r="AZ67" s="349"/>
      <c r="BA67" s="349"/>
    </row>
    <row r="68" spans="43:53" ht="15" customHeight="1">
      <c r="AQ68" s="349"/>
      <c r="AR68" s="349"/>
      <c r="AS68" s="349"/>
      <c r="AT68" s="360" t="str">
        <f t="shared" si="1"/>
        <v/>
      </c>
      <c r="AU68" s="349"/>
      <c r="AV68" s="349"/>
      <c r="AW68" s="349"/>
      <c r="AX68" s="349"/>
      <c r="AY68" s="349"/>
      <c r="AZ68" s="349"/>
      <c r="BA68" s="349"/>
    </row>
    <row r="69" spans="43:53" ht="15" customHeight="1">
      <c r="AQ69" s="349"/>
      <c r="AR69" s="349"/>
      <c r="AS69" s="349"/>
      <c r="AT69" s="360" t="str">
        <f t="shared" si="1"/>
        <v/>
      </c>
      <c r="AU69" s="349"/>
      <c r="AV69" s="349"/>
      <c r="AW69" s="349"/>
      <c r="AX69" s="349"/>
      <c r="AY69" s="349"/>
      <c r="AZ69" s="349"/>
      <c r="BA69" s="349"/>
    </row>
    <row r="70" spans="43:53" ht="15" customHeight="1">
      <c r="AQ70" s="349"/>
      <c r="AR70" s="349"/>
      <c r="AS70" s="349"/>
      <c r="AT70" s="360" t="str">
        <f t="shared" si="1"/>
        <v/>
      </c>
      <c r="AU70" s="349"/>
      <c r="AV70" s="349"/>
      <c r="AW70" s="349"/>
      <c r="AX70" s="349"/>
      <c r="AY70" s="349"/>
      <c r="AZ70" s="349"/>
      <c r="BA70" s="349"/>
    </row>
    <row r="71" spans="43:53" ht="15" customHeight="1">
      <c r="AQ71" s="349"/>
      <c r="AR71" s="349"/>
      <c r="AS71" s="349"/>
      <c r="AT71" s="360" t="str">
        <f t="shared" si="1"/>
        <v/>
      </c>
      <c r="AU71" s="349"/>
      <c r="AV71" s="349"/>
      <c r="AW71" s="349"/>
      <c r="AX71" s="349"/>
      <c r="AY71" s="349"/>
      <c r="AZ71" s="349"/>
      <c r="BA71" s="349"/>
    </row>
    <row r="72" spans="43:53" ht="15" customHeight="1">
      <c r="AQ72" s="349"/>
      <c r="AR72" s="349"/>
      <c r="AS72" s="349"/>
      <c r="AT72" s="360" t="str">
        <f t="shared" si="1"/>
        <v/>
      </c>
      <c r="AU72" s="349"/>
      <c r="AV72" s="349"/>
      <c r="AW72" s="349"/>
      <c r="AX72" s="349"/>
      <c r="AY72" s="349"/>
      <c r="AZ72" s="349"/>
      <c r="BA72" s="349"/>
    </row>
    <row r="73" spans="43:53" ht="15" customHeight="1">
      <c r="AQ73" s="349"/>
      <c r="AR73" s="349"/>
      <c r="AS73" s="349"/>
      <c r="AT73" s="360" t="str">
        <f t="shared" si="1"/>
        <v/>
      </c>
      <c r="AU73" s="349"/>
      <c r="AV73" s="349"/>
      <c r="AW73" s="349"/>
      <c r="AX73" s="349"/>
      <c r="AY73" s="349"/>
      <c r="AZ73" s="349"/>
      <c r="BA73" s="349"/>
    </row>
    <row r="74" spans="43:53" ht="15" customHeight="1">
      <c r="AQ74" s="349"/>
      <c r="AR74" s="349"/>
      <c r="AS74" s="349"/>
      <c r="AT74" s="360" t="str">
        <f t="shared" si="1"/>
        <v/>
      </c>
      <c r="AU74" s="349"/>
      <c r="AV74" s="349"/>
      <c r="AW74" s="349"/>
      <c r="AX74" s="349"/>
      <c r="AY74" s="349"/>
      <c r="AZ74" s="349"/>
      <c r="BA74" s="349"/>
    </row>
    <row r="75" spans="43:53" ht="15" customHeight="1">
      <c r="AQ75" s="349"/>
      <c r="AR75" s="349"/>
      <c r="AS75" s="349"/>
      <c r="AT75" s="360" t="str">
        <f t="shared" si="1"/>
        <v/>
      </c>
      <c r="AU75" s="349"/>
      <c r="AV75" s="349"/>
      <c r="AW75" s="349"/>
      <c r="AX75" s="349"/>
      <c r="AY75" s="349"/>
      <c r="AZ75" s="349"/>
      <c r="BA75" s="349"/>
    </row>
    <row r="76" spans="43:53" ht="15" customHeight="1">
      <c r="AQ76" s="349"/>
      <c r="AR76" s="349"/>
      <c r="AS76" s="349"/>
      <c r="AT76" s="360" t="str">
        <f t="shared" si="1"/>
        <v/>
      </c>
      <c r="AU76" s="349"/>
      <c r="AV76" s="349"/>
      <c r="AW76" s="349"/>
      <c r="AX76" s="349"/>
      <c r="AY76" s="349"/>
      <c r="AZ76" s="349"/>
      <c r="BA76" s="349"/>
    </row>
    <row r="77" spans="43:53" ht="15" customHeight="1">
      <c r="AQ77" s="349"/>
      <c r="AR77" s="349"/>
      <c r="AS77" s="349"/>
      <c r="AT77" s="360" t="str">
        <f t="shared" si="1"/>
        <v/>
      </c>
      <c r="AU77" s="349"/>
      <c r="AV77" s="349"/>
      <c r="AW77" s="349"/>
      <c r="AX77" s="349"/>
      <c r="AY77" s="349"/>
      <c r="AZ77" s="349"/>
      <c r="BA77" s="349"/>
    </row>
    <row r="78" spans="43:53" ht="15" customHeight="1">
      <c r="AQ78" s="349"/>
      <c r="AR78" s="349"/>
      <c r="AS78" s="349"/>
      <c r="AT78" s="360" t="str">
        <f t="shared" si="1"/>
        <v/>
      </c>
      <c r="AU78" s="349"/>
      <c r="AV78" s="349"/>
      <c r="AW78" s="349"/>
      <c r="AX78" s="349"/>
      <c r="AY78" s="349"/>
      <c r="AZ78" s="349"/>
      <c r="BA78" s="349"/>
    </row>
    <row r="79" spans="43:53" ht="15" customHeight="1">
      <c r="AQ79" s="349"/>
      <c r="AR79" s="349"/>
      <c r="AS79" s="349"/>
      <c r="AT79" s="360" t="str">
        <f t="shared" si="1"/>
        <v/>
      </c>
      <c r="AU79" s="349"/>
      <c r="AV79" s="349"/>
      <c r="AW79" s="349"/>
      <c r="AX79" s="349"/>
      <c r="AY79" s="349"/>
      <c r="AZ79" s="349"/>
      <c r="BA79" s="349"/>
    </row>
  </sheetData>
  <sheetProtection algorithmName="SHA-512" hashValue="OF5rZELigoawCtIb4dpf9XvWbVombqSJ015noyh27sJtR0bQI/nZf6DSfm9/t5ahAu00+80Uqz3fo3u050Ejvw==" saltValue="bEQ5jx26VKivf4YIuRxwNQ=="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BG3" xr:uid="{1ACD93ED-D4F8-4AB8-8264-3586DF594C5A}"/>
  <dataValidations count="3">
    <dataValidation type="list" allowBlank="1" showInputMessage="1" showErrorMessage="1" errorTitle="Valor no válido" error="Por favor seleccione una opción de la lista desplegable." sqref="AQ2:AQ79" xr:uid="{8FB91E39-1659-44D5-A01F-096A07502CDD}">
      <formula1>"Estimación incompleta,Ajuste del alcance,Otro"</formula1>
    </dataValidation>
    <dataValidation type="list" allowBlank="1" showInputMessage="1" showErrorMessage="1" errorTitle="Valor no válido" error="Por favor seleccione una opción de la lista: Baja o Media." sqref="AR2:AR79" xr:uid="{5997A904-8D9A-4A0A-869A-736B108E0F0E}">
      <formula1>"Baja,Media"</formula1>
    </dataValidation>
    <dataValidation type="list" allowBlank="1" showInputMessage="1" showErrorMessage="1" errorTitle="Valor no válido" error="Por favor seleccione una opción de la lista: Pendiente o Finalizado" sqref="AZ2:AZ79" xr:uid="{14EB0A60-7218-4583-BFA3-54A96B1EAB2B}">
      <formula1>"Pendiente,Finalizado"</formula1>
    </dataValidation>
  </dataValidations>
  <hyperlinks>
    <hyperlink ref="Z3" r:id="rId1" display="https://educorpperu-my.sharepoint.com/personal/diana_zapata_laureate_pe1/_layouts/15/Doc.aspx?sourcedoc=%7BFCF2BAF2-A2BE-40AB-B859-1D5B92387773%7D&amp;file=Solicitud%20de%20query%20retiros%20formales%20-%20ACT_Luis%20Alberto%20Almeyda.pptx&amp;action=edit&amp;mobileredirect=true" xr:uid="{3356D733-7AAF-4811-9291-1C4174AB0407}"/>
  </hyperlinks>
  <pageMargins left="0.7" right="0.7" top="0.75" bottom="0.75" header="0.3" footer="0.3"/>
  <headerFooter>
    <oddFooter>&amp;C_x000D_&amp;1#&amp;"Aptos"&amp;7&amp;K000000 Uso Público de Laureate Perú — Se compartir externamente, información no sensible.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1962</v>
      </c>
      <c r="C2" t="s">
        <v>1963</v>
      </c>
    </row>
    <row r="3" spans="2:3">
      <c r="B3" t="s">
        <v>2</v>
      </c>
      <c r="C3">
        <v>21</v>
      </c>
    </row>
    <row r="4" spans="2:3">
      <c r="B4" t="s">
        <v>3</v>
      </c>
      <c r="C4">
        <v>14</v>
      </c>
    </row>
    <row r="5" spans="2:3">
      <c r="B5" t="s">
        <v>4</v>
      </c>
      <c r="C5">
        <v>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BI79"/>
  <sheetViews>
    <sheetView zoomScale="84" zoomScaleNormal="84" workbookViewId="0">
      <pane xSplit="6" ySplit="1" topLeftCell="AP2" activePane="bottomRight" state="frozen"/>
      <selection pane="bottomRight" activeCell="AQ1" sqref="AQ1:BA1048576"/>
      <selection pane="bottomLeft" activeCell="A2" sqref="A2"/>
      <selection pane="topRight" activeCell="G1" sqref="G1"/>
    </sheetView>
  </sheetViews>
  <sheetFormatPr defaultColWidth="11.42578125" defaultRowHeight="15" customHeight="1"/>
  <cols>
    <col min="1" max="1" width="7.42578125" style="4" customWidth="1"/>
    <col min="2" max="2" width="11.5703125" style="4" customWidth="1"/>
    <col min="3" max="3" width="18.5703125" style="4" customWidth="1"/>
    <col min="4" max="4" width="12.5703125" style="4" customWidth="1"/>
    <col min="5" max="5" width="13.7109375" style="4" customWidth="1"/>
    <col min="6" max="6" width="24" style="4" customWidth="1"/>
    <col min="7" max="7" width="64.28515625" style="4" customWidth="1"/>
    <col min="8" max="10" width="11.42578125" style="4" bestFit="1" customWidth="1"/>
    <col min="11" max="11" width="11.42578125" style="4" customWidth="1"/>
    <col min="12"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5703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27.85546875" style="10" customWidth="1"/>
    <col min="44" max="44" width="14.7109375" style="10" customWidth="1"/>
    <col min="45" max="45" width="18" style="10" customWidth="1"/>
    <col min="46" max="46" width="20.28515625" style="361" customWidth="1"/>
    <col min="47" max="47" width="23.5703125" style="10" customWidth="1"/>
    <col min="48" max="48" width="22" style="10" customWidth="1"/>
    <col min="49" max="49" width="15.140625" style="10" customWidth="1"/>
    <col min="50" max="50" width="18" style="10" customWidth="1"/>
    <col min="51" max="51" width="21.85546875" style="10" customWidth="1"/>
    <col min="52" max="52" width="20.7109375" style="10" customWidth="1"/>
    <col min="53" max="53" width="18.42578125" style="10" customWidth="1"/>
    <col min="54" max="54" width="11.42578125" style="4" customWidth="1"/>
    <col min="55" max="55" width="26.7109375" style="4" customWidth="1"/>
    <col min="56" max="57" width="22.140625" style="4" customWidth="1"/>
    <col min="58" max="58" width="12.42578125" style="186" customWidth="1"/>
    <col min="59" max="59" width="14.42578125" style="186" customWidth="1"/>
    <col min="60" max="60" width="24.85546875" style="188" customWidth="1"/>
    <col min="61" max="16384" width="11.42578125" style="4"/>
  </cols>
  <sheetData>
    <row r="1" spans="1:61" s="59" customFormat="1" ht="48.75" customHeight="1">
      <c r="A1" s="159" t="s">
        <v>5</v>
      </c>
      <c r="B1" s="160" t="s">
        <v>6</v>
      </c>
      <c r="C1" s="160" t="s">
        <v>7</v>
      </c>
      <c r="D1" s="159" t="s">
        <v>8</v>
      </c>
      <c r="E1" s="159" t="s">
        <v>9</v>
      </c>
      <c r="F1" s="159" t="s">
        <v>10</v>
      </c>
      <c r="G1" s="159" t="s">
        <v>11</v>
      </c>
      <c r="H1" s="159" t="s">
        <v>12</v>
      </c>
      <c r="I1" s="159" t="s">
        <v>13</v>
      </c>
      <c r="J1" s="249" t="s">
        <v>14</v>
      </c>
      <c r="K1" s="159" t="s">
        <v>170</v>
      </c>
      <c r="L1" s="249" t="s">
        <v>16</v>
      </c>
      <c r="M1" s="249" t="s">
        <v>17</v>
      </c>
      <c r="N1" s="159" t="s">
        <v>18</v>
      </c>
      <c r="O1" s="159" t="s">
        <v>171</v>
      </c>
      <c r="P1" s="159" t="s">
        <v>20</v>
      </c>
      <c r="Q1" s="249" t="s">
        <v>21</v>
      </c>
      <c r="R1" s="159" t="s">
        <v>22</v>
      </c>
      <c r="S1" s="289" t="s">
        <v>23</v>
      </c>
      <c r="T1" s="249" t="s">
        <v>24</v>
      </c>
      <c r="U1" s="249" t="s">
        <v>25</v>
      </c>
      <c r="V1" s="159" t="s">
        <v>26</v>
      </c>
      <c r="W1" s="159" t="s">
        <v>173</v>
      </c>
      <c r="X1" s="249" t="s">
        <v>28</v>
      </c>
      <c r="Y1" s="159" t="s">
        <v>29</v>
      </c>
      <c r="Z1" s="177" t="s">
        <v>174</v>
      </c>
      <c r="AA1" s="269" t="s">
        <v>31</v>
      </c>
      <c r="AB1" s="175" t="s">
        <v>33</v>
      </c>
      <c r="AC1" s="175" t="s">
        <v>34</v>
      </c>
      <c r="AD1" s="225" t="s">
        <v>35</v>
      </c>
      <c r="AE1" s="208" t="s">
        <v>36</v>
      </c>
      <c r="AF1" s="176" t="s">
        <v>37</v>
      </c>
      <c r="AG1" s="176" t="s">
        <v>38</v>
      </c>
      <c r="AH1" s="208" t="s">
        <v>39</v>
      </c>
      <c r="AI1" s="210" t="s">
        <v>40</v>
      </c>
      <c r="AJ1" s="211" t="s">
        <v>41</v>
      </c>
      <c r="AK1" s="208" t="s">
        <v>42</v>
      </c>
      <c r="AL1" s="208" t="s">
        <v>43</v>
      </c>
      <c r="AM1" s="208" t="s">
        <v>1633</v>
      </c>
      <c r="AN1" s="166" t="s">
        <v>178</v>
      </c>
      <c r="AO1" s="208" t="s">
        <v>45</v>
      </c>
      <c r="AP1" s="208" t="s">
        <v>46</v>
      </c>
      <c r="AQ1" s="356" t="s">
        <v>535</v>
      </c>
      <c r="AR1" s="356" t="s">
        <v>536</v>
      </c>
      <c r="AS1" s="356" t="s">
        <v>537</v>
      </c>
      <c r="AT1" s="358" t="s">
        <v>538</v>
      </c>
      <c r="AU1" s="362" t="s">
        <v>39</v>
      </c>
      <c r="AV1" s="363" t="s">
        <v>176</v>
      </c>
      <c r="AW1" s="362" t="s">
        <v>177</v>
      </c>
      <c r="AX1" s="362" t="s">
        <v>43</v>
      </c>
      <c r="AY1" s="362" t="s">
        <v>539</v>
      </c>
      <c r="AZ1" s="362" t="s">
        <v>540</v>
      </c>
      <c r="BA1" s="362" t="s">
        <v>46</v>
      </c>
      <c r="BB1" s="200" t="s">
        <v>1634</v>
      </c>
      <c r="BC1" s="200" t="s">
        <v>46</v>
      </c>
      <c r="BD1" s="199" t="s">
        <v>1635</v>
      </c>
      <c r="BE1" s="272" t="s">
        <v>1636</v>
      </c>
      <c r="BF1" s="201" t="s">
        <v>1904</v>
      </c>
      <c r="BG1" s="201" t="s">
        <v>1905</v>
      </c>
      <c r="BH1" s="202" t="s">
        <v>1964</v>
      </c>
      <c r="BI1" s="278" t="s">
        <v>46</v>
      </c>
    </row>
    <row r="2" spans="1:61" ht="69" customHeight="1">
      <c r="A2" s="234">
        <v>104</v>
      </c>
      <c r="B2" s="243">
        <v>46129.492662037002</v>
      </c>
      <c r="C2" s="243">
        <v>46129.635648148098</v>
      </c>
      <c r="D2" s="244" t="s">
        <v>1965</v>
      </c>
      <c r="E2" s="244" t="s">
        <v>1966</v>
      </c>
      <c r="F2" s="244" t="s">
        <v>1967</v>
      </c>
      <c r="G2" s="244" t="s">
        <v>1968</v>
      </c>
      <c r="H2" s="244" t="s">
        <v>1011</v>
      </c>
      <c r="I2" s="234" t="s">
        <v>197</v>
      </c>
      <c r="J2" s="345" t="s">
        <v>1969</v>
      </c>
      <c r="K2" s="234"/>
      <c r="L2" s="346" t="s">
        <v>258</v>
      </c>
      <c r="M2" s="243">
        <v>46132</v>
      </c>
      <c r="N2" s="234" t="s">
        <v>57</v>
      </c>
      <c r="O2" s="234">
        <v>0</v>
      </c>
      <c r="P2" s="234"/>
      <c r="Q2" s="347" t="s">
        <v>269</v>
      </c>
      <c r="R2" s="244" t="s">
        <v>1970</v>
      </c>
      <c r="S2" s="244"/>
      <c r="T2" s="244" t="s">
        <v>1971</v>
      </c>
      <c r="U2" s="346" t="s">
        <v>130</v>
      </c>
      <c r="V2" s="244" t="s">
        <v>63</v>
      </c>
      <c r="W2" s="244" t="s">
        <v>188</v>
      </c>
      <c r="X2" s="346" t="s">
        <v>166</v>
      </c>
      <c r="Y2" s="244" t="s">
        <v>1972</v>
      </c>
      <c r="Z2" s="234" t="s">
        <v>1973</v>
      </c>
      <c r="AA2" s="234"/>
      <c r="AB2" s="189" t="s">
        <v>152</v>
      </c>
      <c r="AC2" s="189" t="s">
        <v>68</v>
      </c>
      <c r="AD2" s="190">
        <v>46135</v>
      </c>
      <c r="AE2" s="189"/>
      <c r="AF2" s="190"/>
      <c r="AG2" s="222"/>
      <c r="AH2" s="212">
        <v>1</v>
      </c>
      <c r="AI2" s="213"/>
      <c r="AJ2" s="214">
        <v>0</v>
      </c>
      <c r="AK2" s="215"/>
      <c r="AL2" s="216" t="s">
        <v>1867</v>
      </c>
      <c r="AM2" s="189" t="s">
        <v>1974</v>
      </c>
      <c r="AN2" s="189"/>
      <c r="AO2" s="212" t="s">
        <v>403</v>
      </c>
      <c r="AP2" s="189"/>
      <c r="AQ2" s="349"/>
      <c r="AR2" s="349"/>
      <c r="AS2" s="364"/>
      <c r="AT2" s="359"/>
      <c r="AU2" s="349"/>
      <c r="AV2" s="349"/>
      <c r="AW2" s="349"/>
      <c r="AX2" s="349"/>
      <c r="AY2" s="349"/>
      <c r="AZ2" s="349"/>
      <c r="BA2" s="349"/>
      <c r="BB2" s="190" t="s">
        <v>224</v>
      </c>
      <c r="BC2" s="191"/>
      <c r="BD2" s="189" t="s">
        <v>1919</v>
      </c>
      <c r="BE2" s="189"/>
      <c r="BF2" s="190">
        <v>46161</v>
      </c>
      <c r="BG2" s="223">
        <v>46190</v>
      </c>
      <c r="BH2" s="287"/>
      <c r="BI2" s="288"/>
    </row>
    <row r="3" spans="1:61" ht="86.25" customHeight="1">
      <c r="A3" s="234">
        <v>223</v>
      </c>
      <c r="B3" s="243">
        <v>46170.759953703702</v>
      </c>
      <c r="C3" s="243">
        <v>46170.7745138889</v>
      </c>
      <c r="D3" s="244" t="s">
        <v>124</v>
      </c>
      <c r="E3" s="244" t="s">
        <v>125</v>
      </c>
      <c r="F3" s="244" t="s">
        <v>1975</v>
      </c>
      <c r="G3" s="244" t="s">
        <v>1976</v>
      </c>
      <c r="H3" s="244" t="s">
        <v>158</v>
      </c>
      <c r="I3" s="234" t="s">
        <v>393</v>
      </c>
      <c r="J3" s="345" t="s">
        <v>1977</v>
      </c>
      <c r="K3" s="234" t="s">
        <v>1978</v>
      </c>
      <c r="L3" s="346" t="s">
        <v>161</v>
      </c>
      <c r="M3" s="243">
        <v>46185</v>
      </c>
      <c r="N3" s="234" t="s">
        <v>57</v>
      </c>
      <c r="O3" s="234">
        <v>0</v>
      </c>
      <c r="P3" s="234">
        <v>0</v>
      </c>
      <c r="Q3" s="347" t="s">
        <v>79</v>
      </c>
      <c r="R3" s="244" t="s">
        <v>1979</v>
      </c>
      <c r="S3" s="244" t="s">
        <v>1980</v>
      </c>
      <c r="T3" s="244" t="s">
        <v>1981</v>
      </c>
      <c r="U3" s="346" t="s">
        <v>82</v>
      </c>
      <c r="V3" s="244" t="s">
        <v>248</v>
      </c>
      <c r="W3" s="244" t="s">
        <v>57</v>
      </c>
      <c r="X3" s="346" t="s">
        <v>413</v>
      </c>
      <c r="Y3" s="244" t="s">
        <v>1982</v>
      </c>
      <c r="Z3" s="234" t="s">
        <v>1983</v>
      </c>
      <c r="AA3" s="234">
        <v>1.7</v>
      </c>
      <c r="AB3" s="189" t="s">
        <v>133</v>
      </c>
      <c r="AC3" s="189" t="s">
        <v>68</v>
      </c>
      <c r="AD3" s="190">
        <v>46174</v>
      </c>
      <c r="AE3" s="189" t="s">
        <v>3</v>
      </c>
      <c r="AF3" s="190">
        <v>46181</v>
      </c>
      <c r="AG3" s="222">
        <v>46195</v>
      </c>
      <c r="AH3" s="212" t="s">
        <v>1984</v>
      </c>
      <c r="AI3" s="213"/>
      <c r="AJ3" s="214">
        <v>0</v>
      </c>
      <c r="AK3" s="215"/>
      <c r="AL3" s="216" t="s">
        <v>711</v>
      </c>
      <c r="AM3" s="189" t="s">
        <v>1861</v>
      </c>
      <c r="AN3" s="189" t="s">
        <v>57</v>
      </c>
      <c r="AO3" s="212" t="s">
        <v>403</v>
      </c>
      <c r="AP3" s="189" t="s">
        <v>1985</v>
      </c>
      <c r="AQ3" s="349"/>
      <c r="AR3" s="349"/>
      <c r="AS3" s="364"/>
      <c r="AT3" s="359" t="str">
        <f t="shared" ref="AT3:AT66" si="0">IF(OR(AR3="",AS3=""),"",TEXT(WORKDAY(AS3,IF(AR3="Baja",3,IF(AR3="Media",5,0))),"dd-mmm"))</f>
        <v/>
      </c>
      <c r="AU3" s="349"/>
      <c r="AV3" s="349"/>
      <c r="AW3" s="349"/>
      <c r="AX3" s="349"/>
      <c r="AY3" s="349"/>
      <c r="AZ3" s="349"/>
      <c r="BA3" s="349"/>
      <c r="BB3" s="190" t="s">
        <v>224</v>
      </c>
      <c r="BC3" s="191"/>
      <c r="BD3" s="189" t="s">
        <v>1919</v>
      </c>
      <c r="BE3" s="189"/>
      <c r="BF3" s="190">
        <v>46182</v>
      </c>
      <c r="BG3" s="223">
        <v>46184</v>
      </c>
      <c r="BH3" s="287"/>
      <c r="BI3" s="288"/>
    </row>
    <row r="4" spans="1:61" ht="15" customHeight="1">
      <c r="AQ4" s="349"/>
      <c r="AR4" s="349"/>
      <c r="AS4" s="364"/>
      <c r="AT4" s="359" t="str">
        <f t="shared" si="0"/>
        <v/>
      </c>
      <c r="AU4" s="349"/>
      <c r="AV4" s="349"/>
      <c r="AW4" s="349"/>
      <c r="AX4" s="349"/>
      <c r="AY4" s="349"/>
      <c r="AZ4" s="349"/>
      <c r="BA4" s="349"/>
    </row>
    <row r="5" spans="1:61" ht="15" customHeight="1">
      <c r="AQ5" s="349"/>
      <c r="AR5" s="349"/>
      <c r="AS5" s="349"/>
      <c r="AT5" s="359" t="str">
        <f t="shared" si="0"/>
        <v/>
      </c>
      <c r="AU5" s="349"/>
      <c r="AV5" s="349"/>
      <c r="AW5" s="349"/>
      <c r="AX5" s="349"/>
      <c r="AY5" s="349"/>
      <c r="AZ5" s="349"/>
      <c r="BA5" s="349"/>
    </row>
    <row r="6" spans="1:61" ht="15" customHeight="1">
      <c r="AQ6" s="349"/>
      <c r="AR6" s="349"/>
      <c r="AS6" s="349"/>
      <c r="AT6" s="359" t="str">
        <f t="shared" si="0"/>
        <v/>
      </c>
      <c r="AU6" s="349"/>
      <c r="AV6" s="349"/>
      <c r="AW6" s="349"/>
      <c r="AX6" s="349"/>
      <c r="AY6" s="349"/>
      <c r="AZ6" s="349"/>
      <c r="BA6" s="349"/>
    </row>
    <row r="7" spans="1:61" ht="15" customHeight="1">
      <c r="AQ7" s="349"/>
      <c r="AR7" s="349"/>
      <c r="AS7" s="349"/>
      <c r="AT7" s="359" t="str">
        <f t="shared" si="0"/>
        <v/>
      </c>
      <c r="AU7" s="349"/>
      <c r="AV7" s="349"/>
      <c r="AW7" s="349"/>
      <c r="AX7" s="349"/>
      <c r="AY7" s="349"/>
      <c r="AZ7" s="349"/>
      <c r="BA7" s="349"/>
    </row>
    <row r="8" spans="1:61" ht="15" customHeight="1">
      <c r="AQ8" s="349"/>
      <c r="AR8" s="349"/>
      <c r="AS8" s="349"/>
      <c r="AT8" s="359" t="str">
        <f t="shared" si="0"/>
        <v/>
      </c>
      <c r="AU8" s="349"/>
      <c r="AV8" s="349"/>
      <c r="AW8" s="349"/>
      <c r="AX8" s="349"/>
      <c r="AY8" s="349"/>
      <c r="AZ8" s="349"/>
      <c r="BA8" s="349"/>
    </row>
    <row r="9" spans="1:61" ht="15" customHeight="1">
      <c r="AQ9" s="349"/>
      <c r="AR9" s="349"/>
      <c r="AS9" s="349"/>
      <c r="AT9" s="359" t="str">
        <f t="shared" si="0"/>
        <v/>
      </c>
      <c r="AU9" s="349"/>
      <c r="AV9" s="349"/>
      <c r="AW9" s="349"/>
      <c r="AX9" s="349"/>
      <c r="AY9" s="349"/>
      <c r="AZ9" s="349"/>
      <c r="BA9" s="349"/>
    </row>
    <row r="10" spans="1:61" ht="15" customHeight="1">
      <c r="AQ10" s="349"/>
      <c r="AR10" s="349"/>
      <c r="AS10" s="349"/>
      <c r="AT10" s="359" t="str">
        <f t="shared" si="0"/>
        <v/>
      </c>
      <c r="AU10" s="349"/>
      <c r="AV10" s="349"/>
      <c r="AW10" s="349"/>
      <c r="AX10" s="349"/>
      <c r="AY10" s="349"/>
      <c r="AZ10" s="349"/>
      <c r="BA10" s="349"/>
    </row>
    <row r="11" spans="1:61" ht="15" customHeight="1">
      <c r="AQ11" s="349"/>
      <c r="AR11" s="349"/>
      <c r="AS11" s="349"/>
      <c r="AT11" s="359" t="str">
        <f t="shared" si="0"/>
        <v/>
      </c>
      <c r="AU11" s="349"/>
      <c r="AV11" s="349"/>
      <c r="AW11" s="349"/>
      <c r="AX11" s="349"/>
      <c r="AY11" s="349"/>
      <c r="AZ11" s="349"/>
      <c r="BA11" s="349"/>
    </row>
    <row r="12" spans="1:61" ht="15" customHeight="1">
      <c r="AQ12" s="349"/>
      <c r="AR12" s="349"/>
      <c r="AS12" s="349"/>
      <c r="AT12" s="359" t="str">
        <f t="shared" si="0"/>
        <v/>
      </c>
      <c r="AU12" s="349"/>
      <c r="AV12" s="349"/>
      <c r="AW12" s="349"/>
      <c r="AX12" s="349"/>
      <c r="AY12" s="349"/>
      <c r="AZ12" s="349"/>
      <c r="BA12" s="349"/>
    </row>
    <row r="13" spans="1:61" ht="15" customHeight="1">
      <c r="AQ13" s="349"/>
      <c r="AR13" s="349"/>
      <c r="AS13" s="349"/>
      <c r="AT13" s="359" t="str">
        <f t="shared" si="0"/>
        <v/>
      </c>
      <c r="AU13" s="349"/>
      <c r="AV13" s="349"/>
      <c r="AW13" s="349"/>
      <c r="AX13" s="349"/>
      <c r="AY13" s="349"/>
      <c r="AZ13" s="349"/>
      <c r="BA13" s="349"/>
    </row>
    <row r="14" spans="1:61" ht="15" customHeight="1">
      <c r="AQ14" s="349"/>
      <c r="AR14" s="349"/>
      <c r="AS14" s="349"/>
      <c r="AT14" s="359" t="str">
        <f t="shared" si="0"/>
        <v/>
      </c>
      <c r="AU14" s="349"/>
      <c r="AV14" s="349"/>
      <c r="AW14" s="349"/>
      <c r="AX14" s="349"/>
      <c r="AY14" s="349"/>
      <c r="AZ14" s="349"/>
      <c r="BA14" s="349"/>
    </row>
    <row r="15" spans="1:61" ht="15" customHeight="1">
      <c r="AQ15" s="349"/>
      <c r="AR15" s="349"/>
      <c r="AS15" s="349"/>
      <c r="AT15" s="359" t="str">
        <f t="shared" si="0"/>
        <v/>
      </c>
      <c r="AU15" s="349"/>
      <c r="AV15" s="349"/>
      <c r="AW15" s="349"/>
      <c r="AX15" s="349"/>
      <c r="AY15" s="349"/>
      <c r="AZ15" s="349"/>
      <c r="BA15" s="349"/>
    </row>
    <row r="16" spans="1:61" ht="15" customHeight="1">
      <c r="AQ16" s="349"/>
      <c r="AR16" s="349"/>
      <c r="AS16" s="349"/>
      <c r="AT16" s="359" t="str">
        <f t="shared" si="0"/>
        <v/>
      </c>
      <c r="AU16" s="349"/>
      <c r="AV16" s="349"/>
      <c r="AW16" s="349"/>
      <c r="AX16" s="349"/>
      <c r="AY16" s="349"/>
      <c r="AZ16" s="349"/>
      <c r="BA16" s="349"/>
    </row>
    <row r="17" spans="43:53" ht="15" customHeight="1">
      <c r="AQ17" s="349"/>
      <c r="AR17" s="349"/>
      <c r="AS17" s="349"/>
      <c r="AT17" s="359" t="str">
        <f t="shared" si="0"/>
        <v/>
      </c>
      <c r="AU17" s="349"/>
      <c r="AV17" s="349"/>
      <c r="AW17" s="349"/>
      <c r="AX17" s="349"/>
      <c r="AY17" s="349"/>
      <c r="AZ17" s="349"/>
      <c r="BA17" s="349"/>
    </row>
    <row r="18" spans="43:53" ht="15" customHeight="1">
      <c r="AQ18" s="349"/>
      <c r="AR18" s="349"/>
      <c r="AS18" s="349"/>
      <c r="AT18" s="359" t="str">
        <f t="shared" si="0"/>
        <v/>
      </c>
      <c r="AU18" s="349"/>
      <c r="AV18" s="349"/>
      <c r="AW18" s="349"/>
      <c r="AX18" s="349"/>
      <c r="AY18" s="349"/>
      <c r="AZ18" s="349"/>
      <c r="BA18" s="349"/>
    </row>
    <row r="19" spans="43:53" ht="15" customHeight="1">
      <c r="AQ19" s="349"/>
      <c r="AR19" s="349"/>
      <c r="AS19" s="349"/>
      <c r="AT19" s="359" t="str">
        <f t="shared" si="0"/>
        <v/>
      </c>
      <c r="AU19" s="349"/>
      <c r="AV19" s="349"/>
      <c r="AW19" s="349"/>
      <c r="AX19" s="349"/>
      <c r="AY19" s="349"/>
      <c r="AZ19" s="349"/>
      <c r="BA19" s="349"/>
    </row>
    <row r="20" spans="43:53" ht="15" customHeight="1">
      <c r="AQ20" s="349"/>
      <c r="AR20" s="349"/>
      <c r="AS20" s="349"/>
      <c r="AT20" s="359" t="str">
        <f t="shared" si="0"/>
        <v/>
      </c>
      <c r="AU20" s="349"/>
      <c r="AV20" s="349"/>
      <c r="AW20" s="349"/>
      <c r="AX20" s="349"/>
      <c r="AY20" s="349"/>
      <c r="AZ20" s="349"/>
      <c r="BA20" s="349"/>
    </row>
    <row r="21" spans="43:53" ht="15" customHeight="1">
      <c r="AQ21" s="349"/>
      <c r="AR21" s="349"/>
      <c r="AS21" s="349"/>
      <c r="AT21" s="359" t="str">
        <f t="shared" si="0"/>
        <v/>
      </c>
      <c r="AU21" s="349"/>
      <c r="AV21" s="349"/>
      <c r="AW21" s="349"/>
      <c r="AX21" s="349"/>
      <c r="AY21" s="349"/>
      <c r="AZ21" s="349"/>
      <c r="BA21" s="349"/>
    </row>
    <row r="22" spans="43:53" ht="15" customHeight="1">
      <c r="AQ22" s="349"/>
      <c r="AR22" s="349"/>
      <c r="AS22" s="349"/>
      <c r="AT22" s="359" t="str">
        <f t="shared" si="0"/>
        <v/>
      </c>
      <c r="AU22" s="349"/>
      <c r="AV22" s="349"/>
      <c r="AW22" s="349"/>
      <c r="AX22" s="349"/>
      <c r="AY22" s="349"/>
      <c r="AZ22" s="349"/>
      <c r="BA22" s="349"/>
    </row>
    <row r="23" spans="43:53" ht="15" customHeight="1">
      <c r="AQ23" s="349"/>
      <c r="AR23" s="349"/>
      <c r="AS23" s="349"/>
      <c r="AT23" s="359" t="str">
        <f t="shared" si="0"/>
        <v/>
      </c>
      <c r="AU23" s="349"/>
      <c r="AV23" s="349"/>
      <c r="AW23" s="349"/>
      <c r="AX23" s="349"/>
      <c r="AY23" s="349"/>
      <c r="AZ23" s="349"/>
      <c r="BA23" s="349"/>
    </row>
    <row r="24" spans="43:53" ht="15" customHeight="1">
      <c r="AQ24" s="349"/>
      <c r="AR24" s="349"/>
      <c r="AS24" s="349"/>
      <c r="AT24" s="359" t="str">
        <f t="shared" si="0"/>
        <v/>
      </c>
      <c r="AU24" s="349"/>
      <c r="AV24" s="349"/>
      <c r="AW24" s="349"/>
      <c r="AX24" s="349"/>
      <c r="AY24" s="349"/>
      <c r="AZ24" s="349"/>
      <c r="BA24" s="349"/>
    </row>
    <row r="25" spans="43:53" ht="15" customHeight="1">
      <c r="AQ25" s="349"/>
      <c r="AR25" s="349"/>
      <c r="AS25" s="349"/>
      <c r="AT25" s="359" t="str">
        <f t="shared" si="0"/>
        <v/>
      </c>
      <c r="AU25" s="349"/>
      <c r="AV25" s="349"/>
      <c r="AW25" s="349"/>
      <c r="AX25" s="349"/>
      <c r="AY25" s="349"/>
      <c r="AZ25" s="349"/>
      <c r="BA25" s="349"/>
    </row>
    <row r="26" spans="43:53" ht="15" customHeight="1">
      <c r="AQ26" s="349"/>
      <c r="AR26" s="349"/>
      <c r="AS26" s="349"/>
      <c r="AT26" s="359" t="str">
        <f t="shared" si="0"/>
        <v/>
      </c>
      <c r="AU26" s="349"/>
      <c r="AV26" s="349"/>
      <c r="AW26" s="349"/>
      <c r="AX26" s="349"/>
      <c r="AY26" s="349"/>
      <c r="AZ26" s="349"/>
      <c r="BA26" s="349"/>
    </row>
    <row r="27" spans="43:53" ht="15" customHeight="1">
      <c r="AQ27" s="349"/>
      <c r="AR27" s="349"/>
      <c r="AS27" s="349"/>
      <c r="AT27" s="359" t="str">
        <f t="shared" si="0"/>
        <v/>
      </c>
      <c r="AU27" s="349"/>
      <c r="AV27" s="349"/>
      <c r="AW27" s="349"/>
      <c r="AX27" s="349"/>
      <c r="AY27" s="349"/>
      <c r="AZ27" s="349"/>
      <c r="BA27" s="349"/>
    </row>
    <row r="28" spans="43:53" ht="15" customHeight="1">
      <c r="AQ28" s="349"/>
      <c r="AR28" s="349"/>
      <c r="AS28" s="349"/>
      <c r="AT28" s="359" t="str">
        <f t="shared" si="0"/>
        <v/>
      </c>
      <c r="AU28" s="349"/>
      <c r="AV28" s="349"/>
      <c r="AW28" s="349"/>
      <c r="AX28" s="349"/>
      <c r="AY28" s="349"/>
      <c r="AZ28" s="349"/>
      <c r="BA28" s="349"/>
    </row>
    <row r="29" spans="43:53" ht="15" customHeight="1">
      <c r="AQ29" s="349"/>
      <c r="AR29" s="349"/>
      <c r="AS29" s="349"/>
      <c r="AT29" s="359" t="str">
        <f t="shared" si="0"/>
        <v/>
      </c>
      <c r="AU29" s="349"/>
      <c r="AV29" s="349"/>
      <c r="AW29" s="349"/>
      <c r="AX29" s="349"/>
      <c r="AY29" s="349"/>
      <c r="AZ29" s="349"/>
      <c r="BA29" s="349"/>
    </row>
    <row r="30" spans="43:53" ht="15" customHeight="1">
      <c r="AQ30" s="349"/>
      <c r="AR30" s="349"/>
      <c r="AS30" s="349"/>
      <c r="AT30" s="359" t="str">
        <f t="shared" si="0"/>
        <v/>
      </c>
      <c r="AU30" s="349"/>
      <c r="AV30" s="349"/>
      <c r="AW30" s="349"/>
      <c r="AX30" s="349"/>
      <c r="AY30" s="349"/>
      <c r="AZ30" s="349"/>
      <c r="BA30" s="349"/>
    </row>
    <row r="31" spans="43:53" ht="15" customHeight="1">
      <c r="AQ31" s="349"/>
      <c r="AR31" s="349"/>
      <c r="AS31" s="349"/>
      <c r="AT31" s="359" t="str">
        <f t="shared" si="0"/>
        <v/>
      </c>
      <c r="AU31" s="349"/>
      <c r="AV31" s="349"/>
      <c r="AW31" s="349"/>
      <c r="AX31" s="349"/>
      <c r="AY31" s="349"/>
      <c r="AZ31" s="349"/>
      <c r="BA31" s="349"/>
    </row>
    <row r="32" spans="43:53" ht="15" customHeight="1">
      <c r="AQ32" s="349"/>
      <c r="AR32" s="349"/>
      <c r="AS32" s="349"/>
      <c r="AT32" s="359" t="str">
        <f t="shared" si="0"/>
        <v/>
      </c>
      <c r="AU32" s="349"/>
      <c r="AV32" s="349"/>
      <c r="AW32" s="349"/>
      <c r="AX32" s="349"/>
      <c r="AY32" s="349"/>
      <c r="AZ32" s="349"/>
      <c r="BA32" s="349"/>
    </row>
    <row r="33" spans="43:53" ht="15" customHeight="1">
      <c r="AQ33" s="349"/>
      <c r="AR33" s="349"/>
      <c r="AS33" s="349"/>
      <c r="AT33" s="359" t="str">
        <f t="shared" si="0"/>
        <v/>
      </c>
      <c r="AU33" s="349"/>
      <c r="AV33" s="349"/>
      <c r="AW33" s="349"/>
      <c r="AX33" s="349"/>
      <c r="AY33" s="349"/>
      <c r="AZ33" s="349"/>
      <c r="BA33" s="349"/>
    </row>
    <row r="34" spans="43:53" ht="15" customHeight="1">
      <c r="AQ34" s="349"/>
      <c r="AR34" s="349"/>
      <c r="AS34" s="349"/>
      <c r="AT34" s="359" t="str">
        <f t="shared" si="0"/>
        <v/>
      </c>
      <c r="AU34" s="349"/>
      <c r="AV34" s="349"/>
      <c r="AW34" s="349"/>
      <c r="AX34" s="349"/>
      <c r="AY34" s="349"/>
      <c r="AZ34" s="349"/>
      <c r="BA34" s="349"/>
    </row>
    <row r="35" spans="43:53" ht="15" customHeight="1">
      <c r="AQ35" s="349"/>
      <c r="AR35" s="349"/>
      <c r="AS35" s="349"/>
      <c r="AT35" s="359" t="str">
        <f t="shared" si="0"/>
        <v/>
      </c>
      <c r="AU35" s="349"/>
      <c r="AV35" s="349"/>
      <c r="AW35" s="349"/>
      <c r="AX35" s="349"/>
      <c r="AY35" s="349"/>
      <c r="AZ35" s="349"/>
      <c r="BA35" s="349"/>
    </row>
    <row r="36" spans="43:53" ht="15" customHeight="1">
      <c r="AQ36" s="349"/>
      <c r="AR36" s="349"/>
      <c r="AS36" s="349"/>
      <c r="AT36" s="359" t="str">
        <f t="shared" si="0"/>
        <v/>
      </c>
      <c r="AU36" s="349"/>
      <c r="AV36" s="349"/>
      <c r="AW36" s="349"/>
      <c r="AX36" s="349"/>
      <c r="AY36" s="349"/>
      <c r="AZ36" s="349"/>
      <c r="BA36" s="349"/>
    </row>
    <row r="37" spans="43:53" ht="15" customHeight="1">
      <c r="AQ37" s="349"/>
      <c r="AR37" s="349"/>
      <c r="AS37" s="349"/>
      <c r="AT37" s="359" t="str">
        <f t="shared" si="0"/>
        <v/>
      </c>
      <c r="AU37" s="349"/>
      <c r="AV37" s="349"/>
      <c r="AW37" s="349"/>
      <c r="AX37" s="349"/>
      <c r="AY37" s="349"/>
      <c r="AZ37" s="349"/>
      <c r="BA37" s="349"/>
    </row>
    <row r="38" spans="43:53" ht="15" customHeight="1">
      <c r="AQ38" s="349"/>
      <c r="AR38" s="349"/>
      <c r="AS38" s="349"/>
      <c r="AT38" s="359" t="str">
        <f t="shared" si="0"/>
        <v/>
      </c>
      <c r="AU38" s="349"/>
      <c r="AV38" s="349"/>
      <c r="AW38" s="349"/>
      <c r="AX38" s="349"/>
      <c r="AY38" s="349"/>
      <c r="AZ38" s="349"/>
      <c r="BA38" s="349"/>
    </row>
    <row r="39" spans="43:53" ht="15" customHeight="1">
      <c r="AQ39" s="349"/>
      <c r="AR39" s="349"/>
      <c r="AS39" s="349"/>
      <c r="AT39" s="359" t="str">
        <f t="shared" si="0"/>
        <v/>
      </c>
      <c r="AU39" s="349"/>
      <c r="AV39" s="349"/>
      <c r="AW39" s="349"/>
      <c r="AX39" s="349"/>
      <c r="AY39" s="349"/>
      <c r="AZ39" s="349"/>
      <c r="BA39" s="349"/>
    </row>
    <row r="40" spans="43:53" ht="15" customHeight="1">
      <c r="AQ40" s="349"/>
      <c r="AR40" s="349"/>
      <c r="AS40" s="349"/>
      <c r="AT40" s="359" t="str">
        <f t="shared" si="0"/>
        <v/>
      </c>
      <c r="AU40" s="349"/>
      <c r="AV40" s="349"/>
      <c r="AW40" s="349"/>
      <c r="AX40" s="349"/>
      <c r="AY40" s="349"/>
      <c r="AZ40" s="349"/>
      <c r="BA40" s="349"/>
    </row>
    <row r="41" spans="43:53" ht="15" customHeight="1">
      <c r="AQ41" s="349"/>
      <c r="AR41" s="349"/>
      <c r="AS41" s="349"/>
      <c r="AT41" s="359" t="str">
        <f t="shared" si="0"/>
        <v/>
      </c>
      <c r="AU41" s="349"/>
      <c r="AV41" s="349"/>
      <c r="AW41" s="349"/>
      <c r="AX41" s="349"/>
      <c r="AY41" s="349"/>
      <c r="AZ41" s="349"/>
      <c r="BA41" s="349"/>
    </row>
    <row r="42" spans="43:53" ht="15" customHeight="1">
      <c r="AQ42" s="349"/>
      <c r="AR42" s="349"/>
      <c r="AS42" s="349"/>
      <c r="AT42" s="359" t="str">
        <f t="shared" si="0"/>
        <v/>
      </c>
      <c r="AU42" s="349"/>
      <c r="AV42" s="349"/>
      <c r="AW42" s="349"/>
      <c r="AX42" s="349"/>
      <c r="AY42" s="349"/>
      <c r="AZ42" s="349"/>
      <c r="BA42" s="349"/>
    </row>
    <row r="43" spans="43:53" ht="15" customHeight="1">
      <c r="AQ43" s="349"/>
      <c r="AR43" s="349"/>
      <c r="AS43" s="349"/>
      <c r="AT43" s="359" t="str">
        <f t="shared" si="0"/>
        <v/>
      </c>
      <c r="AU43" s="349"/>
      <c r="AV43" s="349"/>
      <c r="AW43" s="349"/>
      <c r="AX43" s="349"/>
      <c r="AY43" s="349"/>
      <c r="AZ43" s="349"/>
      <c r="BA43" s="349"/>
    </row>
    <row r="44" spans="43:53" ht="15" customHeight="1">
      <c r="AQ44" s="349"/>
      <c r="AR44" s="349"/>
      <c r="AS44" s="349"/>
      <c r="AT44" s="359" t="str">
        <f t="shared" si="0"/>
        <v/>
      </c>
      <c r="AU44" s="349"/>
      <c r="AV44" s="349"/>
      <c r="AW44" s="349"/>
      <c r="AX44" s="349"/>
      <c r="AY44" s="349"/>
      <c r="AZ44" s="349"/>
      <c r="BA44" s="349"/>
    </row>
    <row r="45" spans="43:53" ht="15" customHeight="1">
      <c r="AQ45" s="349"/>
      <c r="AR45" s="349"/>
      <c r="AS45" s="349"/>
      <c r="AT45" s="359" t="str">
        <f t="shared" si="0"/>
        <v/>
      </c>
      <c r="AU45" s="349"/>
      <c r="AV45" s="349"/>
      <c r="AW45" s="349"/>
      <c r="AX45" s="349"/>
      <c r="AY45" s="349"/>
      <c r="AZ45" s="349"/>
      <c r="BA45" s="349"/>
    </row>
    <row r="46" spans="43:53" ht="15" customHeight="1">
      <c r="AQ46" s="349"/>
      <c r="AR46" s="349"/>
      <c r="AS46" s="349"/>
      <c r="AT46" s="360" t="str">
        <f t="shared" si="0"/>
        <v/>
      </c>
      <c r="AU46" s="349"/>
      <c r="AV46" s="349"/>
      <c r="AW46" s="349"/>
      <c r="AX46" s="349"/>
      <c r="AY46" s="349"/>
      <c r="AZ46" s="349"/>
      <c r="BA46" s="349"/>
    </row>
    <row r="47" spans="43:53" ht="15" customHeight="1">
      <c r="AQ47" s="349"/>
      <c r="AR47" s="349"/>
      <c r="AS47" s="349"/>
      <c r="AT47" s="360" t="str">
        <f t="shared" si="0"/>
        <v/>
      </c>
      <c r="AU47" s="349"/>
      <c r="AV47" s="349"/>
      <c r="AW47" s="349"/>
      <c r="AX47" s="349"/>
      <c r="AY47" s="349"/>
      <c r="AZ47" s="349"/>
      <c r="BA47" s="349"/>
    </row>
    <row r="48" spans="43:53" ht="15" customHeight="1">
      <c r="AQ48" s="349"/>
      <c r="AR48" s="349"/>
      <c r="AS48" s="349"/>
      <c r="AT48" s="360" t="str">
        <f t="shared" si="0"/>
        <v/>
      </c>
      <c r="AU48" s="349"/>
      <c r="AV48" s="349"/>
      <c r="AW48" s="349"/>
      <c r="AX48" s="349"/>
      <c r="AY48" s="349"/>
      <c r="AZ48" s="349"/>
      <c r="BA48" s="349"/>
    </row>
    <row r="49" spans="43:53" ht="15" customHeight="1">
      <c r="AQ49" s="349"/>
      <c r="AR49" s="349"/>
      <c r="AS49" s="349"/>
      <c r="AT49" s="360" t="str">
        <f t="shared" si="0"/>
        <v/>
      </c>
      <c r="AU49" s="349"/>
      <c r="AV49" s="349"/>
      <c r="AW49" s="349"/>
      <c r="AX49" s="349"/>
      <c r="AY49" s="349"/>
      <c r="AZ49" s="349"/>
      <c r="BA49" s="349"/>
    </row>
    <row r="50" spans="43:53" ht="15" customHeight="1">
      <c r="AQ50" s="349"/>
      <c r="AR50" s="349"/>
      <c r="AS50" s="349"/>
      <c r="AT50" s="360" t="str">
        <f t="shared" si="0"/>
        <v/>
      </c>
      <c r="AU50" s="349"/>
      <c r="AV50" s="349"/>
      <c r="AW50" s="349"/>
      <c r="AX50" s="349"/>
      <c r="AY50" s="349"/>
      <c r="AZ50" s="349"/>
      <c r="BA50" s="349"/>
    </row>
    <row r="51" spans="43:53" ht="15" customHeight="1">
      <c r="AQ51" s="349"/>
      <c r="AR51" s="349"/>
      <c r="AS51" s="349"/>
      <c r="AT51" s="360" t="str">
        <f t="shared" si="0"/>
        <v/>
      </c>
      <c r="AU51" s="349"/>
      <c r="AV51" s="349"/>
      <c r="AW51" s="349"/>
      <c r="AX51" s="349"/>
      <c r="AY51" s="349"/>
      <c r="AZ51" s="349"/>
      <c r="BA51" s="349"/>
    </row>
    <row r="52" spans="43:53" ht="15" customHeight="1">
      <c r="AQ52" s="349"/>
      <c r="AR52" s="349"/>
      <c r="AS52" s="349"/>
      <c r="AT52" s="360" t="str">
        <f t="shared" si="0"/>
        <v/>
      </c>
      <c r="AU52" s="349"/>
      <c r="AV52" s="349"/>
      <c r="AW52" s="349"/>
      <c r="AX52" s="349"/>
      <c r="AY52" s="349"/>
      <c r="AZ52" s="349"/>
      <c r="BA52" s="349"/>
    </row>
    <row r="53" spans="43:53" ht="15" customHeight="1">
      <c r="AQ53" s="349"/>
      <c r="AR53" s="349"/>
      <c r="AS53" s="349"/>
      <c r="AT53" s="360" t="str">
        <f t="shared" si="0"/>
        <v/>
      </c>
      <c r="AU53" s="349"/>
      <c r="AV53" s="349"/>
      <c r="AW53" s="349"/>
      <c r="AX53" s="349"/>
      <c r="AY53" s="349"/>
      <c r="AZ53" s="349"/>
      <c r="BA53" s="349"/>
    </row>
    <row r="54" spans="43:53" ht="15" customHeight="1">
      <c r="AQ54" s="349"/>
      <c r="AR54" s="349"/>
      <c r="AS54" s="349"/>
      <c r="AT54" s="360" t="str">
        <f t="shared" si="0"/>
        <v/>
      </c>
      <c r="AU54" s="349"/>
      <c r="AV54" s="349"/>
      <c r="AW54" s="349"/>
      <c r="AX54" s="349"/>
      <c r="AY54" s="349"/>
      <c r="AZ54" s="349"/>
      <c r="BA54" s="349"/>
    </row>
    <row r="55" spans="43:53" ht="15" customHeight="1">
      <c r="AQ55" s="349"/>
      <c r="AR55" s="349"/>
      <c r="AS55" s="349"/>
      <c r="AT55" s="360" t="str">
        <f t="shared" si="0"/>
        <v/>
      </c>
      <c r="AU55" s="349"/>
      <c r="AV55" s="349"/>
      <c r="AW55" s="349"/>
      <c r="AX55" s="349"/>
      <c r="AY55" s="349"/>
      <c r="AZ55" s="349"/>
      <c r="BA55" s="349"/>
    </row>
    <row r="56" spans="43:53" ht="15" customHeight="1">
      <c r="AQ56" s="349"/>
      <c r="AR56" s="349"/>
      <c r="AS56" s="349"/>
      <c r="AT56" s="360" t="str">
        <f t="shared" si="0"/>
        <v/>
      </c>
      <c r="AU56" s="349"/>
      <c r="AV56" s="349"/>
      <c r="AW56" s="349"/>
      <c r="AX56" s="349"/>
      <c r="AY56" s="349"/>
      <c r="AZ56" s="349"/>
      <c r="BA56" s="349"/>
    </row>
    <row r="57" spans="43:53" ht="15" customHeight="1">
      <c r="AQ57" s="349"/>
      <c r="AR57" s="349"/>
      <c r="AS57" s="349"/>
      <c r="AT57" s="360" t="str">
        <f t="shared" si="0"/>
        <v/>
      </c>
      <c r="AU57" s="349"/>
      <c r="AV57" s="349"/>
      <c r="AW57" s="349"/>
      <c r="AX57" s="349"/>
      <c r="AY57" s="349"/>
      <c r="AZ57" s="349"/>
      <c r="BA57" s="349"/>
    </row>
    <row r="58" spans="43:53" ht="15" customHeight="1">
      <c r="AQ58" s="349"/>
      <c r="AR58" s="349"/>
      <c r="AS58" s="349"/>
      <c r="AT58" s="360" t="str">
        <f t="shared" si="0"/>
        <v/>
      </c>
      <c r="AU58" s="349"/>
      <c r="AV58" s="349"/>
      <c r="AW58" s="349"/>
      <c r="AX58" s="349"/>
      <c r="AY58" s="349"/>
      <c r="AZ58" s="349"/>
      <c r="BA58" s="349"/>
    </row>
    <row r="59" spans="43:53" ht="15" customHeight="1">
      <c r="AQ59" s="349"/>
      <c r="AR59" s="349"/>
      <c r="AS59" s="349"/>
      <c r="AT59" s="360" t="str">
        <f t="shared" si="0"/>
        <v/>
      </c>
      <c r="AU59" s="349"/>
      <c r="AV59" s="349"/>
      <c r="AW59" s="349"/>
      <c r="AX59" s="349"/>
      <c r="AY59" s="349"/>
      <c r="AZ59" s="349"/>
      <c r="BA59" s="349"/>
    </row>
    <row r="60" spans="43:53" ht="15" customHeight="1">
      <c r="AQ60" s="349"/>
      <c r="AR60" s="349"/>
      <c r="AS60" s="349"/>
      <c r="AT60" s="360" t="str">
        <f t="shared" si="0"/>
        <v/>
      </c>
      <c r="AU60" s="349"/>
      <c r="AV60" s="349"/>
      <c r="AW60" s="349"/>
      <c r="AX60" s="349"/>
      <c r="AY60" s="349"/>
      <c r="AZ60" s="349"/>
      <c r="BA60" s="349"/>
    </row>
    <row r="61" spans="43:53" ht="15" customHeight="1">
      <c r="AQ61" s="349"/>
      <c r="AR61" s="349"/>
      <c r="AS61" s="349"/>
      <c r="AT61" s="360" t="str">
        <f t="shared" si="0"/>
        <v/>
      </c>
      <c r="AU61" s="349"/>
      <c r="AV61" s="349"/>
      <c r="AW61" s="349"/>
      <c r="AX61" s="349"/>
      <c r="AY61" s="349"/>
      <c r="AZ61" s="349"/>
      <c r="BA61" s="349"/>
    </row>
    <row r="62" spans="43:53" ht="15" customHeight="1">
      <c r="AQ62" s="349"/>
      <c r="AR62" s="349"/>
      <c r="AS62" s="349"/>
      <c r="AT62" s="360" t="str">
        <f t="shared" si="0"/>
        <v/>
      </c>
      <c r="AU62" s="349"/>
      <c r="AV62" s="349"/>
      <c r="AW62" s="349"/>
      <c r="AX62" s="349"/>
      <c r="AY62" s="349"/>
      <c r="AZ62" s="349"/>
      <c r="BA62" s="349"/>
    </row>
    <row r="63" spans="43:53" ht="15" customHeight="1">
      <c r="AQ63" s="349"/>
      <c r="AR63" s="349"/>
      <c r="AS63" s="349"/>
      <c r="AT63" s="360" t="str">
        <f t="shared" si="0"/>
        <v/>
      </c>
      <c r="AU63" s="349"/>
      <c r="AV63" s="349"/>
      <c r="AW63" s="349"/>
      <c r="AX63" s="349"/>
      <c r="AY63" s="349"/>
      <c r="AZ63" s="349"/>
      <c r="BA63" s="349"/>
    </row>
    <row r="64" spans="43:53" ht="15" customHeight="1">
      <c r="AQ64" s="349"/>
      <c r="AR64" s="349"/>
      <c r="AS64" s="349"/>
      <c r="AT64" s="360" t="str">
        <f t="shared" si="0"/>
        <v/>
      </c>
      <c r="AU64" s="349"/>
      <c r="AV64" s="349"/>
      <c r="AW64" s="349"/>
      <c r="AX64" s="349"/>
      <c r="AY64" s="349"/>
      <c r="AZ64" s="349"/>
      <c r="BA64" s="349"/>
    </row>
    <row r="65" spans="43:53" ht="15" customHeight="1">
      <c r="AQ65" s="349"/>
      <c r="AR65" s="349"/>
      <c r="AS65" s="349"/>
      <c r="AT65" s="360" t="str">
        <f t="shared" si="0"/>
        <v/>
      </c>
      <c r="AU65" s="349"/>
      <c r="AV65" s="349"/>
      <c r="AW65" s="349"/>
      <c r="AX65" s="349"/>
      <c r="AY65" s="349"/>
      <c r="AZ65" s="349"/>
      <c r="BA65" s="349"/>
    </row>
    <row r="66" spans="43:53" ht="15" customHeight="1">
      <c r="AQ66" s="349"/>
      <c r="AR66" s="349"/>
      <c r="AS66" s="349"/>
      <c r="AT66" s="360" t="str">
        <f t="shared" si="0"/>
        <v/>
      </c>
      <c r="AU66" s="349"/>
      <c r="AV66" s="349"/>
      <c r="AW66" s="349"/>
      <c r="AX66" s="349"/>
      <c r="AY66" s="349"/>
      <c r="AZ66" s="349"/>
      <c r="BA66" s="349"/>
    </row>
    <row r="67" spans="43:53" ht="15" customHeight="1">
      <c r="AQ67" s="349"/>
      <c r="AR67" s="349"/>
      <c r="AS67" s="349"/>
      <c r="AT67" s="360" t="str">
        <f t="shared" ref="AT67:AT79" si="1">IF(OR(AR67="",AS67=""),"",TEXT(WORKDAY(AS67,IF(AR67="Baja",3,IF(AR67="Media",5,0))),"dd-mmm"))</f>
        <v/>
      </c>
      <c r="AU67" s="349"/>
      <c r="AV67" s="349"/>
      <c r="AW67" s="349"/>
      <c r="AX67" s="349"/>
      <c r="AY67" s="349"/>
      <c r="AZ67" s="349"/>
      <c r="BA67" s="349"/>
    </row>
    <row r="68" spans="43:53" ht="15" customHeight="1">
      <c r="AQ68" s="349"/>
      <c r="AR68" s="349"/>
      <c r="AS68" s="349"/>
      <c r="AT68" s="360" t="str">
        <f t="shared" si="1"/>
        <v/>
      </c>
      <c r="AU68" s="349"/>
      <c r="AV68" s="349"/>
      <c r="AW68" s="349"/>
      <c r="AX68" s="349"/>
      <c r="AY68" s="349"/>
      <c r="AZ68" s="349"/>
      <c r="BA68" s="349"/>
    </row>
    <row r="69" spans="43:53" ht="15" customHeight="1">
      <c r="AQ69" s="349"/>
      <c r="AR69" s="349"/>
      <c r="AS69" s="349"/>
      <c r="AT69" s="360" t="str">
        <f t="shared" si="1"/>
        <v/>
      </c>
      <c r="AU69" s="349"/>
      <c r="AV69" s="349"/>
      <c r="AW69" s="349"/>
      <c r="AX69" s="349"/>
      <c r="AY69" s="349"/>
      <c r="AZ69" s="349"/>
      <c r="BA69" s="349"/>
    </row>
    <row r="70" spans="43:53" ht="15" customHeight="1">
      <c r="AQ70" s="349"/>
      <c r="AR70" s="349"/>
      <c r="AS70" s="349"/>
      <c r="AT70" s="360" t="str">
        <f t="shared" si="1"/>
        <v/>
      </c>
      <c r="AU70" s="349"/>
      <c r="AV70" s="349"/>
      <c r="AW70" s="349"/>
      <c r="AX70" s="349"/>
      <c r="AY70" s="349"/>
      <c r="AZ70" s="349"/>
      <c r="BA70" s="349"/>
    </row>
    <row r="71" spans="43:53" ht="15" customHeight="1">
      <c r="AQ71" s="349"/>
      <c r="AR71" s="349"/>
      <c r="AS71" s="349"/>
      <c r="AT71" s="360" t="str">
        <f t="shared" si="1"/>
        <v/>
      </c>
      <c r="AU71" s="349"/>
      <c r="AV71" s="349"/>
      <c r="AW71" s="349"/>
      <c r="AX71" s="349"/>
      <c r="AY71" s="349"/>
      <c r="AZ71" s="349"/>
      <c r="BA71" s="349"/>
    </row>
    <row r="72" spans="43:53" ht="15" customHeight="1">
      <c r="AQ72" s="349"/>
      <c r="AR72" s="349"/>
      <c r="AS72" s="349"/>
      <c r="AT72" s="360" t="str">
        <f t="shared" si="1"/>
        <v/>
      </c>
      <c r="AU72" s="349"/>
      <c r="AV72" s="349"/>
      <c r="AW72" s="349"/>
      <c r="AX72" s="349"/>
      <c r="AY72" s="349"/>
      <c r="AZ72" s="349"/>
      <c r="BA72" s="349"/>
    </row>
    <row r="73" spans="43:53" ht="15" customHeight="1">
      <c r="AQ73" s="349"/>
      <c r="AR73" s="349"/>
      <c r="AS73" s="349"/>
      <c r="AT73" s="360" t="str">
        <f t="shared" si="1"/>
        <v/>
      </c>
      <c r="AU73" s="349"/>
      <c r="AV73" s="349"/>
      <c r="AW73" s="349"/>
      <c r="AX73" s="349"/>
      <c r="AY73" s="349"/>
      <c r="AZ73" s="349"/>
      <c r="BA73" s="349"/>
    </row>
    <row r="74" spans="43:53" ht="15" customHeight="1">
      <c r="AQ74" s="349"/>
      <c r="AR74" s="349"/>
      <c r="AS74" s="349"/>
      <c r="AT74" s="360" t="str">
        <f t="shared" si="1"/>
        <v/>
      </c>
      <c r="AU74" s="349"/>
      <c r="AV74" s="349"/>
      <c r="AW74" s="349"/>
      <c r="AX74" s="349"/>
      <c r="AY74" s="349"/>
      <c r="AZ74" s="349"/>
      <c r="BA74" s="349"/>
    </row>
    <row r="75" spans="43:53" ht="15" customHeight="1">
      <c r="AQ75" s="349"/>
      <c r="AR75" s="349"/>
      <c r="AS75" s="349"/>
      <c r="AT75" s="360" t="str">
        <f t="shared" si="1"/>
        <v/>
      </c>
      <c r="AU75" s="349"/>
      <c r="AV75" s="349"/>
      <c r="AW75" s="349"/>
      <c r="AX75" s="349"/>
      <c r="AY75" s="349"/>
      <c r="AZ75" s="349"/>
      <c r="BA75" s="349"/>
    </row>
    <row r="76" spans="43:53" ht="15" customHeight="1">
      <c r="AQ76" s="349"/>
      <c r="AR76" s="349"/>
      <c r="AS76" s="349"/>
      <c r="AT76" s="360" t="str">
        <f t="shared" si="1"/>
        <v/>
      </c>
      <c r="AU76" s="349"/>
      <c r="AV76" s="349"/>
      <c r="AW76" s="349"/>
      <c r="AX76" s="349"/>
      <c r="AY76" s="349"/>
      <c r="AZ76" s="349"/>
      <c r="BA76" s="349"/>
    </row>
    <row r="77" spans="43:53" ht="15" customHeight="1">
      <c r="AQ77" s="349"/>
      <c r="AR77" s="349"/>
      <c r="AS77" s="349"/>
      <c r="AT77" s="360" t="str">
        <f t="shared" si="1"/>
        <v/>
      </c>
      <c r="AU77" s="349"/>
      <c r="AV77" s="349"/>
      <c r="AW77" s="349"/>
      <c r="AX77" s="349"/>
      <c r="AY77" s="349"/>
      <c r="AZ77" s="349"/>
      <c r="BA77" s="349"/>
    </row>
    <row r="78" spans="43:53" ht="15" customHeight="1">
      <c r="AQ78" s="349"/>
      <c r="AR78" s="349"/>
      <c r="AS78" s="349"/>
      <c r="AT78" s="360" t="str">
        <f t="shared" si="1"/>
        <v/>
      </c>
      <c r="AU78" s="349"/>
      <c r="AV78" s="349"/>
      <c r="AW78" s="349"/>
      <c r="AX78" s="349"/>
      <c r="AY78" s="349"/>
      <c r="AZ78" s="349"/>
      <c r="BA78" s="349"/>
    </row>
    <row r="79" spans="43:53" ht="15" customHeight="1">
      <c r="AQ79" s="349"/>
      <c r="AR79" s="349"/>
      <c r="AS79" s="349"/>
      <c r="AT79" s="360" t="str">
        <f t="shared" si="1"/>
        <v/>
      </c>
      <c r="AU79" s="349"/>
      <c r="AV79" s="349"/>
      <c r="AW79" s="349"/>
      <c r="AX79" s="349"/>
      <c r="AY79" s="349"/>
      <c r="AZ79" s="349"/>
      <c r="BA79" s="349"/>
    </row>
  </sheetData>
  <sheetProtection algorithmName="SHA-512" hashValue="VC/5sLjohtGVp0YQBorza7coLdhOKtO93T2CEOcqLA+xFN2AkJzQl0xL3h54UTGp1n9Rf/3wqCZqmgUYTIkxAg==" saltValue="9aF3S1iAWStqVgFRdIl4CA=="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BH1" xr:uid="{D09E137F-13D1-4358-8DED-3EEC1762CF94}"/>
  <dataValidations count="3">
    <dataValidation type="list" allowBlank="1" showInputMessage="1" showErrorMessage="1" errorTitle="Valor no válido" error="Por favor seleccione una opción de la lista: Pendiente o Finalizado" sqref="AZ2:AZ79" xr:uid="{1137B389-67C2-433F-B3E8-2A00A1F26038}">
      <formula1>"Pendiente,Finalizado"</formula1>
    </dataValidation>
    <dataValidation type="list" allowBlank="1" showInputMessage="1" showErrorMessage="1" errorTitle="Valor no válido" error="Por favor seleccione una opción de la lista: Baja o Media." sqref="AR2:AR79" xr:uid="{F6EA4E31-0FA4-4149-9ABC-27A62AE203D3}">
      <formula1>"Baja,Media"</formula1>
    </dataValidation>
    <dataValidation type="list" allowBlank="1" showInputMessage="1" showErrorMessage="1" errorTitle="Valor no válido" error="Por favor seleccione una opción de la lista desplegable." sqref="AQ2:AQ79" xr:uid="{8E03A416-8F41-4F3F-BDA7-2AEE29F5F981}">
      <formula1>"Estimación incompleta,Ajuste del alcance,Otro"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tabColor theme="0" tint="-0.499984740745262"/>
  </sheetPr>
  <dimension ref="A1:FS79"/>
  <sheetViews>
    <sheetView zoomScaleNormal="100" workbookViewId="0">
      <pane xSplit="1" ySplit="1" topLeftCell="AO2" activePane="bottomRight" state="frozen"/>
      <selection pane="bottomRight" activeCell="BA1" sqref="AQ1:BA2"/>
      <selection pane="bottomLeft" activeCell="A2" sqref="A2"/>
      <selection pane="topRight" activeCell="G1" sqref="G1"/>
    </sheetView>
  </sheetViews>
  <sheetFormatPr defaultColWidth="115.42578125" defaultRowHeight="15" customHeight="1"/>
  <cols>
    <col min="1" max="1" width="6.28515625" style="10" customWidth="1"/>
    <col min="2" max="2" width="21" style="94" customWidth="1"/>
    <col min="3" max="3" width="16.28515625" style="94" customWidth="1"/>
    <col min="4" max="4" width="10.7109375" style="10" customWidth="1"/>
    <col min="5" max="5" width="17" style="10" customWidth="1"/>
    <col min="6" max="6" width="31.28515625" style="10" customWidth="1"/>
    <col min="7" max="7" width="51" style="184" customWidth="1"/>
    <col min="8" max="8" width="17.42578125" style="10" customWidth="1"/>
    <col min="9" max="9" width="32.5703125" style="10" customWidth="1"/>
    <col min="10" max="10" width="42" style="10" customWidth="1"/>
    <col min="11" max="11" width="16.85546875" style="10" customWidth="1"/>
    <col min="12" max="12" width="19" style="10" customWidth="1"/>
    <col min="13" max="13" width="19" style="185" customWidth="1"/>
    <col min="14" max="14" width="22.28515625" style="10" customWidth="1"/>
    <col min="15" max="16" width="20.7109375" style="10" customWidth="1"/>
    <col min="17" max="17" width="19" style="10" customWidth="1"/>
    <col min="18" max="21" width="34.42578125" style="10" customWidth="1"/>
    <col min="22" max="22" width="25.28515625" style="10" customWidth="1"/>
    <col min="23" max="23" width="16.7109375" style="10" customWidth="1"/>
    <col min="24" max="24" width="47.7109375" style="10" customWidth="1"/>
    <col min="25" max="25" width="41.42578125" style="10" customWidth="1"/>
    <col min="26" max="26" width="24.42578125" style="10" customWidth="1"/>
    <col min="27" max="27" width="14.85546875" style="10" customWidth="1"/>
    <col min="28" max="34" width="22.7109375" style="10" customWidth="1"/>
    <col min="35" max="36" width="17.28515625" style="10" customWidth="1"/>
    <col min="37" max="37" width="55.7109375" style="59" customWidth="1"/>
    <col min="38" max="38" width="21.7109375" style="10" bestFit="1" customWidth="1"/>
    <col min="39" max="40" width="21.7109375" style="10" customWidth="1"/>
    <col min="41" max="42" width="17.42578125" style="10" customWidth="1"/>
    <col min="43" max="43" width="27.85546875" style="10" customWidth="1"/>
    <col min="44" max="44" width="14.7109375" style="10" customWidth="1"/>
    <col min="45" max="45" width="18" style="10" customWidth="1"/>
    <col min="46" max="46" width="20.28515625" style="361" customWidth="1"/>
    <col min="47" max="47" width="23.5703125" style="10" customWidth="1"/>
    <col min="48" max="48" width="22" style="10" customWidth="1"/>
    <col min="49" max="49" width="15.140625" style="10" customWidth="1"/>
    <col min="50" max="50" width="18" style="10" customWidth="1"/>
    <col min="51" max="51" width="21.85546875" style="10" customWidth="1"/>
    <col min="52" max="52" width="20.7109375" style="10" customWidth="1"/>
    <col min="53" max="53" width="18.42578125" style="10" customWidth="1"/>
    <col min="54" max="54" width="20.7109375" style="10" customWidth="1"/>
    <col min="55" max="55" width="25.85546875" style="10" customWidth="1"/>
    <col min="56" max="56" width="20.7109375" style="10" customWidth="1"/>
    <col min="57" max="57" width="22.85546875" style="10" customWidth="1"/>
    <col min="58" max="60" width="20.7109375" style="10" customWidth="1"/>
    <col min="61" max="61" width="27.7109375" style="10" customWidth="1"/>
    <col min="62" max="16384" width="115.42578125" style="10"/>
  </cols>
  <sheetData>
    <row r="1" spans="1:175" s="59" customFormat="1" ht="43.5">
      <c r="A1" s="159" t="s">
        <v>5</v>
      </c>
      <c r="B1" s="160" t="s">
        <v>6</v>
      </c>
      <c r="C1" s="160" t="s">
        <v>7</v>
      </c>
      <c r="D1" s="159" t="s">
        <v>8</v>
      </c>
      <c r="E1" s="159" t="s">
        <v>9</v>
      </c>
      <c r="F1" s="159" t="s">
        <v>10</v>
      </c>
      <c r="G1" s="159" t="s">
        <v>11</v>
      </c>
      <c r="H1" s="159" t="s">
        <v>12</v>
      </c>
      <c r="I1" s="273" t="s">
        <v>13</v>
      </c>
      <c r="J1" s="273" t="s">
        <v>14</v>
      </c>
      <c r="K1" s="159" t="s">
        <v>170</v>
      </c>
      <c r="L1" s="273" t="s">
        <v>16</v>
      </c>
      <c r="M1" s="273" t="s">
        <v>17</v>
      </c>
      <c r="N1" s="159" t="s">
        <v>18</v>
      </c>
      <c r="O1" s="159" t="s">
        <v>171</v>
      </c>
      <c r="P1" s="159" t="s">
        <v>20</v>
      </c>
      <c r="Q1" s="273" t="s">
        <v>21</v>
      </c>
      <c r="R1" s="159" t="s">
        <v>22</v>
      </c>
      <c r="S1" s="159" t="s">
        <v>23</v>
      </c>
      <c r="T1" s="273" t="s">
        <v>24</v>
      </c>
      <c r="U1" s="273" t="s">
        <v>25</v>
      </c>
      <c r="V1" s="159" t="s">
        <v>26</v>
      </c>
      <c r="W1" s="159" t="s">
        <v>173</v>
      </c>
      <c r="X1" s="159" t="s">
        <v>559</v>
      </c>
      <c r="Y1" s="159" t="s">
        <v>29</v>
      </c>
      <c r="Z1" s="177" t="s">
        <v>174</v>
      </c>
      <c r="AA1" s="269" t="s">
        <v>31</v>
      </c>
      <c r="AB1" s="175" t="s">
        <v>33</v>
      </c>
      <c r="AC1" s="175" t="s">
        <v>34</v>
      </c>
      <c r="AD1" s="225" t="s">
        <v>35</v>
      </c>
      <c r="AE1" s="208" t="s">
        <v>36</v>
      </c>
      <c r="AF1" s="209" t="s">
        <v>1986</v>
      </c>
      <c r="AG1" s="209" t="s">
        <v>1987</v>
      </c>
      <c r="AH1" s="208" t="s">
        <v>39</v>
      </c>
      <c r="AI1" s="210" t="s">
        <v>40</v>
      </c>
      <c r="AJ1" s="211" t="s">
        <v>41</v>
      </c>
      <c r="AK1" s="208" t="s">
        <v>42</v>
      </c>
      <c r="AL1" s="208" t="s">
        <v>43</v>
      </c>
      <c r="AM1" s="208" t="s">
        <v>1633</v>
      </c>
      <c r="AN1" s="166" t="s">
        <v>178</v>
      </c>
      <c r="AO1" s="208" t="s">
        <v>45</v>
      </c>
      <c r="AP1" s="208" t="s">
        <v>46</v>
      </c>
      <c r="AQ1" s="356" t="s">
        <v>535</v>
      </c>
      <c r="AR1" s="356" t="s">
        <v>536</v>
      </c>
      <c r="AS1" s="356" t="s">
        <v>537</v>
      </c>
      <c r="AT1" s="358" t="s">
        <v>538</v>
      </c>
      <c r="AU1" s="362" t="s">
        <v>39</v>
      </c>
      <c r="AV1" s="363" t="s">
        <v>176</v>
      </c>
      <c r="AW1" s="362" t="s">
        <v>177</v>
      </c>
      <c r="AX1" s="362" t="s">
        <v>43</v>
      </c>
      <c r="AY1" s="362" t="s">
        <v>539</v>
      </c>
      <c r="AZ1" s="362" t="s">
        <v>540</v>
      </c>
      <c r="BA1" s="362" t="s">
        <v>46</v>
      </c>
      <c r="BB1" s="218" t="s">
        <v>1634</v>
      </c>
      <c r="BC1" s="218" t="s">
        <v>46</v>
      </c>
      <c r="BD1" s="274" t="s">
        <v>1635</v>
      </c>
      <c r="BE1" s="274" t="s">
        <v>1636</v>
      </c>
      <c r="BF1" s="275" t="s">
        <v>1904</v>
      </c>
      <c r="BG1" s="275" t="s">
        <v>1905</v>
      </c>
      <c r="BH1" s="276" t="s">
        <v>1964</v>
      </c>
      <c r="BI1" s="278" t="s">
        <v>46</v>
      </c>
    </row>
    <row r="2" spans="1:175" ht="95.45" customHeight="1">
      <c r="A2" s="234">
        <v>25</v>
      </c>
      <c r="B2" s="243">
        <v>46048.5886342593</v>
      </c>
      <c r="C2" s="243">
        <v>46048.615358796298</v>
      </c>
      <c r="D2" s="244" t="s">
        <v>566</v>
      </c>
      <c r="E2" s="244" t="s">
        <v>567</v>
      </c>
      <c r="F2" s="244" t="s">
        <v>1125</v>
      </c>
      <c r="G2" s="244" t="s">
        <v>1136</v>
      </c>
      <c r="H2" s="244" t="s">
        <v>158</v>
      </c>
      <c r="I2" s="234" t="s">
        <v>570</v>
      </c>
      <c r="J2" s="234" t="s">
        <v>1126</v>
      </c>
      <c r="K2" s="234"/>
      <c r="L2" s="234" t="s">
        <v>161</v>
      </c>
      <c r="M2" s="243">
        <v>46083</v>
      </c>
      <c r="N2" s="234" t="s">
        <v>83</v>
      </c>
      <c r="O2" s="234">
        <v>76553</v>
      </c>
      <c r="P2" s="234"/>
      <c r="Q2" s="277" t="s">
        <v>79</v>
      </c>
      <c r="R2" s="244" t="s">
        <v>1128</v>
      </c>
      <c r="S2" s="244"/>
      <c r="T2" s="244" t="s">
        <v>1129</v>
      </c>
      <c r="U2" s="244"/>
      <c r="V2" s="244" t="s">
        <v>581</v>
      </c>
      <c r="W2" s="244" t="s">
        <v>188</v>
      </c>
      <c r="X2" s="244" t="s">
        <v>1137</v>
      </c>
      <c r="Y2" s="244" t="s">
        <v>1138</v>
      </c>
      <c r="Z2" s="234" t="s">
        <v>1139</v>
      </c>
      <c r="AA2" s="234"/>
      <c r="AB2" s="250" t="s">
        <v>694</v>
      </c>
      <c r="AC2" s="250"/>
      <c r="AD2" s="250"/>
      <c r="AE2" s="250" t="s">
        <v>4</v>
      </c>
      <c r="AF2" s="250"/>
      <c r="AG2" s="255"/>
      <c r="AH2" s="255"/>
      <c r="AI2" s="251"/>
      <c r="AJ2" s="252">
        <v>0</v>
      </c>
      <c r="AK2" s="253" t="s">
        <v>928</v>
      </c>
      <c r="AL2" s="256" t="s">
        <v>711</v>
      </c>
      <c r="AM2" s="250" t="s">
        <v>1988</v>
      </c>
      <c r="AN2" s="250"/>
      <c r="AO2" s="255" t="s">
        <v>403</v>
      </c>
      <c r="AP2" s="250"/>
      <c r="AQ2" s="349"/>
      <c r="AR2" s="349"/>
      <c r="AS2" s="364"/>
      <c r="AT2" s="359"/>
      <c r="AU2" s="349"/>
      <c r="AV2" s="349"/>
      <c r="AW2" s="349"/>
      <c r="AX2" s="349"/>
      <c r="AY2" s="349"/>
      <c r="AZ2" s="349"/>
      <c r="BA2" s="349"/>
      <c r="BB2" s="254" t="s">
        <v>224</v>
      </c>
      <c r="BC2" s="257"/>
      <c r="BD2" s="250" t="s">
        <v>1919</v>
      </c>
      <c r="BE2" s="250"/>
      <c r="BF2" s="254">
        <v>46097</v>
      </c>
      <c r="BG2" s="254">
        <v>46115</v>
      </c>
      <c r="BH2" s="250" t="s">
        <v>1989</v>
      </c>
      <c r="BI2" s="255"/>
    </row>
    <row r="3" spans="1:175" ht="95.45" customHeight="1">
      <c r="A3" s="234">
        <v>26</v>
      </c>
      <c r="B3" s="243">
        <v>46048.615775462997</v>
      </c>
      <c r="C3" s="243">
        <v>46048.6236921296</v>
      </c>
      <c r="D3" s="234" t="s">
        <v>566</v>
      </c>
      <c r="E3" s="234" t="s">
        <v>567</v>
      </c>
      <c r="F3" s="234" t="s">
        <v>568</v>
      </c>
      <c r="G3" s="234" t="s">
        <v>569</v>
      </c>
      <c r="H3" s="234" t="s">
        <v>158</v>
      </c>
      <c r="I3" s="234" t="s">
        <v>570</v>
      </c>
      <c r="J3" s="234" t="s">
        <v>571</v>
      </c>
      <c r="K3" s="234"/>
      <c r="L3" s="243" t="s">
        <v>161</v>
      </c>
      <c r="M3" s="243">
        <v>46035</v>
      </c>
      <c r="N3" s="234" t="s">
        <v>83</v>
      </c>
      <c r="O3" s="234">
        <v>76553</v>
      </c>
      <c r="P3" s="234"/>
      <c r="Q3" s="277" t="s">
        <v>79</v>
      </c>
      <c r="R3" s="234" t="s">
        <v>574</v>
      </c>
      <c r="S3" s="234"/>
      <c r="T3" s="234" t="s">
        <v>575</v>
      </c>
      <c r="U3" s="234"/>
      <c r="V3" s="234" t="s">
        <v>581</v>
      </c>
      <c r="W3" s="234" t="s">
        <v>188</v>
      </c>
      <c r="X3" s="234" t="s">
        <v>582</v>
      </c>
      <c r="Y3" s="234" t="s">
        <v>577</v>
      </c>
      <c r="Z3" s="234" t="s">
        <v>583</v>
      </c>
      <c r="AA3" s="234"/>
      <c r="AB3" s="250" t="s">
        <v>288</v>
      </c>
      <c r="AC3" s="250" t="s">
        <v>205</v>
      </c>
      <c r="AD3" s="250"/>
      <c r="AE3" s="250" t="s">
        <v>3</v>
      </c>
      <c r="AF3" s="250"/>
      <c r="AG3" s="250"/>
      <c r="AH3" s="250" t="s">
        <v>627</v>
      </c>
      <c r="AI3" s="251"/>
      <c r="AJ3" s="252">
        <v>0</v>
      </c>
      <c r="AK3" s="253" t="s">
        <v>1990</v>
      </c>
      <c r="AL3" s="252" t="s">
        <v>711</v>
      </c>
      <c r="AM3" s="250" t="s">
        <v>1988</v>
      </c>
      <c r="AN3" s="250"/>
      <c r="AO3" s="250" t="s">
        <v>403</v>
      </c>
      <c r="AP3" s="250"/>
      <c r="AQ3" s="349"/>
      <c r="AR3" s="349"/>
      <c r="AS3" s="364"/>
      <c r="AT3" s="359" t="str">
        <f t="shared" ref="AT3:AT66" si="0">IF(OR(AR3="",AS3=""),"",TEXT(WORKDAY(AS3,IF(AR3="Baja",3,IF(AR3="Media",5,0))),"dd-mmm"))</f>
        <v/>
      </c>
      <c r="AU3" s="349"/>
      <c r="AV3" s="349"/>
      <c r="AW3" s="349"/>
      <c r="AX3" s="349"/>
      <c r="AY3" s="349"/>
      <c r="AZ3" s="349"/>
      <c r="BA3" s="349"/>
      <c r="BB3" s="254" t="s">
        <v>224</v>
      </c>
      <c r="BC3" s="250" t="s">
        <v>1991</v>
      </c>
      <c r="BD3" s="250" t="s">
        <v>1919</v>
      </c>
      <c r="BE3" s="250"/>
      <c r="BF3" s="254">
        <v>46112</v>
      </c>
      <c r="BG3" s="254">
        <v>46128</v>
      </c>
      <c r="BH3" s="250" t="s">
        <v>83</v>
      </c>
      <c r="BI3" s="250"/>
    </row>
    <row r="4" spans="1:175" ht="95.45" customHeight="1">
      <c r="A4" s="234">
        <v>28</v>
      </c>
      <c r="B4" s="243">
        <v>46048.633958333303</v>
      </c>
      <c r="C4" s="243">
        <v>46048.654606481497</v>
      </c>
      <c r="D4" s="234" t="s">
        <v>566</v>
      </c>
      <c r="E4" s="234" t="s">
        <v>567</v>
      </c>
      <c r="F4" s="234" t="s">
        <v>1992</v>
      </c>
      <c r="G4" s="234" t="s">
        <v>1164</v>
      </c>
      <c r="H4" s="234" t="s">
        <v>158</v>
      </c>
      <c r="I4" s="234" t="s">
        <v>570</v>
      </c>
      <c r="J4" s="234" t="s">
        <v>1143</v>
      </c>
      <c r="K4" s="234"/>
      <c r="L4" s="243" t="s">
        <v>161</v>
      </c>
      <c r="M4" s="243">
        <v>46113</v>
      </c>
      <c r="N4" s="234" t="s">
        <v>83</v>
      </c>
      <c r="O4" s="234">
        <v>76553</v>
      </c>
      <c r="P4" s="234"/>
      <c r="Q4" s="277" t="s">
        <v>79</v>
      </c>
      <c r="R4" s="234" t="s">
        <v>1157</v>
      </c>
      <c r="S4" s="234"/>
      <c r="T4" s="234" t="s">
        <v>1158</v>
      </c>
      <c r="U4" s="234"/>
      <c r="V4" s="234" t="s">
        <v>581</v>
      </c>
      <c r="W4" s="234" t="s">
        <v>188</v>
      </c>
      <c r="X4" s="234" t="s">
        <v>573</v>
      </c>
      <c r="Y4" s="234" t="s">
        <v>1165</v>
      </c>
      <c r="Z4" s="234" t="s">
        <v>1166</v>
      </c>
      <c r="AA4" s="234"/>
      <c r="AB4" s="250" t="s">
        <v>694</v>
      </c>
      <c r="AC4" s="250"/>
      <c r="AD4" s="250"/>
      <c r="AE4" s="250" t="s">
        <v>2</v>
      </c>
      <c r="AF4" s="250"/>
      <c r="AG4" s="250"/>
      <c r="AH4" s="250" t="s">
        <v>927</v>
      </c>
      <c r="AI4" s="251"/>
      <c r="AJ4" s="252">
        <v>0</v>
      </c>
      <c r="AK4" s="253" t="s">
        <v>982</v>
      </c>
      <c r="AL4" s="252" t="s">
        <v>711</v>
      </c>
      <c r="AM4" s="250" t="s">
        <v>1988</v>
      </c>
      <c r="AN4" s="250"/>
      <c r="AO4" s="250" t="s">
        <v>403</v>
      </c>
      <c r="AP4" s="250"/>
      <c r="AQ4" s="349"/>
      <c r="AR4" s="349"/>
      <c r="AS4" s="364"/>
      <c r="AT4" s="359" t="str">
        <f t="shared" si="0"/>
        <v/>
      </c>
      <c r="AU4" s="349"/>
      <c r="AV4" s="349"/>
      <c r="AW4" s="349"/>
      <c r="AX4" s="349"/>
      <c r="AY4" s="349"/>
      <c r="AZ4" s="349"/>
      <c r="BA4" s="349"/>
      <c r="BB4" s="254" t="s">
        <v>224</v>
      </c>
      <c r="BC4" s="250"/>
      <c r="BD4" s="250" t="s">
        <v>1919</v>
      </c>
      <c r="BE4" s="250"/>
      <c r="BF4" s="254">
        <v>46083</v>
      </c>
      <c r="BG4" s="254">
        <v>46122</v>
      </c>
      <c r="BH4" s="250" t="s">
        <v>1993</v>
      </c>
      <c r="BI4" s="255"/>
    </row>
    <row r="5" spans="1:175" ht="95.45" customHeight="1">
      <c r="A5" s="234">
        <v>32</v>
      </c>
      <c r="B5" s="243">
        <v>46048.673553240696</v>
      </c>
      <c r="C5" s="243">
        <v>46048.690682870401</v>
      </c>
      <c r="D5" s="244" t="s">
        <v>588</v>
      </c>
      <c r="E5" s="244" t="s">
        <v>589</v>
      </c>
      <c r="F5" s="244" t="s">
        <v>1194</v>
      </c>
      <c r="G5" s="244" t="s">
        <v>1206</v>
      </c>
      <c r="H5" s="244" t="s">
        <v>158</v>
      </c>
      <c r="I5" s="234" t="s">
        <v>91</v>
      </c>
      <c r="J5" s="234" t="s">
        <v>1195</v>
      </c>
      <c r="K5" s="234"/>
      <c r="L5" s="234" t="s">
        <v>199</v>
      </c>
      <c r="M5" s="243">
        <v>46080</v>
      </c>
      <c r="N5" s="234" t="s">
        <v>57</v>
      </c>
      <c r="O5" s="234"/>
      <c r="P5" s="234"/>
      <c r="Q5" s="277" t="s">
        <v>79</v>
      </c>
      <c r="R5" s="244" t="s">
        <v>1198</v>
      </c>
      <c r="S5" s="244"/>
      <c r="T5" s="244" t="s">
        <v>1199</v>
      </c>
      <c r="U5" s="244"/>
      <c r="V5" s="244" t="s">
        <v>623</v>
      </c>
      <c r="W5" s="244" t="s">
        <v>188</v>
      </c>
      <c r="X5" s="244" t="s">
        <v>1207</v>
      </c>
      <c r="Y5" s="244" t="s">
        <v>1208</v>
      </c>
      <c r="Z5" s="234" t="s">
        <v>1209</v>
      </c>
      <c r="AA5" s="234"/>
      <c r="AB5" s="250" t="s">
        <v>97</v>
      </c>
      <c r="AC5" s="250"/>
      <c r="AD5" s="250"/>
      <c r="AE5" s="250" t="s">
        <v>3</v>
      </c>
      <c r="AF5" s="250"/>
      <c r="AG5" s="255"/>
      <c r="AH5" s="255"/>
      <c r="AI5" s="251"/>
      <c r="AJ5" s="252">
        <v>0</v>
      </c>
      <c r="AK5" s="253"/>
      <c r="AL5" s="256" t="s">
        <v>711</v>
      </c>
      <c r="AM5" s="250" t="s">
        <v>1988</v>
      </c>
      <c r="AN5" s="250"/>
      <c r="AO5" s="255" t="s">
        <v>403</v>
      </c>
      <c r="AP5" s="250"/>
      <c r="AQ5" s="349"/>
      <c r="AR5" s="349"/>
      <c r="AS5" s="349"/>
      <c r="AT5" s="359" t="str">
        <f t="shared" si="0"/>
        <v/>
      </c>
      <c r="AU5" s="349"/>
      <c r="AV5" s="349"/>
      <c r="AW5" s="349"/>
      <c r="AX5" s="349"/>
      <c r="AY5" s="349"/>
      <c r="AZ5" s="349"/>
      <c r="BA5" s="349"/>
      <c r="BB5" s="254" t="s">
        <v>1652</v>
      </c>
      <c r="BC5" s="257" t="s">
        <v>1994</v>
      </c>
      <c r="BD5" s="250" t="s">
        <v>1919</v>
      </c>
      <c r="BE5" s="250"/>
      <c r="BF5" s="254">
        <v>46129</v>
      </c>
      <c r="BG5" s="254"/>
      <c r="BH5" s="250"/>
      <c r="BI5" s="255"/>
    </row>
    <row r="6" spans="1:175" ht="95.45" customHeight="1">
      <c r="A6" s="234">
        <v>33</v>
      </c>
      <c r="B6" s="243">
        <v>46049.461261574099</v>
      </c>
      <c r="C6" s="243">
        <v>46049.472210648099</v>
      </c>
      <c r="D6" s="244" t="s">
        <v>610</v>
      </c>
      <c r="E6" s="244" t="s">
        <v>611</v>
      </c>
      <c r="F6" s="244" t="s">
        <v>612</v>
      </c>
      <c r="G6" s="244" t="s">
        <v>613</v>
      </c>
      <c r="H6" s="244" t="s">
        <v>158</v>
      </c>
      <c r="I6" s="234" t="s">
        <v>197</v>
      </c>
      <c r="J6" s="234" t="s">
        <v>614</v>
      </c>
      <c r="K6" s="234"/>
      <c r="L6" s="234" t="s">
        <v>199</v>
      </c>
      <c r="M6" s="243">
        <v>46081</v>
      </c>
      <c r="N6" s="234" t="s">
        <v>83</v>
      </c>
      <c r="O6" s="234">
        <v>75364</v>
      </c>
      <c r="P6" s="234"/>
      <c r="Q6" s="277" t="s">
        <v>79</v>
      </c>
      <c r="R6" s="244" t="s">
        <v>616</v>
      </c>
      <c r="S6" s="244"/>
      <c r="T6" s="244" t="s">
        <v>617</v>
      </c>
      <c r="U6" s="244"/>
      <c r="V6" s="244" t="s">
        <v>623</v>
      </c>
      <c r="W6" s="244" t="s">
        <v>188</v>
      </c>
      <c r="X6" s="244" t="s">
        <v>624</v>
      </c>
      <c r="Y6" s="244" t="s">
        <v>625</v>
      </c>
      <c r="Z6" s="234" t="s">
        <v>626</v>
      </c>
      <c r="AA6" s="234"/>
      <c r="AB6" s="250" t="s">
        <v>251</v>
      </c>
      <c r="AC6" s="250"/>
      <c r="AD6" s="250"/>
      <c r="AE6" s="250" t="s">
        <v>3</v>
      </c>
      <c r="AF6" s="250"/>
      <c r="AG6" s="255"/>
      <c r="AH6" s="255">
        <v>0.5</v>
      </c>
      <c r="AI6" s="251">
        <v>10564.39</v>
      </c>
      <c r="AJ6" s="252">
        <f>AI6*3.55</f>
        <v>37503.584499999997</v>
      </c>
      <c r="AK6" s="253" t="s">
        <v>630</v>
      </c>
      <c r="AL6" s="256" t="s">
        <v>631</v>
      </c>
      <c r="AM6" s="250" t="s">
        <v>1988</v>
      </c>
      <c r="AN6" s="250"/>
      <c r="AO6" s="255" t="s">
        <v>403</v>
      </c>
      <c r="AP6" s="250"/>
      <c r="AQ6" s="349"/>
      <c r="AR6" s="349"/>
      <c r="AS6" s="349"/>
      <c r="AT6" s="359" t="str">
        <f t="shared" si="0"/>
        <v/>
      </c>
      <c r="AU6" s="349"/>
      <c r="AV6" s="349"/>
      <c r="AW6" s="349"/>
      <c r="AX6" s="349"/>
      <c r="AY6" s="349"/>
      <c r="AZ6" s="349"/>
      <c r="BA6" s="349"/>
      <c r="BB6" s="254" t="s">
        <v>1652</v>
      </c>
      <c r="BC6" s="257" t="s">
        <v>1995</v>
      </c>
      <c r="BD6" s="250" t="s">
        <v>1996</v>
      </c>
      <c r="BE6" s="250"/>
      <c r="BF6" s="254">
        <v>46128</v>
      </c>
      <c r="BG6" s="254">
        <f>BF6+15</f>
        <v>46143</v>
      </c>
      <c r="BH6" s="250"/>
      <c r="BI6" s="250" t="s">
        <v>1997</v>
      </c>
    </row>
    <row r="7" spans="1:175" ht="95.45" customHeight="1">
      <c r="A7" s="234">
        <v>34</v>
      </c>
      <c r="B7" s="243">
        <v>46049.599756944401</v>
      </c>
      <c r="C7" s="243">
        <v>46049.717407407399</v>
      </c>
      <c r="D7" s="234" t="s">
        <v>632</v>
      </c>
      <c r="E7" s="234" t="s">
        <v>633</v>
      </c>
      <c r="F7" s="234" t="s">
        <v>1211</v>
      </c>
      <c r="G7" s="234" t="s">
        <v>1221</v>
      </c>
      <c r="H7" s="234" t="s">
        <v>342</v>
      </c>
      <c r="I7" s="234" t="s">
        <v>636</v>
      </c>
      <c r="J7" s="234" t="s">
        <v>752</v>
      </c>
      <c r="K7" s="234"/>
      <c r="L7" s="243"/>
      <c r="M7" s="243">
        <v>46081</v>
      </c>
      <c r="N7" s="234" t="s">
        <v>57</v>
      </c>
      <c r="O7" s="234"/>
      <c r="P7" s="234"/>
      <c r="Q7" s="277" t="s">
        <v>79</v>
      </c>
      <c r="R7" s="234" t="s">
        <v>1213</v>
      </c>
      <c r="S7" s="234"/>
      <c r="T7" s="234" t="s">
        <v>1214</v>
      </c>
      <c r="U7" s="234"/>
      <c r="V7" s="234" t="s">
        <v>623</v>
      </c>
      <c r="W7" s="234" t="s">
        <v>188</v>
      </c>
      <c r="X7" s="234" t="s">
        <v>1222</v>
      </c>
      <c r="Y7" s="234" t="s">
        <v>1223</v>
      </c>
      <c r="Z7" s="234" t="s">
        <v>1224</v>
      </c>
      <c r="AA7" s="234"/>
      <c r="AB7" s="250" t="s">
        <v>390</v>
      </c>
      <c r="AC7" s="250"/>
      <c r="AD7" s="250"/>
      <c r="AE7" s="250" t="s">
        <v>3</v>
      </c>
      <c r="AF7" s="250"/>
      <c r="AG7" s="250"/>
      <c r="AH7" s="250" t="s">
        <v>627</v>
      </c>
      <c r="AI7" s="251">
        <v>0</v>
      </c>
      <c r="AJ7" s="252">
        <v>0</v>
      </c>
      <c r="AK7" s="253"/>
      <c r="AL7" s="252" t="s">
        <v>711</v>
      </c>
      <c r="AM7" s="250"/>
      <c r="AN7" s="250"/>
      <c r="AO7" s="250" t="s">
        <v>403</v>
      </c>
      <c r="AP7" s="250"/>
      <c r="AQ7" s="349"/>
      <c r="AR7" s="349"/>
      <c r="AS7" s="349"/>
      <c r="AT7" s="359" t="str">
        <f t="shared" si="0"/>
        <v/>
      </c>
      <c r="AU7" s="349"/>
      <c r="AV7" s="349"/>
      <c r="AW7" s="349"/>
      <c r="AX7" s="349"/>
      <c r="AY7" s="349"/>
      <c r="AZ7" s="349"/>
      <c r="BA7" s="349"/>
      <c r="BB7" s="254" t="s">
        <v>224</v>
      </c>
      <c r="BC7" s="250" t="s">
        <v>1998</v>
      </c>
      <c r="BD7" s="250" t="s">
        <v>1919</v>
      </c>
      <c r="BE7" s="250"/>
      <c r="BF7" s="254">
        <v>46141</v>
      </c>
      <c r="BG7" s="254">
        <v>46192</v>
      </c>
      <c r="BH7" s="250" t="s">
        <v>224</v>
      </c>
      <c r="BI7" s="255"/>
    </row>
    <row r="8" spans="1:175" ht="95.45" customHeight="1">
      <c r="A8" s="234">
        <v>36</v>
      </c>
      <c r="B8" s="243">
        <v>46055.426550925898</v>
      </c>
      <c r="C8" s="243">
        <v>46055.469699074099</v>
      </c>
      <c r="D8" s="244" t="s">
        <v>824</v>
      </c>
      <c r="E8" s="244" t="s">
        <v>125</v>
      </c>
      <c r="F8" s="244" t="s">
        <v>1225</v>
      </c>
      <c r="G8" s="244" t="s">
        <v>1237</v>
      </c>
      <c r="H8" s="244" t="s">
        <v>158</v>
      </c>
      <c r="I8" s="234" t="s">
        <v>241</v>
      </c>
      <c r="J8" s="234" t="s">
        <v>1226</v>
      </c>
      <c r="K8" s="234"/>
      <c r="L8" s="234" t="s">
        <v>1643</v>
      </c>
      <c r="M8" s="243">
        <v>46068</v>
      </c>
      <c r="N8" s="234" t="s">
        <v>57</v>
      </c>
      <c r="O8" s="234"/>
      <c r="P8" s="234"/>
      <c r="Q8" s="277" t="s">
        <v>79</v>
      </c>
      <c r="R8" s="244" t="s">
        <v>1229</v>
      </c>
      <c r="S8" s="244"/>
      <c r="T8" s="244" t="s">
        <v>1230</v>
      </c>
      <c r="U8" s="244"/>
      <c r="V8" s="244" t="s">
        <v>581</v>
      </c>
      <c r="W8" s="244" t="s">
        <v>188</v>
      </c>
      <c r="X8" s="244" t="s">
        <v>1238</v>
      </c>
      <c r="Y8" s="244" t="s">
        <v>1239</v>
      </c>
      <c r="Z8" s="234" t="s">
        <v>1240</v>
      </c>
      <c r="AA8" s="234"/>
      <c r="AB8" s="250" t="s">
        <v>1701</v>
      </c>
      <c r="AC8" s="250"/>
      <c r="AD8" s="250"/>
      <c r="AE8" s="250" t="s">
        <v>2</v>
      </c>
      <c r="AF8" s="250"/>
      <c r="AG8" s="255"/>
      <c r="AH8" s="255" t="s">
        <v>981</v>
      </c>
      <c r="AI8" s="251">
        <v>9847.94</v>
      </c>
      <c r="AJ8" s="252">
        <f>AI8*3.55</f>
        <v>34960.186999999998</v>
      </c>
      <c r="AK8" s="253" t="s">
        <v>1085</v>
      </c>
      <c r="AL8" s="256" t="s">
        <v>711</v>
      </c>
      <c r="AM8" s="250" t="s">
        <v>1988</v>
      </c>
      <c r="AN8" s="250"/>
      <c r="AO8" s="255" t="s">
        <v>403</v>
      </c>
      <c r="AP8" s="250"/>
      <c r="AQ8" s="349"/>
      <c r="AR8" s="349"/>
      <c r="AS8" s="349"/>
      <c r="AT8" s="359" t="str">
        <f t="shared" si="0"/>
        <v/>
      </c>
      <c r="AU8" s="349"/>
      <c r="AV8" s="349"/>
      <c r="AW8" s="349"/>
      <c r="AX8" s="349"/>
      <c r="AY8" s="349"/>
      <c r="AZ8" s="349"/>
      <c r="BA8" s="349"/>
      <c r="BB8" s="254" t="s">
        <v>224</v>
      </c>
      <c r="BC8" s="257"/>
      <c r="BD8" s="250" t="s">
        <v>1919</v>
      </c>
      <c r="BE8" s="250"/>
      <c r="BF8" s="254">
        <v>46085</v>
      </c>
      <c r="BG8" s="254">
        <v>46113</v>
      </c>
      <c r="BH8" s="250" t="s">
        <v>1999</v>
      </c>
      <c r="BI8" s="255"/>
      <c r="BJ8" s="80"/>
      <c r="BK8" s="198"/>
      <c r="BL8" s="198"/>
      <c r="BM8" s="198"/>
      <c r="BN8" s="198"/>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198"/>
      <c r="CZ8" s="198"/>
      <c r="DA8" s="198"/>
      <c r="DB8" s="198"/>
      <c r="DC8" s="198"/>
      <c r="DD8" s="198"/>
      <c r="DE8" s="198"/>
      <c r="DF8" s="198"/>
      <c r="DG8" s="198"/>
      <c r="DH8" s="198"/>
      <c r="DI8" s="198"/>
      <c r="DJ8" s="198"/>
      <c r="DK8" s="198"/>
      <c r="DL8" s="198"/>
      <c r="DM8" s="198"/>
      <c r="DN8" s="198"/>
      <c r="DO8" s="198"/>
      <c r="DP8" s="198"/>
      <c r="DQ8" s="198"/>
      <c r="DR8" s="198"/>
      <c r="DS8" s="198"/>
      <c r="DT8" s="198"/>
      <c r="DU8" s="198"/>
      <c r="DV8" s="198"/>
      <c r="DW8" s="198"/>
      <c r="DX8" s="198"/>
      <c r="DY8" s="198"/>
      <c r="DZ8" s="198"/>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c r="FI8" s="198"/>
      <c r="FJ8" s="198"/>
      <c r="FK8" s="198"/>
      <c r="FL8" s="198"/>
      <c r="FM8" s="198"/>
      <c r="FN8" s="198"/>
      <c r="FO8" s="198"/>
      <c r="FP8" s="198"/>
      <c r="FQ8" s="198"/>
      <c r="FR8" s="198"/>
      <c r="FS8" s="198"/>
    </row>
    <row r="9" spans="1:175" ht="95.45" customHeight="1">
      <c r="A9" s="234">
        <v>40</v>
      </c>
      <c r="B9" s="243">
        <v>46057.4041319444</v>
      </c>
      <c r="C9" s="243">
        <v>46057.4622453704</v>
      </c>
      <c r="D9" s="234" t="s">
        <v>652</v>
      </c>
      <c r="E9" s="234" t="s">
        <v>653</v>
      </c>
      <c r="F9" s="234" t="s">
        <v>1273</v>
      </c>
      <c r="G9" s="234" t="s">
        <v>1284</v>
      </c>
      <c r="H9" s="234" t="s">
        <v>75</v>
      </c>
      <c r="I9" s="234" t="s">
        <v>159</v>
      </c>
      <c r="J9" s="234" t="s">
        <v>1274</v>
      </c>
      <c r="K9" s="234"/>
      <c r="L9" s="243" t="s">
        <v>658</v>
      </c>
      <c r="M9" s="243">
        <v>46101</v>
      </c>
      <c r="N9" s="234" t="s">
        <v>57</v>
      </c>
      <c r="O9" s="234"/>
      <c r="P9" s="234"/>
      <c r="Q9" s="277" t="s">
        <v>79</v>
      </c>
      <c r="R9" s="234" t="s">
        <v>1276</v>
      </c>
      <c r="S9" s="234"/>
      <c r="T9" s="234" t="s">
        <v>1277</v>
      </c>
      <c r="U9" s="234"/>
      <c r="V9" s="234" t="s">
        <v>1285</v>
      </c>
      <c r="W9" s="234" t="s">
        <v>188</v>
      </c>
      <c r="X9" s="234" t="s">
        <v>1286</v>
      </c>
      <c r="Y9" s="234" t="s">
        <v>1287</v>
      </c>
      <c r="Z9" s="234" t="s">
        <v>1288</v>
      </c>
      <c r="AA9" s="234"/>
      <c r="AB9" s="250" t="s">
        <v>390</v>
      </c>
      <c r="AC9" s="250"/>
      <c r="AD9" s="250"/>
      <c r="AE9" s="250" t="s">
        <v>4</v>
      </c>
      <c r="AF9" s="250"/>
      <c r="AG9" s="250"/>
      <c r="AH9" s="250">
        <v>1</v>
      </c>
      <c r="AI9" s="251">
        <v>0</v>
      </c>
      <c r="AJ9" s="252">
        <v>0</v>
      </c>
      <c r="AK9" s="253" t="s">
        <v>1110</v>
      </c>
      <c r="AL9" s="252" t="s">
        <v>711</v>
      </c>
      <c r="AM9" s="250"/>
      <c r="AN9" s="250"/>
      <c r="AO9" s="250" t="s">
        <v>403</v>
      </c>
      <c r="AP9" s="250"/>
      <c r="AQ9" s="349"/>
      <c r="AR9" s="349"/>
      <c r="AS9" s="349"/>
      <c r="AT9" s="359" t="str">
        <f t="shared" si="0"/>
        <v/>
      </c>
      <c r="AU9" s="349"/>
      <c r="AV9" s="349"/>
      <c r="AW9" s="349"/>
      <c r="AX9" s="349"/>
      <c r="AY9" s="349"/>
      <c r="AZ9" s="349"/>
      <c r="BA9" s="349"/>
      <c r="BB9" s="254" t="s">
        <v>224</v>
      </c>
      <c r="BC9" s="250"/>
      <c r="BD9" s="250" t="s">
        <v>1919</v>
      </c>
      <c r="BE9" s="250"/>
      <c r="BF9" s="254">
        <v>46167</v>
      </c>
      <c r="BG9" s="254">
        <v>46206</v>
      </c>
      <c r="BH9" s="250" t="s">
        <v>224</v>
      </c>
      <c r="BI9" s="255"/>
    </row>
    <row r="10" spans="1:175" ht="95.45" customHeight="1">
      <c r="A10" s="234">
        <v>45</v>
      </c>
      <c r="B10" s="243">
        <v>46064.797696759299</v>
      </c>
      <c r="C10" s="243">
        <v>46064.828738425902</v>
      </c>
      <c r="D10" s="234" t="s">
        <v>1307</v>
      </c>
      <c r="E10" s="234" t="s">
        <v>1308</v>
      </c>
      <c r="F10" s="234" t="s">
        <v>1309</v>
      </c>
      <c r="G10" s="234" t="s">
        <v>1315</v>
      </c>
      <c r="H10" s="234" t="s">
        <v>158</v>
      </c>
      <c r="I10" s="234" t="s">
        <v>159</v>
      </c>
      <c r="J10" s="234" t="s">
        <v>1310</v>
      </c>
      <c r="K10" s="234"/>
      <c r="L10" s="243" t="s">
        <v>258</v>
      </c>
      <c r="M10" s="243">
        <v>46066</v>
      </c>
      <c r="N10" s="234" t="s">
        <v>57</v>
      </c>
      <c r="O10" s="234"/>
      <c r="P10" s="234"/>
      <c r="Q10" s="277" t="s">
        <v>79</v>
      </c>
      <c r="R10" s="234" t="s">
        <v>1313</v>
      </c>
      <c r="S10" s="234"/>
      <c r="T10" s="234" t="s">
        <v>1314</v>
      </c>
      <c r="U10" s="234"/>
      <c r="V10" s="234" t="s">
        <v>977</v>
      </c>
      <c r="W10" s="234" t="s">
        <v>188</v>
      </c>
      <c r="X10" s="234" t="s">
        <v>1321</v>
      </c>
      <c r="Y10" s="234" t="s">
        <v>1322</v>
      </c>
      <c r="Z10" s="234" t="s">
        <v>1323</v>
      </c>
      <c r="AA10" s="234"/>
      <c r="AB10" s="250" t="s">
        <v>2000</v>
      </c>
      <c r="AC10" s="250"/>
      <c r="AD10" s="250"/>
      <c r="AE10" s="250"/>
      <c r="AF10" s="250"/>
      <c r="AG10" s="250"/>
      <c r="AH10" s="250">
        <v>1</v>
      </c>
      <c r="AI10" s="251"/>
      <c r="AJ10" s="252">
        <v>0</v>
      </c>
      <c r="AK10" s="253" t="s">
        <v>2001</v>
      </c>
      <c r="AL10" s="252" t="s">
        <v>631</v>
      </c>
      <c r="AM10" s="250" t="s">
        <v>1988</v>
      </c>
      <c r="AN10" s="250"/>
      <c r="AO10" s="250" t="s">
        <v>403</v>
      </c>
      <c r="AP10" s="250"/>
      <c r="AQ10" s="349"/>
      <c r="AR10" s="349"/>
      <c r="AS10" s="349"/>
      <c r="AT10" s="359" t="str">
        <f t="shared" si="0"/>
        <v/>
      </c>
      <c r="AU10" s="349"/>
      <c r="AV10" s="349"/>
      <c r="AW10" s="349"/>
      <c r="AX10" s="349"/>
      <c r="AY10" s="349"/>
      <c r="AZ10" s="349"/>
      <c r="BA10" s="349"/>
      <c r="BB10" s="254" t="s">
        <v>224</v>
      </c>
      <c r="BC10" s="250"/>
      <c r="BD10" s="250"/>
      <c r="BE10" s="250"/>
      <c r="BF10" s="254"/>
      <c r="BG10" s="254"/>
      <c r="BH10" s="250"/>
      <c r="BI10" s="254" t="s">
        <v>2002</v>
      </c>
    </row>
    <row r="11" spans="1:175" ht="95.45" customHeight="1">
      <c r="A11" s="234">
        <v>58</v>
      </c>
      <c r="B11" s="243">
        <v>46077.447222222225</v>
      </c>
      <c r="C11" s="243">
        <v>46077.465277777781</v>
      </c>
      <c r="D11" s="244" t="s">
        <v>824</v>
      </c>
      <c r="E11" s="244" t="s">
        <v>125</v>
      </c>
      <c r="F11" s="244" t="s">
        <v>825</v>
      </c>
      <c r="G11" s="244" t="s">
        <v>826</v>
      </c>
      <c r="H11" s="244" t="s">
        <v>158</v>
      </c>
      <c r="I11" s="234" t="s">
        <v>91</v>
      </c>
      <c r="J11" s="234" t="s">
        <v>827</v>
      </c>
      <c r="K11" s="234"/>
      <c r="L11" s="234"/>
      <c r="M11" s="243">
        <v>46078</v>
      </c>
      <c r="N11" s="234" t="s">
        <v>57</v>
      </c>
      <c r="O11" s="234"/>
      <c r="P11" s="234"/>
      <c r="Q11" s="277" t="s">
        <v>79</v>
      </c>
      <c r="R11" s="244" t="s">
        <v>829</v>
      </c>
      <c r="S11" s="244"/>
      <c r="T11" s="244" t="s">
        <v>830</v>
      </c>
      <c r="U11" s="244"/>
      <c r="V11" s="244" t="s">
        <v>623</v>
      </c>
      <c r="W11" s="244" t="s">
        <v>188</v>
      </c>
      <c r="X11" s="244" t="s">
        <v>836</v>
      </c>
      <c r="Y11" s="244" t="s">
        <v>837</v>
      </c>
      <c r="Z11" s="234" t="s">
        <v>838</v>
      </c>
      <c r="AA11" s="234"/>
      <c r="AB11" s="250" t="s">
        <v>390</v>
      </c>
      <c r="AC11" s="250"/>
      <c r="AD11" s="250"/>
      <c r="AE11" s="250" t="s">
        <v>4</v>
      </c>
      <c r="AF11" s="250"/>
      <c r="AG11" s="255"/>
      <c r="AH11" s="255">
        <v>0.75</v>
      </c>
      <c r="AI11" s="251">
        <v>0</v>
      </c>
      <c r="AJ11" s="252">
        <v>0</v>
      </c>
      <c r="AK11" s="253"/>
      <c r="AL11" s="256" t="s">
        <v>711</v>
      </c>
      <c r="AM11" s="250"/>
      <c r="AN11" s="250"/>
      <c r="AO11" s="255" t="s">
        <v>403</v>
      </c>
      <c r="AP11" s="250"/>
      <c r="AQ11" s="349"/>
      <c r="AR11" s="349"/>
      <c r="AS11" s="349"/>
      <c r="AT11" s="359" t="str">
        <f t="shared" si="0"/>
        <v/>
      </c>
      <c r="AU11" s="349"/>
      <c r="AV11" s="349"/>
      <c r="AW11" s="349"/>
      <c r="AX11" s="349"/>
      <c r="AY11" s="349"/>
      <c r="AZ11" s="349"/>
      <c r="BA11" s="349"/>
      <c r="BB11" s="254" t="s">
        <v>1652</v>
      </c>
      <c r="BC11" s="257" t="s">
        <v>1994</v>
      </c>
      <c r="BD11" s="250" t="s">
        <v>1919</v>
      </c>
      <c r="BE11" s="250"/>
      <c r="BF11" s="254">
        <v>46083</v>
      </c>
      <c r="BG11" s="254">
        <v>46094</v>
      </c>
      <c r="BH11" s="250" t="s">
        <v>224</v>
      </c>
      <c r="BI11" s="255"/>
    </row>
    <row r="12" spans="1:175" ht="95.45" customHeight="1">
      <c r="A12" s="234">
        <v>65</v>
      </c>
      <c r="B12" s="243">
        <v>46083.708483796298</v>
      </c>
      <c r="C12" s="243">
        <v>46083.737210648098</v>
      </c>
      <c r="D12" s="244" t="s">
        <v>2003</v>
      </c>
      <c r="E12" s="244" t="s">
        <v>2004</v>
      </c>
      <c r="F12" s="244" t="s">
        <v>2005</v>
      </c>
      <c r="G12" s="244" t="s">
        <v>2006</v>
      </c>
      <c r="H12" s="244" t="s">
        <v>342</v>
      </c>
      <c r="I12" s="234" t="s">
        <v>197</v>
      </c>
      <c r="J12" s="234" t="s">
        <v>2007</v>
      </c>
      <c r="K12" s="234"/>
      <c r="L12" s="234"/>
      <c r="M12" s="243">
        <v>46112</v>
      </c>
      <c r="N12" s="234" t="s">
        <v>57</v>
      </c>
      <c r="O12" s="234">
        <v>0</v>
      </c>
      <c r="P12" s="234"/>
      <c r="Q12" s="277" t="s">
        <v>79</v>
      </c>
      <c r="R12" s="244" t="s">
        <v>2008</v>
      </c>
      <c r="S12" s="244"/>
      <c r="T12" s="244" t="s">
        <v>2009</v>
      </c>
      <c r="U12" s="244"/>
      <c r="V12" s="244" t="s">
        <v>977</v>
      </c>
      <c r="W12" s="244" t="s">
        <v>188</v>
      </c>
      <c r="X12" s="244" t="s">
        <v>2010</v>
      </c>
      <c r="Y12" s="244" t="s">
        <v>2011</v>
      </c>
      <c r="Z12" s="234">
        <v>0</v>
      </c>
      <c r="AA12" s="234"/>
      <c r="AB12" s="250" t="s">
        <v>2012</v>
      </c>
      <c r="AC12" s="250" t="s">
        <v>1649</v>
      </c>
      <c r="AD12" s="250"/>
      <c r="AE12" s="250"/>
      <c r="AF12" s="250"/>
      <c r="AG12" s="255"/>
      <c r="AH12" s="255"/>
      <c r="AI12" s="251">
        <v>0</v>
      </c>
      <c r="AJ12" s="252">
        <v>0</v>
      </c>
      <c r="AK12" s="253" t="s">
        <v>2013</v>
      </c>
      <c r="AL12" s="256" t="s">
        <v>711</v>
      </c>
      <c r="AM12" s="250"/>
      <c r="AN12" s="250"/>
      <c r="AO12" s="255" t="s">
        <v>253</v>
      </c>
      <c r="AP12" s="250" t="s">
        <v>2014</v>
      </c>
      <c r="AQ12" s="349"/>
      <c r="AR12" s="349"/>
      <c r="AS12" s="349"/>
      <c r="AT12" s="359" t="str">
        <f t="shared" si="0"/>
        <v/>
      </c>
      <c r="AU12" s="349"/>
      <c r="AV12" s="349"/>
      <c r="AW12" s="349"/>
      <c r="AX12" s="349"/>
      <c r="AY12" s="349"/>
      <c r="AZ12" s="349"/>
      <c r="BA12" s="349"/>
      <c r="BB12" s="254" t="s">
        <v>1652</v>
      </c>
      <c r="BC12" s="257"/>
      <c r="BD12" s="250" t="s">
        <v>1919</v>
      </c>
      <c r="BE12" s="250"/>
      <c r="BF12" s="254">
        <v>46204</v>
      </c>
      <c r="BG12" s="254">
        <v>46225</v>
      </c>
      <c r="BH12" s="250" t="s">
        <v>224</v>
      </c>
      <c r="BI12" s="255"/>
    </row>
    <row r="13" spans="1:175" ht="63.75" customHeight="1">
      <c r="A13" s="234">
        <v>69</v>
      </c>
      <c r="B13" s="243">
        <v>46093.419641203698</v>
      </c>
      <c r="C13" s="243">
        <v>46093.4243055556</v>
      </c>
      <c r="D13" s="234" t="s">
        <v>588</v>
      </c>
      <c r="E13" s="234" t="s">
        <v>589</v>
      </c>
      <c r="F13" s="234" t="s">
        <v>2015</v>
      </c>
      <c r="G13" s="234" t="s">
        <v>2016</v>
      </c>
      <c r="H13" s="234" t="s">
        <v>158</v>
      </c>
      <c r="I13" s="234" t="s">
        <v>197</v>
      </c>
      <c r="J13" s="234" t="s">
        <v>1034</v>
      </c>
      <c r="K13" s="234"/>
      <c r="L13" s="243" t="s">
        <v>1643</v>
      </c>
      <c r="M13" s="243">
        <v>46142</v>
      </c>
      <c r="N13" s="234" t="s">
        <v>83</v>
      </c>
      <c r="O13" s="234" t="s">
        <v>244</v>
      </c>
      <c r="P13" s="234"/>
      <c r="Q13" s="277" t="s">
        <v>79</v>
      </c>
      <c r="R13" s="234" t="s">
        <v>2017</v>
      </c>
      <c r="S13" s="234"/>
      <c r="T13" s="234" t="s">
        <v>2018</v>
      </c>
      <c r="U13" s="234"/>
      <c r="V13" s="234" t="s">
        <v>1046</v>
      </c>
      <c r="W13" s="234" t="s">
        <v>188</v>
      </c>
      <c r="X13" s="234" t="s">
        <v>1047</v>
      </c>
      <c r="Y13" s="234" t="s">
        <v>1048</v>
      </c>
      <c r="Z13" s="234" t="s">
        <v>2019</v>
      </c>
      <c r="AA13" s="234"/>
      <c r="AB13" s="250" t="s">
        <v>1701</v>
      </c>
      <c r="AC13" s="250" t="s">
        <v>1649</v>
      </c>
      <c r="AD13" s="250"/>
      <c r="AE13" s="250"/>
      <c r="AF13" s="250"/>
      <c r="AG13" s="250"/>
      <c r="AH13" s="250"/>
      <c r="AI13" s="251"/>
      <c r="AJ13" s="252"/>
      <c r="AK13" s="253"/>
      <c r="AL13" s="252"/>
      <c r="AM13" s="250"/>
      <c r="AN13" s="250"/>
      <c r="AO13" s="250" t="s">
        <v>191</v>
      </c>
      <c r="AP13" s="250" t="s">
        <v>2020</v>
      </c>
      <c r="AQ13" s="349"/>
      <c r="AR13" s="349"/>
      <c r="AS13" s="349"/>
      <c r="AT13" s="359" t="str">
        <f t="shared" si="0"/>
        <v/>
      </c>
      <c r="AU13" s="349"/>
      <c r="AV13" s="349"/>
      <c r="AW13" s="349"/>
      <c r="AX13" s="349"/>
      <c r="AY13" s="349"/>
      <c r="AZ13" s="349"/>
      <c r="BA13" s="349"/>
      <c r="BB13" s="254"/>
      <c r="BC13" s="250"/>
      <c r="BD13" s="250"/>
      <c r="BE13" s="250"/>
      <c r="BF13" s="254"/>
      <c r="BG13" s="254"/>
      <c r="BH13" s="255"/>
      <c r="BI13" s="250" t="s">
        <v>2021</v>
      </c>
    </row>
    <row r="14" spans="1:175" ht="93" customHeight="1">
      <c r="A14" s="234">
        <v>80</v>
      </c>
      <c r="B14" s="243">
        <v>46105.570034722201</v>
      </c>
      <c r="C14" s="243">
        <v>46105.588645833297</v>
      </c>
      <c r="D14" s="234" t="s">
        <v>1180</v>
      </c>
      <c r="E14" s="234" t="s">
        <v>1181</v>
      </c>
      <c r="F14" s="234" t="s">
        <v>2022</v>
      </c>
      <c r="G14" s="234" t="s">
        <v>2023</v>
      </c>
      <c r="H14" s="234" t="s">
        <v>158</v>
      </c>
      <c r="I14" s="234" t="s">
        <v>280</v>
      </c>
      <c r="J14" s="234" t="s">
        <v>2024</v>
      </c>
      <c r="K14" s="234"/>
      <c r="L14" s="243" t="s">
        <v>258</v>
      </c>
      <c r="M14" s="243">
        <v>46118</v>
      </c>
      <c r="N14" s="234" t="s">
        <v>57</v>
      </c>
      <c r="O14" s="234">
        <v>0</v>
      </c>
      <c r="P14" s="234"/>
      <c r="Q14" s="277" t="s">
        <v>79</v>
      </c>
      <c r="R14" s="234" t="s">
        <v>2025</v>
      </c>
      <c r="S14" s="234"/>
      <c r="T14" s="234" t="s">
        <v>2026</v>
      </c>
      <c r="U14" s="234"/>
      <c r="V14" s="234" t="s">
        <v>623</v>
      </c>
      <c r="W14" s="234" t="s">
        <v>188</v>
      </c>
      <c r="X14" s="234" t="s">
        <v>2027</v>
      </c>
      <c r="Y14" s="234" t="s">
        <v>2028</v>
      </c>
      <c r="Z14" s="234" t="s">
        <v>2029</v>
      </c>
      <c r="AA14" s="234"/>
      <c r="AB14" s="250" t="s">
        <v>390</v>
      </c>
      <c r="AC14" s="250"/>
      <c r="AD14" s="250"/>
      <c r="AE14" s="250" t="s">
        <v>4</v>
      </c>
      <c r="AF14" s="250"/>
      <c r="AG14" s="250"/>
      <c r="AH14" s="250">
        <v>1</v>
      </c>
      <c r="AI14" s="251">
        <v>7000</v>
      </c>
      <c r="AJ14" s="252">
        <v>7000</v>
      </c>
      <c r="AK14" s="253"/>
      <c r="AL14" s="252" t="s">
        <v>223</v>
      </c>
      <c r="AM14" s="250" t="s">
        <v>1988</v>
      </c>
      <c r="AN14" s="250"/>
      <c r="AO14" s="250" t="s">
        <v>2030</v>
      </c>
      <c r="AP14" s="250" t="s">
        <v>2031</v>
      </c>
      <c r="AQ14" s="349"/>
      <c r="AR14" s="349"/>
      <c r="AS14" s="349"/>
      <c r="AT14" s="359" t="str">
        <f t="shared" si="0"/>
        <v/>
      </c>
      <c r="AU14" s="349"/>
      <c r="AV14" s="349"/>
      <c r="AW14" s="349"/>
      <c r="AX14" s="349"/>
      <c r="AY14" s="349"/>
      <c r="AZ14" s="349"/>
      <c r="BA14" s="349"/>
      <c r="BB14" s="254"/>
      <c r="BC14" s="250"/>
      <c r="BD14" s="250"/>
      <c r="BE14" s="250"/>
      <c r="BF14" s="255"/>
      <c r="BG14" s="254"/>
      <c r="BH14" s="255"/>
      <c r="BI14" s="254" t="s">
        <v>2032</v>
      </c>
    </row>
    <row r="15" spans="1:175" ht="78" customHeight="1">
      <c r="A15" s="234">
        <v>83</v>
      </c>
      <c r="B15" s="243">
        <v>46106.06795138889</v>
      </c>
      <c r="C15" s="243">
        <v>46106.080798611103</v>
      </c>
      <c r="D15" s="244" t="s">
        <v>588</v>
      </c>
      <c r="E15" s="244" t="s">
        <v>589</v>
      </c>
      <c r="F15" s="244" t="s">
        <v>2033</v>
      </c>
      <c r="G15" s="244" t="s">
        <v>2034</v>
      </c>
      <c r="H15" s="244" t="s">
        <v>158</v>
      </c>
      <c r="I15" s="234" t="s">
        <v>241</v>
      </c>
      <c r="J15" s="234" t="s">
        <v>2035</v>
      </c>
      <c r="K15" s="234"/>
      <c r="L15" s="234" t="s">
        <v>199</v>
      </c>
      <c r="M15" s="243">
        <v>46127</v>
      </c>
      <c r="N15" s="234" t="s">
        <v>83</v>
      </c>
      <c r="O15" s="234" t="s">
        <v>487</v>
      </c>
      <c r="P15" s="234"/>
      <c r="Q15" s="277" t="s">
        <v>79</v>
      </c>
      <c r="R15" s="244" t="s">
        <v>2036</v>
      </c>
      <c r="S15" s="244"/>
      <c r="T15" s="244" t="s">
        <v>2037</v>
      </c>
      <c r="U15" s="244"/>
      <c r="V15" s="244" t="s">
        <v>581</v>
      </c>
      <c r="W15" s="244" t="s">
        <v>188</v>
      </c>
      <c r="X15" s="244" t="s">
        <v>2038</v>
      </c>
      <c r="Y15" s="244" t="s">
        <v>2039</v>
      </c>
      <c r="Z15" s="234" t="s">
        <v>2040</v>
      </c>
      <c r="AA15" s="234"/>
      <c r="AB15" s="250" t="s">
        <v>694</v>
      </c>
      <c r="AC15" s="250" t="s">
        <v>1649</v>
      </c>
      <c r="AD15" s="250"/>
      <c r="AE15" s="250" t="s">
        <v>4</v>
      </c>
      <c r="AF15" s="250"/>
      <c r="AG15" s="255"/>
      <c r="AH15" s="255">
        <v>0.75</v>
      </c>
      <c r="AI15" s="251">
        <v>0</v>
      </c>
      <c r="AJ15" s="252">
        <v>0</v>
      </c>
      <c r="AK15" s="253" t="s">
        <v>2041</v>
      </c>
      <c r="AL15" s="256" t="s">
        <v>1867</v>
      </c>
      <c r="AM15" s="250" t="s">
        <v>1665</v>
      </c>
      <c r="AN15" s="250"/>
      <c r="AO15" s="255" t="s">
        <v>403</v>
      </c>
      <c r="AP15" s="250"/>
      <c r="AQ15" s="349"/>
      <c r="AR15" s="349"/>
      <c r="AS15" s="349"/>
      <c r="AT15" s="359" t="str">
        <f t="shared" si="0"/>
        <v/>
      </c>
      <c r="AU15" s="349"/>
      <c r="AV15" s="349"/>
      <c r="AW15" s="349"/>
      <c r="AX15" s="349"/>
      <c r="AY15" s="349"/>
      <c r="AZ15" s="349"/>
      <c r="BA15" s="349"/>
      <c r="BB15" s="254" t="s">
        <v>1652</v>
      </c>
      <c r="BC15" s="257"/>
      <c r="BD15" s="250" t="s">
        <v>1919</v>
      </c>
      <c r="BE15" s="250"/>
      <c r="BF15" s="254">
        <v>46153</v>
      </c>
      <c r="BG15" s="254">
        <v>46171</v>
      </c>
      <c r="BH15" s="250" t="s">
        <v>2042</v>
      </c>
      <c r="BI15" s="250"/>
    </row>
    <row r="16" spans="1:175" s="299" customFormat="1" ht="39" customHeight="1">
      <c r="A16" s="290">
        <v>132</v>
      </c>
      <c r="B16" s="291">
        <v>46153.716261574067</v>
      </c>
      <c r="C16" s="291">
        <v>46153.721655092602</v>
      </c>
      <c r="D16" s="290" t="s">
        <v>2043</v>
      </c>
      <c r="E16" s="290" t="s">
        <v>2044</v>
      </c>
      <c r="F16" s="290" t="s">
        <v>2045</v>
      </c>
      <c r="G16" s="290" t="s">
        <v>2046</v>
      </c>
      <c r="H16" s="290" t="s">
        <v>158</v>
      </c>
      <c r="I16" s="290" t="s">
        <v>241</v>
      </c>
      <c r="J16" s="290" t="s">
        <v>2047</v>
      </c>
      <c r="K16" s="290" t="s">
        <v>499</v>
      </c>
      <c r="L16" s="291" t="s">
        <v>199</v>
      </c>
      <c r="M16" s="291">
        <v>0</v>
      </c>
      <c r="N16" s="290" t="s">
        <v>83</v>
      </c>
      <c r="O16" s="290" t="s">
        <v>2048</v>
      </c>
      <c r="P16" s="290"/>
      <c r="Q16" s="292" t="s">
        <v>79</v>
      </c>
      <c r="R16" s="290" t="s">
        <v>2049</v>
      </c>
      <c r="S16" s="290"/>
      <c r="T16" s="290" t="s">
        <v>2050</v>
      </c>
      <c r="U16" s="290"/>
      <c r="V16" s="290" t="s">
        <v>63</v>
      </c>
      <c r="W16" s="290" t="s">
        <v>188</v>
      </c>
      <c r="X16" s="290" t="s">
        <v>2051</v>
      </c>
      <c r="Y16" s="290" t="s">
        <v>2052</v>
      </c>
      <c r="Z16" s="290" t="s">
        <v>499</v>
      </c>
      <c r="AA16" s="290"/>
      <c r="AB16" s="293" t="s">
        <v>1701</v>
      </c>
      <c r="AC16" s="293" t="s">
        <v>68</v>
      </c>
      <c r="AD16" s="293"/>
      <c r="AE16" s="293" t="s">
        <v>2</v>
      </c>
      <c r="AF16" s="293"/>
      <c r="AG16" s="293"/>
      <c r="AH16" s="293">
        <v>12</v>
      </c>
      <c r="AI16" s="294">
        <v>571588</v>
      </c>
      <c r="AJ16" s="295">
        <v>2029137.4</v>
      </c>
      <c r="AK16" s="296"/>
      <c r="AL16" s="295" t="s">
        <v>207</v>
      </c>
      <c r="AM16" s="293" t="s">
        <v>208</v>
      </c>
      <c r="AN16" s="293"/>
      <c r="AO16" s="293" t="s">
        <v>403</v>
      </c>
      <c r="AP16" s="293"/>
      <c r="AQ16" s="349"/>
      <c r="AR16" s="349"/>
      <c r="AS16" s="349"/>
      <c r="AT16" s="359" t="str">
        <f t="shared" si="0"/>
        <v/>
      </c>
      <c r="AU16" s="349"/>
      <c r="AV16" s="349"/>
      <c r="AW16" s="349"/>
      <c r="AX16" s="349"/>
      <c r="AY16" s="349"/>
      <c r="AZ16" s="349"/>
      <c r="BA16" s="349"/>
      <c r="BB16" s="297"/>
      <c r="BC16" s="293"/>
      <c r="BD16" s="293" t="s">
        <v>224</v>
      </c>
      <c r="BE16" s="293"/>
      <c r="BF16" s="297">
        <v>46143</v>
      </c>
      <c r="BG16" s="297">
        <v>46508</v>
      </c>
      <c r="BH16" s="298" t="s">
        <v>224</v>
      </c>
      <c r="BI16" s="297"/>
    </row>
    <row r="17" spans="1:61" s="299" customFormat="1" ht="15" customHeight="1">
      <c r="A17" s="290">
        <v>133</v>
      </c>
      <c r="B17" s="291">
        <v>46153.365277777775</v>
      </c>
      <c r="C17" s="291">
        <v>46153.404861111114</v>
      </c>
      <c r="D17" s="300" t="s">
        <v>2053</v>
      </c>
      <c r="E17" s="300" t="s">
        <v>2054</v>
      </c>
      <c r="F17" s="300" t="s">
        <v>2055</v>
      </c>
      <c r="G17" s="300" t="s">
        <v>2056</v>
      </c>
      <c r="H17" s="300" t="s">
        <v>158</v>
      </c>
      <c r="I17" s="290" t="s">
        <v>2057</v>
      </c>
      <c r="J17" s="290" t="s">
        <v>2058</v>
      </c>
      <c r="K17" s="290"/>
      <c r="L17" s="290" t="s">
        <v>198</v>
      </c>
      <c r="M17" s="291">
        <v>46447</v>
      </c>
      <c r="N17" s="290" t="s">
        <v>83</v>
      </c>
      <c r="O17" s="290" t="s">
        <v>2059</v>
      </c>
      <c r="P17" s="290"/>
      <c r="Q17" s="292" t="s">
        <v>79</v>
      </c>
      <c r="R17" s="300" t="s">
        <v>2060</v>
      </c>
      <c r="S17" s="300"/>
      <c r="T17" s="300"/>
      <c r="U17" s="300"/>
      <c r="V17" s="300" t="s">
        <v>2061</v>
      </c>
      <c r="W17" s="300" t="s">
        <v>57</v>
      </c>
      <c r="X17" s="300"/>
      <c r="Y17" s="300"/>
      <c r="Z17" s="290"/>
      <c r="AA17" s="290"/>
      <c r="AB17" s="293" t="s">
        <v>2062</v>
      </c>
      <c r="AC17" s="293"/>
      <c r="AD17" s="293"/>
      <c r="AE17" s="293"/>
      <c r="AF17" s="293"/>
      <c r="AG17" s="298"/>
      <c r="AH17" s="298"/>
      <c r="AI17" s="294"/>
      <c r="AJ17" s="295"/>
      <c r="AK17" s="296"/>
      <c r="AL17" s="301" t="s">
        <v>207</v>
      </c>
      <c r="AM17" s="293" t="s">
        <v>208</v>
      </c>
      <c r="AN17" s="293"/>
      <c r="AO17" s="298"/>
      <c r="AP17" s="293"/>
      <c r="AQ17" s="349"/>
      <c r="AR17" s="349"/>
      <c r="AS17" s="349"/>
      <c r="AT17" s="359" t="str">
        <f t="shared" si="0"/>
        <v/>
      </c>
      <c r="AU17" s="349"/>
      <c r="AV17" s="349"/>
      <c r="AW17" s="349"/>
      <c r="AX17" s="349"/>
      <c r="AY17" s="349"/>
      <c r="AZ17" s="349"/>
      <c r="BA17" s="349"/>
      <c r="BB17" s="297"/>
      <c r="BC17" s="302"/>
      <c r="BD17" s="293"/>
      <c r="BE17" s="293"/>
      <c r="BF17" s="297">
        <v>45958</v>
      </c>
      <c r="BG17" s="297">
        <v>46458</v>
      </c>
      <c r="BH17" s="293"/>
      <c r="BI17" s="293"/>
    </row>
    <row r="18" spans="1:61" s="299" customFormat="1" ht="15" customHeight="1">
      <c r="A18" s="290">
        <v>31</v>
      </c>
      <c r="B18" s="291">
        <v>46048.646111111098</v>
      </c>
      <c r="C18" s="291">
        <v>46048.673055555599</v>
      </c>
      <c r="D18" s="290" t="s">
        <v>588</v>
      </c>
      <c r="E18" s="290" t="s">
        <v>589</v>
      </c>
      <c r="F18" s="290" t="s">
        <v>590</v>
      </c>
      <c r="G18" s="290" t="s">
        <v>591</v>
      </c>
      <c r="H18" s="290" t="s">
        <v>158</v>
      </c>
      <c r="I18" s="290" t="s">
        <v>215</v>
      </c>
      <c r="J18" s="290" t="s">
        <v>592</v>
      </c>
      <c r="K18" s="290"/>
      <c r="L18" s="291" t="s">
        <v>1643</v>
      </c>
      <c r="M18" s="291">
        <v>46081</v>
      </c>
      <c r="N18" s="290" t="s">
        <v>57</v>
      </c>
      <c r="O18" s="290"/>
      <c r="P18" s="290"/>
      <c r="Q18" s="292" t="s">
        <v>396</v>
      </c>
      <c r="R18" s="290" t="s">
        <v>594</v>
      </c>
      <c r="S18" s="290"/>
      <c r="T18" s="290" t="s">
        <v>595</v>
      </c>
      <c r="U18" s="290"/>
      <c r="V18" s="290" t="s">
        <v>602</v>
      </c>
      <c r="W18" s="290" t="s">
        <v>188</v>
      </c>
      <c r="X18" s="290" t="s">
        <v>603</v>
      </c>
      <c r="Y18" s="290" t="s">
        <v>604</v>
      </c>
      <c r="Z18" s="290" t="s">
        <v>605</v>
      </c>
      <c r="AA18" s="290"/>
      <c r="AB18" s="293" t="s">
        <v>609</v>
      </c>
      <c r="AC18" s="293"/>
      <c r="AD18" s="293"/>
      <c r="AE18" s="293" t="s">
        <v>3</v>
      </c>
      <c r="AF18" s="293"/>
      <c r="AG18" s="293"/>
      <c r="AH18" s="293">
        <v>2</v>
      </c>
      <c r="AI18" s="294"/>
      <c r="AJ18" s="295">
        <v>6000</v>
      </c>
      <c r="AK18" s="296" t="s">
        <v>2063</v>
      </c>
      <c r="AL18" s="295" t="s">
        <v>207</v>
      </c>
      <c r="AM18" s="293"/>
      <c r="AN18" s="293"/>
      <c r="AO18" s="293" t="s">
        <v>403</v>
      </c>
      <c r="AP18" s="293"/>
      <c r="AQ18" s="349"/>
      <c r="AR18" s="349"/>
      <c r="AS18" s="349"/>
      <c r="AT18" s="359" t="str">
        <f t="shared" si="0"/>
        <v/>
      </c>
      <c r="AU18" s="349"/>
      <c r="AV18" s="349"/>
      <c r="AW18" s="349"/>
      <c r="AX18" s="349"/>
      <c r="AY18" s="349"/>
      <c r="AZ18" s="349"/>
      <c r="BA18" s="349"/>
      <c r="BB18" s="297" t="s">
        <v>1652</v>
      </c>
      <c r="BC18" s="293" t="s">
        <v>1994</v>
      </c>
      <c r="BD18" s="293" t="s">
        <v>2064</v>
      </c>
      <c r="BE18" s="293" t="s">
        <v>2065</v>
      </c>
      <c r="BF18" s="297">
        <v>46258</v>
      </c>
      <c r="BG18" s="297">
        <v>46297</v>
      </c>
      <c r="BH18" s="298" t="s">
        <v>1652</v>
      </c>
      <c r="BI18" s="297"/>
    </row>
    <row r="19" spans="1:61" s="299" customFormat="1" ht="15" customHeight="1">
      <c r="A19" s="290">
        <v>129</v>
      </c>
      <c r="B19" s="291">
        <v>46142.488923611098</v>
      </c>
      <c r="C19" s="291">
        <v>46142.509629629603</v>
      </c>
      <c r="D19" s="300" t="s">
        <v>226</v>
      </c>
      <c r="E19" s="300" t="s">
        <v>227</v>
      </c>
      <c r="F19" s="300" t="s">
        <v>2066</v>
      </c>
      <c r="G19" s="300" t="s">
        <v>2067</v>
      </c>
      <c r="H19" s="300" t="s">
        <v>75</v>
      </c>
      <c r="I19" s="290" t="s">
        <v>280</v>
      </c>
      <c r="J19" s="290" t="s">
        <v>2068</v>
      </c>
      <c r="K19" s="290"/>
      <c r="L19" s="290" t="s">
        <v>258</v>
      </c>
      <c r="M19" s="291">
        <v>46325</v>
      </c>
      <c r="N19" s="290" t="s">
        <v>57</v>
      </c>
      <c r="O19" s="290">
        <v>0</v>
      </c>
      <c r="P19" s="290"/>
      <c r="Q19" s="292" t="s">
        <v>79</v>
      </c>
      <c r="R19" s="300" t="s">
        <v>2069</v>
      </c>
      <c r="S19" s="300"/>
      <c r="T19" s="300" t="s">
        <v>2070</v>
      </c>
      <c r="U19" s="300"/>
      <c r="V19" s="300" t="s">
        <v>63</v>
      </c>
      <c r="W19" s="300" t="s">
        <v>188</v>
      </c>
      <c r="X19" s="300" t="s">
        <v>2071</v>
      </c>
      <c r="Y19" s="300" t="s">
        <v>2072</v>
      </c>
      <c r="Z19" s="290" t="s">
        <v>2073</v>
      </c>
      <c r="AA19" s="290"/>
      <c r="AB19" s="293" t="s">
        <v>2074</v>
      </c>
      <c r="AC19" s="293" t="s">
        <v>68</v>
      </c>
      <c r="AD19" s="293">
        <v>46142</v>
      </c>
      <c r="AE19" s="293" t="s">
        <v>4</v>
      </c>
      <c r="AF19" s="293">
        <v>46153</v>
      </c>
      <c r="AG19" s="298">
        <v>46164</v>
      </c>
      <c r="AH19" s="298">
        <v>0.5</v>
      </c>
      <c r="AI19" s="294">
        <v>0</v>
      </c>
      <c r="AJ19" s="295">
        <v>0</v>
      </c>
      <c r="AK19" s="296" t="s">
        <v>2075</v>
      </c>
      <c r="AL19" s="301" t="s">
        <v>1867</v>
      </c>
      <c r="AM19" s="293"/>
      <c r="AN19" s="293" t="s">
        <v>188</v>
      </c>
      <c r="AO19" s="298" t="s">
        <v>1802</v>
      </c>
      <c r="AP19" s="293" t="s">
        <v>2076</v>
      </c>
      <c r="AQ19" s="349"/>
      <c r="AR19" s="349"/>
      <c r="AS19" s="349"/>
      <c r="AT19" s="359" t="str">
        <f t="shared" si="0"/>
        <v/>
      </c>
      <c r="AU19" s="349"/>
      <c r="AV19" s="349"/>
      <c r="AW19" s="349"/>
      <c r="AX19" s="349"/>
      <c r="AY19" s="349"/>
      <c r="AZ19" s="349"/>
      <c r="BA19" s="349"/>
      <c r="BB19" s="297" t="s">
        <v>224</v>
      </c>
      <c r="BC19" s="302"/>
      <c r="BD19" s="293" t="s">
        <v>1919</v>
      </c>
      <c r="BE19" s="293"/>
      <c r="BF19" s="297">
        <v>46153</v>
      </c>
      <c r="BG19" s="297">
        <v>46162</v>
      </c>
      <c r="BH19" s="293" t="s">
        <v>1652</v>
      </c>
      <c r="BI19" s="293"/>
    </row>
    <row r="20" spans="1:61" s="299" customFormat="1" ht="15" customHeight="1">
      <c r="A20" s="290">
        <v>145</v>
      </c>
      <c r="B20" s="291">
        <v>46153.734027777777</v>
      </c>
      <c r="C20" s="291">
        <v>46153.73541666667</v>
      </c>
      <c r="D20" s="290" t="s">
        <v>2077</v>
      </c>
      <c r="E20" s="290" t="s">
        <v>2078</v>
      </c>
      <c r="F20" s="290" t="s">
        <v>2079</v>
      </c>
      <c r="G20" s="290" t="s">
        <v>2080</v>
      </c>
      <c r="H20" s="290" t="s">
        <v>2081</v>
      </c>
      <c r="I20" s="290"/>
      <c r="J20" s="290" t="s">
        <v>2082</v>
      </c>
      <c r="K20" s="290"/>
      <c r="L20" s="291" t="s">
        <v>161</v>
      </c>
      <c r="M20" s="291"/>
      <c r="N20" s="290" t="s">
        <v>83</v>
      </c>
      <c r="O20" s="290"/>
      <c r="P20" s="290"/>
      <c r="Q20" s="292" t="s">
        <v>79</v>
      </c>
      <c r="R20" s="290" t="s">
        <v>2080</v>
      </c>
      <c r="S20" s="290"/>
      <c r="T20" s="290" t="s">
        <v>2080</v>
      </c>
      <c r="U20" s="290"/>
      <c r="V20" s="290" t="s">
        <v>2080</v>
      </c>
      <c r="W20" s="290" t="s">
        <v>188</v>
      </c>
      <c r="X20" s="290" t="s">
        <v>2080</v>
      </c>
      <c r="Y20" s="290" t="s">
        <v>2080</v>
      </c>
      <c r="Z20" s="290" t="s">
        <v>2083</v>
      </c>
      <c r="AA20" s="290"/>
      <c r="AB20" s="293"/>
      <c r="AC20" s="293"/>
      <c r="AD20" s="293"/>
      <c r="AE20" s="293"/>
      <c r="AF20" s="293"/>
      <c r="AG20" s="293"/>
      <c r="AH20" s="293"/>
      <c r="AI20" s="294"/>
      <c r="AJ20" s="295" t="s">
        <v>2084</v>
      </c>
      <c r="AK20" s="296"/>
      <c r="AL20" s="295"/>
      <c r="AM20" s="293" t="s">
        <v>208</v>
      </c>
      <c r="AN20" s="293"/>
      <c r="AO20" s="293"/>
      <c r="AP20" s="293"/>
      <c r="AQ20" s="349"/>
      <c r="AR20" s="349"/>
      <c r="AS20" s="349"/>
      <c r="AT20" s="359" t="str">
        <f t="shared" si="0"/>
        <v/>
      </c>
      <c r="AU20" s="349"/>
      <c r="AV20" s="349"/>
      <c r="AW20" s="349"/>
      <c r="AX20" s="349"/>
      <c r="AY20" s="349"/>
      <c r="AZ20" s="349"/>
      <c r="BA20" s="349"/>
      <c r="BB20" s="297"/>
      <c r="BC20" s="293"/>
      <c r="BD20" s="293"/>
      <c r="BE20" s="293"/>
      <c r="BF20" s="297">
        <v>46113</v>
      </c>
      <c r="BG20" s="297" t="s">
        <v>828</v>
      </c>
      <c r="BH20" s="298"/>
      <c r="BI20" s="297"/>
    </row>
    <row r="21" spans="1:61" s="299" customFormat="1" ht="15" customHeight="1">
      <c r="A21" s="290">
        <v>146</v>
      </c>
      <c r="B21" s="291">
        <v>46153.73541666667</v>
      </c>
      <c r="C21" s="291">
        <v>46153.736111111109</v>
      </c>
      <c r="D21" s="300" t="s">
        <v>2077</v>
      </c>
      <c r="E21" s="300" t="s">
        <v>2078</v>
      </c>
      <c r="F21" s="300" t="s">
        <v>2085</v>
      </c>
      <c r="G21" s="300" t="s">
        <v>2080</v>
      </c>
      <c r="H21" s="300" t="s">
        <v>214</v>
      </c>
      <c r="I21" s="290"/>
      <c r="J21" s="290" t="s">
        <v>2080</v>
      </c>
      <c r="K21" s="290"/>
      <c r="L21" s="290" t="s">
        <v>2086</v>
      </c>
      <c r="M21" s="291"/>
      <c r="N21" s="290" t="s">
        <v>83</v>
      </c>
      <c r="O21" s="290"/>
      <c r="P21" s="290"/>
      <c r="Q21" s="292" t="s">
        <v>79</v>
      </c>
      <c r="R21" s="300" t="s">
        <v>2080</v>
      </c>
      <c r="S21" s="300"/>
      <c r="T21" s="300" t="s">
        <v>2080</v>
      </c>
      <c r="U21" s="300"/>
      <c r="V21" s="300" t="s">
        <v>2080</v>
      </c>
      <c r="W21" s="300" t="s">
        <v>188</v>
      </c>
      <c r="X21" s="300" t="s">
        <v>2080</v>
      </c>
      <c r="Y21" s="300" t="s">
        <v>2080</v>
      </c>
      <c r="Z21" s="290" t="s">
        <v>2087</v>
      </c>
      <c r="AA21" s="290"/>
      <c r="AB21" s="293"/>
      <c r="AC21" s="293"/>
      <c r="AD21" s="293"/>
      <c r="AE21" s="293"/>
      <c r="AF21" s="293"/>
      <c r="AG21" s="298"/>
      <c r="AH21" s="298"/>
      <c r="AI21" s="294"/>
      <c r="AJ21" s="295" t="s">
        <v>2084</v>
      </c>
      <c r="AK21" s="296"/>
      <c r="AL21" s="301"/>
      <c r="AM21" s="293" t="s">
        <v>208</v>
      </c>
      <c r="AN21" s="293"/>
      <c r="AO21" s="298"/>
      <c r="AP21" s="293"/>
      <c r="AQ21" s="349"/>
      <c r="AR21" s="349"/>
      <c r="AS21" s="349"/>
      <c r="AT21" s="359" t="str">
        <f t="shared" si="0"/>
        <v/>
      </c>
      <c r="AU21" s="349"/>
      <c r="AV21" s="349"/>
      <c r="AW21" s="349"/>
      <c r="AX21" s="349"/>
      <c r="AY21" s="349"/>
      <c r="AZ21" s="349"/>
      <c r="BA21" s="349"/>
      <c r="BB21" s="297"/>
      <c r="BC21" s="302"/>
      <c r="BD21" s="293"/>
      <c r="BE21" s="293"/>
      <c r="BF21" s="297">
        <v>45962</v>
      </c>
      <c r="BG21" s="297">
        <v>46054</v>
      </c>
      <c r="BH21" s="293"/>
      <c r="BI21" s="293"/>
    </row>
    <row r="22" spans="1:61" s="299" customFormat="1" ht="15" customHeight="1">
      <c r="A22" s="290">
        <v>147</v>
      </c>
      <c r="B22" s="291">
        <v>46153.736111111109</v>
      </c>
      <c r="C22" s="291">
        <v>46153.736805555556</v>
      </c>
      <c r="D22" s="290" t="s">
        <v>2077</v>
      </c>
      <c r="E22" s="290" t="s">
        <v>2078</v>
      </c>
      <c r="F22" s="290" t="s">
        <v>2088</v>
      </c>
      <c r="G22" s="290" t="s">
        <v>2080</v>
      </c>
      <c r="H22" s="290" t="s">
        <v>75</v>
      </c>
      <c r="I22" s="290"/>
      <c r="J22" s="290" t="s">
        <v>2080</v>
      </c>
      <c r="K22" s="290"/>
      <c r="L22" s="291" t="s">
        <v>161</v>
      </c>
      <c r="M22" s="291"/>
      <c r="N22" s="290" t="s">
        <v>83</v>
      </c>
      <c r="O22" s="290"/>
      <c r="P22" s="290"/>
      <c r="Q22" s="292" t="s">
        <v>79</v>
      </c>
      <c r="R22" s="290" t="s">
        <v>2080</v>
      </c>
      <c r="S22" s="290"/>
      <c r="T22" s="290" t="s">
        <v>2080</v>
      </c>
      <c r="U22" s="290"/>
      <c r="V22" s="290" t="s">
        <v>2080</v>
      </c>
      <c r="W22" s="290" t="s">
        <v>188</v>
      </c>
      <c r="X22" s="290" t="s">
        <v>2080</v>
      </c>
      <c r="Y22" s="290" t="s">
        <v>2080</v>
      </c>
      <c r="Z22" s="290" t="s">
        <v>2089</v>
      </c>
      <c r="AA22" s="290"/>
      <c r="AB22" s="293"/>
      <c r="AC22" s="293"/>
      <c r="AD22" s="293"/>
      <c r="AE22" s="293"/>
      <c r="AF22" s="293"/>
      <c r="AG22" s="293"/>
      <c r="AH22" s="293"/>
      <c r="AI22" s="294"/>
      <c r="AJ22" s="295" t="s">
        <v>2084</v>
      </c>
      <c r="AK22" s="296"/>
      <c r="AL22" s="295"/>
      <c r="AM22" s="293" t="s">
        <v>208</v>
      </c>
      <c r="AN22" s="293"/>
      <c r="AO22" s="293"/>
      <c r="AP22" s="293"/>
      <c r="AQ22" s="349"/>
      <c r="AR22" s="349"/>
      <c r="AS22" s="349"/>
      <c r="AT22" s="359" t="str">
        <f t="shared" si="0"/>
        <v/>
      </c>
      <c r="AU22" s="349"/>
      <c r="AV22" s="349"/>
      <c r="AW22" s="349"/>
      <c r="AX22" s="349"/>
      <c r="AY22" s="349"/>
      <c r="AZ22" s="349"/>
      <c r="BA22" s="349"/>
      <c r="BB22" s="297"/>
      <c r="BC22" s="293"/>
      <c r="BD22" s="293"/>
      <c r="BE22" s="293"/>
      <c r="BF22" s="297">
        <v>46113</v>
      </c>
      <c r="BG22" s="297" t="s">
        <v>828</v>
      </c>
      <c r="BH22" s="298"/>
      <c r="BI22" s="297"/>
    </row>
    <row r="23" spans="1:61" s="299" customFormat="1" ht="15" customHeight="1">
      <c r="A23" s="290">
        <v>148</v>
      </c>
      <c r="B23" s="291">
        <v>46153.736805555556</v>
      </c>
      <c r="C23" s="291">
        <v>46153.737500000003</v>
      </c>
      <c r="D23" s="300" t="s">
        <v>2077</v>
      </c>
      <c r="E23" s="300" t="s">
        <v>2078</v>
      </c>
      <c r="F23" s="300" t="s">
        <v>2090</v>
      </c>
      <c r="G23" s="300" t="s">
        <v>2080</v>
      </c>
      <c r="H23" s="300" t="s">
        <v>2081</v>
      </c>
      <c r="I23" s="290"/>
      <c r="J23" s="290" t="s">
        <v>2080</v>
      </c>
      <c r="K23" s="290"/>
      <c r="L23" s="290" t="s">
        <v>161</v>
      </c>
      <c r="M23" s="291"/>
      <c r="N23" s="290" t="s">
        <v>83</v>
      </c>
      <c r="O23" s="290"/>
      <c r="P23" s="290"/>
      <c r="Q23" s="292" t="s">
        <v>79</v>
      </c>
      <c r="R23" s="300" t="s">
        <v>2080</v>
      </c>
      <c r="S23" s="300"/>
      <c r="T23" s="300" t="s">
        <v>2080</v>
      </c>
      <c r="U23" s="300"/>
      <c r="V23" s="300" t="s">
        <v>2080</v>
      </c>
      <c r="W23" s="300" t="s">
        <v>188</v>
      </c>
      <c r="X23" s="300" t="s">
        <v>2080</v>
      </c>
      <c r="Y23" s="300" t="s">
        <v>2080</v>
      </c>
      <c r="Z23" s="290"/>
      <c r="AA23" s="290"/>
      <c r="AB23" s="293"/>
      <c r="AC23" s="293"/>
      <c r="AD23" s="293"/>
      <c r="AE23" s="293"/>
      <c r="AF23" s="293"/>
      <c r="AG23" s="298"/>
      <c r="AH23" s="298"/>
      <c r="AI23" s="294"/>
      <c r="AJ23" s="295" t="s">
        <v>2084</v>
      </c>
      <c r="AK23" s="296"/>
      <c r="AL23" s="301"/>
      <c r="AM23" s="293" t="s">
        <v>208</v>
      </c>
      <c r="AN23" s="293"/>
      <c r="AO23" s="298"/>
      <c r="AP23" s="293"/>
      <c r="AQ23" s="349"/>
      <c r="AR23" s="349"/>
      <c r="AS23" s="349"/>
      <c r="AT23" s="359" t="str">
        <f t="shared" si="0"/>
        <v/>
      </c>
      <c r="AU23" s="349"/>
      <c r="AV23" s="349"/>
      <c r="AW23" s="349"/>
      <c r="AX23" s="349"/>
      <c r="AY23" s="349"/>
      <c r="AZ23" s="349"/>
      <c r="BA23" s="349"/>
      <c r="BB23" s="297"/>
      <c r="BC23" s="302"/>
      <c r="BD23" s="293"/>
      <c r="BE23" s="293"/>
      <c r="BF23" s="297">
        <v>45870</v>
      </c>
      <c r="BG23" s="297">
        <v>45931</v>
      </c>
      <c r="BH23" s="293"/>
      <c r="BI23" s="293"/>
    </row>
    <row r="24" spans="1:61" s="299" customFormat="1" ht="15" customHeight="1">
      <c r="A24" s="290">
        <v>149</v>
      </c>
      <c r="B24" s="291">
        <v>46153.737500000003</v>
      </c>
      <c r="C24" s="291">
        <v>46153.737500000003</v>
      </c>
      <c r="D24" s="290" t="s">
        <v>2077</v>
      </c>
      <c r="E24" s="290" t="s">
        <v>2078</v>
      </c>
      <c r="F24" s="290" t="s">
        <v>2091</v>
      </c>
      <c r="G24" s="290" t="s">
        <v>2080</v>
      </c>
      <c r="H24" s="290" t="s">
        <v>214</v>
      </c>
      <c r="I24" s="290"/>
      <c r="J24" s="290" t="s">
        <v>2080</v>
      </c>
      <c r="K24" s="290"/>
      <c r="L24" s="291" t="s">
        <v>2086</v>
      </c>
      <c r="M24" s="291"/>
      <c r="N24" s="290" t="s">
        <v>83</v>
      </c>
      <c r="O24" s="290"/>
      <c r="P24" s="290"/>
      <c r="Q24" s="292" t="s">
        <v>79</v>
      </c>
      <c r="R24" s="290" t="s">
        <v>2080</v>
      </c>
      <c r="S24" s="290"/>
      <c r="T24" s="290" t="s">
        <v>2080</v>
      </c>
      <c r="U24" s="290"/>
      <c r="V24" s="290" t="s">
        <v>2080</v>
      </c>
      <c r="W24" s="290" t="s">
        <v>188</v>
      </c>
      <c r="X24" s="290" t="s">
        <v>2080</v>
      </c>
      <c r="Y24" s="290" t="s">
        <v>2080</v>
      </c>
      <c r="Z24" s="290"/>
      <c r="AA24" s="290"/>
      <c r="AB24" s="293"/>
      <c r="AC24" s="293"/>
      <c r="AD24" s="293"/>
      <c r="AE24" s="293"/>
      <c r="AF24" s="293"/>
      <c r="AG24" s="293"/>
      <c r="AH24" s="293"/>
      <c r="AI24" s="294"/>
      <c r="AJ24" s="295" t="s">
        <v>2084</v>
      </c>
      <c r="AK24" s="296"/>
      <c r="AL24" s="295"/>
      <c r="AM24" s="293" t="s">
        <v>208</v>
      </c>
      <c r="AN24" s="293"/>
      <c r="AO24" s="293"/>
      <c r="AP24" s="293"/>
      <c r="AQ24" s="349"/>
      <c r="AR24" s="349"/>
      <c r="AS24" s="349"/>
      <c r="AT24" s="359" t="str">
        <f t="shared" si="0"/>
        <v/>
      </c>
      <c r="AU24" s="349"/>
      <c r="AV24" s="349"/>
      <c r="AW24" s="349"/>
      <c r="AX24" s="349"/>
      <c r="AY24" s="349"/>
      <c r="AZ24" s="349"/>
      <c r="BA24" s="349"/>
      <c r="BB24" s="297"/>
      <c r="BC24" s="293"/>
      <c r="BD24" s="293"/>
      <c r="BE24" s="293"/>
      <c r="BF24" s="297">
        <v>45597</v>
      </c>
      <c r="BG24" s="297">
        <v>45658</v>
      </c>
      <c r="BH24" s="298"/>
      <c r="BI24" s="297"/>
    </row>
    <row r="25" spans="1:61" s="299" customFormat="1" ht="15" customHeight="1">
      <c r="A25" s="290">
        <v>150</v>
      </c>
      <c r="B25" s="291">
        <v>46153.737500000003</v>
      </c>
      <c r="C25" s="291">
        <v>46153.738194444442</v>
      </c>
      <c r="D25" s="300" t="s">
        <v>2077</v>
      </c>
      <c r="E25" s="300" t="s">
        <v>2078</v>
      </c>
      <c r="F25" s="300" t="s">
        <v>2092</v>
      </c>
      <c r="G25" s="300" t="s">
        <v>2080</v>
      </c>
      <c r="H25" s="300" t="s">
        <v>75</v>
      </c>
      <c r="I25" s="290"/>
      <c r="J25" s="290" t="s">
        <v>2080</v>
      </c>
      <c r="K25" s="290"/>
      <c r="L25" s="290" t="s">
        <v>161</v>
      </c>
      <c r="M25" s="291"/>
      <c r="N25" s="290" t="s">
        <v>83</v>
      </c>
      <c r="O25" s="290"/>
      <c r="P25" s="290"/>
      <c r="Q25" s="292" t="s">
        <v>79</v>
      </c>
      <c r="R25" s="300" t="s">
        <v>2080</v>
      </c>
      <c r="S25" s="300"/>
      <c r="T25" s="300" t="s">
        <v>2080</v>
      </c>
      <c r="U25" s="300"/>
      <c r="V25" s="300" t="s">
        <v>2080</v>
      </c>
      <c r="W25" s="300" t="s">
        <v>188</v>
      </c>
      <c r="X25" s="300" t="s">
        <v>2080</v>
      </c>
      <c r="Y25" s="300" t="s">
        <v>2080</v>
      </c>
      <c r="Z25" s="290"/>
      <c r="AA25" s="290"/>
      <c r="AB25" s="293"/>
      <c r="AC25" s="293"/>
      <c r="AD25" s="293"/>
      <c r="AE25" s="293"/>
      <c r="AF25" s="293"/>
      <c r="AG25" s="298"/>
      <c r="AH25" s="298"/>
      <c r="AI25" s="294"/>
      <c r="AJ25" s="295" t="s">
        <v>2093</v>
      </c>
      <c r="AK25" s="296"/>
      <c r="AL25" s="301"/>
      <c r="AM25" s="293" t="s">
        <v>208</v>
      </c>
      <c r="AN25" s="293"/>
      <c r="AO25" s="298"/>
      <c r="AP25" s="293"/>
      <c r="AQ25" s="349"/>
      <c r="AR25" s="349"/>
      <c r="AS25" s="349"/>
      <c r="AT25" s="359" t="str">
        <f t="shared" si="0"/>
        <v/>
      </c>
      <c r="AU25" s="349"/>
      <c r="AV25" s="349"/>
      <c r="AW25" s="349"/>
      <c r="AX25" s="349"/>
      <c r="AY25" s="349"/>
      <c r="AZ25" s="349"/>
      <c r="BA25" s="349"/>
      <c r="BB25" s="297"/>
      <c r="BC25" s="302"/>
      <c r="BD25" s="293"/>
      <c r="BE25" s="293"/>
      <c r="BF25" s="297">
        <v>46174</v>
      </c>
      <c r="BG25" s="297" t="s">
        <v>828</v>
      </c>
      <c r="BH25" s="293"/>
      <c r="BI25" s="293"/>
    </row>
    <row r="26" spans="1:61" s="299" customFormat="1" ht="15" customHeight="1">
      <c r="A26" s="290">
        <v>151</v>
      </c>
      <c r="B26" s="291">
        <v>46153.738194444442</v>
      </c>
      <c r="C26" s="291">
        <v>46153.738888888889</v>
      </c>
      <c r="D26" s="290" t="s">
        <v>2077</v>
      </c>
      <c r="E26" s="290" t="s">
        <v>2078</v>
      </c>
      <c r="F26" s="290" t="s">
        <v>2094</v>
      </c>
      <c r="G26" s="290" t="s">
        <v>2080</v>
      </c>
      <c r="H26" s="290" t="s">
        <v>158</v>
      </c>
      <c r="I26" s="290"/>
      <c r="J26" s="290" t="s">
        <v>2080</v>
      </c>
      <c r="K26" s="290"/>
      <c r="L26" s="291" t="s">
        <v>161</v>
      </c>
      <c r="M26" s="291"/>
      <c r="N26" s="290" t="s">
        <v>83</v>
      </c>
      <c r="O26" s="290"/>
      <c r="P26" s="290"/>
      <c r="Q26" s="292" t="s">
        <v>79</v>
      </c>
      <c r="R26" s="290" t="s">
        <v>2080</v>
      </c>
      <c r="S26" s="290"/>
      <c r="T26" s="290" t="s">
        <v>2080</v>
      </c>
      <c r="U26" s="290"/>
      <c r="V26" s="290" t="s">
        <v>2080</v>
      </c>
      <c r="W26" s="290" t="s">
        <v>188</v>
      </c>
      <c r="X26" s="290" t="s">
        <v>2080</v>
      </c>
      <c r="Y26" s="290" t="s">
        <v>2080</v>
      </c>
      <c r="Z26" s="290"/>
      <c r="AA26" s="290"/>
      <c r="AB26" s="293"/>
      <c r="AC26" s="293"/>
      <c r="AD26" s="293"/>
      <c r="AE26" s="293"/>
      <c r="AF26" s="293"/>
      <c r="AG26" s="293"/>
      <c r="AH26" s="293"/>
      <c r="AI26" s="294"/>
      <c r="AJ26" s="295"/>
      <c r="AK26" s="296"/>
      <c r="AL26" s="295"/>
      <c r="AM26" s="293" t="s">
        <v>208</v>
      </c>
      <c r="AN26" s="293"/>
      <c r="AO26" s="293"/>
      <c r="AP26" s="293"/>
      <c r="AQ26" s="349"/>
      <c r="AR26" s="349"/>
      <c r="AS26" s="349"/>
      <c r="AT26" s="359" t="str">
        <f t="shared" si="0"/>
        <v/>
      </c>
      <c r="AU26" s="349"/>
      <c r="AV26" s="349"/>
      <c r="AW26" s="349"/>
      <c r="AX26" s="349"/>
      <c r="AY26" s="349"/>
      <c r="AZ26" s="349"/>
      <c r="BA26" s="349"/>
      <c r="BB26" s="297"/>
      <c r="BC26" s="293"/>
      <c r="BD26" s="293"/>
      <c r="BE26" s="293"/>
      <c r="BF26" s="297"/>
      <c r="BG26" s="297"/>
      <c r="BH26" s="298"/>
      <c r="BI26" s="297"/>
    </row>
    <row r="27" spans="1:61" s="299" customFormat="1" ht="15" customHeight="1">
      <c r="A27" s="290">
        <v>152</v>
      </c>
      <c r="B27" s="291">
        <v>46153.741666666669</v>
      </c>
      <c r="C27" s="291">
        <v>46153.742361111108</v>
      </c>
      <c r="D27" s="300" t="s">
        <v>2077</v>
      </c>
      <c r="E27" s="300" t="s">
        <v>2078</v>
      </c>
      <c r="F27" s="300" t="s">
        <v>2095</v>
      </c>
      <c r="G27" s="300" t="s">
        <v>2080</v>
      </c>
      <c r="H27" s="300" t="s">
        <v>75</v>
      </c>
      <c r="I27" s="290"/>
      <c r="J27" s="290" t="s">
        <v>2080</v>
      </c>
      <c r="K27" s="290"/>
      <c r="L27" s="290" t="s">
        <v>161</v>
      </c>
      <c r="M27" s="291"/>
      <c r="N27" s="290" t="s">
        <v>83</v>
      </c>
      <c r="O27" s="290"/>
      <c r="P27" s="290"/>
      <c r="Q27" s="292" t="s">
        <v>79</v>
      </c>
      <c r="R27" s="300" t="s">
        <v>2080</v>
      </c>
      <c r="S27" s="300"/>
      <c r="T27" s="300" t="s">
        <v>2080</v>
      </c>
      <c r="U27" s="300"/>
      <c r="V27" s="300" t="s">
        <v>2080</v>
      </c>
      <c r="W27" s="300" t="s">
        <v>188</v>
      </c>
      <c r="X27" s="300" t="s">
        <v>2080</v>
      </c>
      <c r="Y27" s="300" t="s">
        <v>2080</v>
      </c>
      <c r="Z27" s="290"/>
      <c r="AA27" s="290"/>
      <c r="AB27" s="293"/>
      <c r="AC27" s="293"/>
      <c r="AD27" s="293"/>
      <c r="AE27" s="293"/>
      <c r="AF27" s="293"/>
      <c r="AG27" s="298"/>
      <c r="AH27" s="298"/>
      <c r="AI27" s="294"/>
      <c r="AJ27" s="295" t="s">
        <v>2084</v>
      </c>
      <c r="AK27" s="296"/>
      <c r="AL27" s="301"/>
      <c r="AM27" s="293" t="s">
        <v>208</v>
      </c>
      <c r="AN27" s="293"/>
      <c r="AO27" s="298"/>
      <c r="AP27" s="293"/>
      <c r="AQ27" s="349"/>
      <c r="AR27" s="349"/>
      <c r="AS27" s="349"/>
      <c r="AT27" s="359" t="str">
        <f t="shared" si="0"/>
        <v/>
      </c>
      <c r="AU27" s="349"/>
      <c r="AV27" s="349"/>
      <c r="AW27" s="349"/>
      <c r="AX27" s="349"/>
      <c r="AY27" s="349"/>
      <c r="AZ27" s="349"/>
      <c r="BA27" s="349"/>
      <c r="BB27" s="297"/>
      <c r="BC27" s="302"/>
      <c r="BD27" s="293"/>
      <c r="BE27" s="293"/>
      <c r="BF27" s="297">
        <v>45231</v>
      </c>
      <c r="BG27" s="297">
        <v>45352</v>
      </c>
      <c r="BH27" s="293"/>
      <c r="BI27" s="293"/>
    </row>
    <row r="28" spans="1:61" s="299" customFormat="1" ht="15" customHeight="1">
      <c r="A28" s="290">
        <v>103</v>
      </c>
      <c r="B28" s="291">
        <v>46128.371990740699</v>
      </c>
      <c r="C28" s="291">
        <v>46129.069513888899</v>
      </c>
      <c r="D28" s="290" t="s">
        <v>154</v>
      </c>
      <c r="E28" s="290" t="s">
        <v>155</v>
      </c>
      <c r="F28" s="290" t="s">
        <v>2096</v>
      </c>
      <c r="G28" s="290" t="s">
        <v>2097</v>
      </c>
      <c r="H28" s="290" t="s">
        <v>342</v>
      </c>
      <c r="I28" s="290" t="s">
        <v>159</v>
      </c>
      <c r="J28" s="290" t="s">
        <v>2098</v>
      </c>
      <c r="K28" s="290"/>
      <c r="L28" s="291" t="s">
        <v>161</v>
      </c>
      <c r="M28" s="291">
        <v>46142</v>
      </c>
      <c r="N28" s="290" t="s">
        <v>57</v>
      </c>
      <c r="O28" s="290">
        <v>0</v>
      </c>
      <c r="P28" s="290"/>
      <c r="Q28" s="292" t="s">
        <v>79</v>
      </c>
      <c r="R28" s="290" t="s">
        <v>2099</v>
      </c>
      <c r="S28" s="290"/>
      <c r="T28" s="290" t="s">
        <v>2100</v>
      </c>
      <c r="U28" s="290"/>
      <c r="V28" s="290" t="s">
        <v>165</v>
      </c>
      <c r="W28" s="290" t="s">
        <v>188</v>
      </c>
      <c r="X28" s="290" t="s">
        <v>1004</v>
      </c>
      <c r="Y28" s="290" t="s">
        <v>2101</v>
      </c>
      <c r="Z28" s="290" t="s">
        <v>2102</v>
      </c>
      <c r="AA28" s="290"/>
      <c r="AB28" s="293" t="s">
        <v>2103</v>
      </c>
      <c r="AC28" s="293" t="s">
        <v>68</v>
      </c>
      <c r="AD28" s="297">
        <v>46135</v>
      </c>
      <c r="AE28" s="293" t="s">
        <v>3</v>
      </c>
      <c r="AF28" s="297"/>
      <c r="AG28" s="297"/>
      <c r="AH28" s="293">
        <v>1</v>
      </c>
      <c r="AI28" s="294"/>
      <c r="AJ28" s="295">
        <v>13000</v>
      </c>
      <c r="AK28" s="296" t="s">
        <v>2104</v>
      </c>
      <c r="AL28" s="295" t="s">
        <v>207</v>
      </c>
      <c r="AM28" s="293" t="s">
        <v>1974</v>
      </c>
      <c r="AN28" s="293"/>
      <c r="AO28" s="293" t="s">
        <v>403</v>
      </c>
      <c r="AP28" s="293" t="s">
        <v>2105</v>
      </c>
      <c r="AQ28" s="349"/>
      <c r="AR28" s="349"/>
      <c r="AS28" s="349"/>
      <c r="AT28" s="359" t="str">
        <f t="shared" si="0"/>
        <v/>
      </c>
      <c r="AU28" s="349"/>
      <c r="AV28" s="349"/>
      <c r="AW28" s="349"/>
      <c r="AX28" s="349"/>
      <c r="AY28" s="349"/>
      <c r="AZ28" s="349"/>
      <c r="BA28" s="349"/>
      <c r="BB28" s="297" t="s">
        <v>224</v>
      </c>
      <c r="BC28" s="293" t="s">
        <v>2106</v>
      </c>
      <c r="BD28" s="293" t="s">
        <v>2107</v>
      </c>
      <c r="BE28" s="293"/>
      <c r="BF28" s="297">
        <v>46167</v>
      </c>
      <c r="BG28" s="297">
        <v>46198</v>
      </c>
      <c r="BH28" s="298" t="s">
        <v>224</v>
      </c>
      <c r="BI28" s="297"/>
    </row>
    <row r="29" spans="1:61" s="299" customFormat="1" ht="15" customHeight="1">
      <c r="A29" s="290">
        <v>155</v>
      </c>
      <c r="B29" s="291">
        <v>46153.745138888888</v>
      </c>
      <c r="C29" s="291">
        <v>46153.745833333334</v>
      </c>
      <c r="D29" s="300" t="s">
        <v>2077</v>
      </c>
      <c r="E29" s="300" t="s">
        <v>2078</v>
      </c>
      <c r="F29" s="300" t="s">
        <v>2108</v>
      </c>
      <c r="G29" s="300" t="s">
        <v>2080</v>
      </c>
      <c r="H29" s="300" t="s">
        <v>158</v>
      </c>
      <c r="I29" s="290"/>
      <c r="J29" s="290" t="s">
        <v>2080</v>
      </c>
      <c r="K29" s="290"/>
      <c r="L29" s="290" t="s">
        <v>161</v>
      </c>
      <c r="M29" s="291"/>
      <c r="N29" s="290" t="s">
        <v>83</v>
      </c>
      <c r="O29" s="290"/>
      <c r="P29" s="290"/>
      <c r="Q29" s="292" t="s">
        <v>269</v>
      </c>
      <c r="R29" s="300" t="s">
        <v>2080</v>
      </c>
      <c r="S29" s="300"/>
      <c r="T29" s="300" t="s">
        <v>2080</v>
      </c>
      <c r="U29" s="300"/>
      <c r="V29" s="300" t="s">
        <v>2080</v>
      </c>
      <c r="W29" s="300" t="s">
        <v>188</v>
      </c>
      <c r="X29" s="300" t="s">
        <v>2080</v>
      </c>
      <c r="Y29" s="300" t="s">
        <v>2080</v>
      </c>
      <c r="Z29" s="290"/>
      <c r="AA29" s="290"/>
      <c r="AB29" s="293"/>
      <c r="AC29" s="293"/>
      <c r="AD29" s="293"/>
      <c r="AE29" s="293"/>
      <c r="AF29" s="293"/>
      <c r="AG29" s="298"/>
      <c r="AH29" s="298"/>
      <c r="AI29" s="294"/>
      <c r="AJ29" s="295" t="s">
        <v>2084</v>
      </c>
      <c r="AK29" s="296"/>
      <c r="AL29" s="301"/>
      <c r="AM29" s="293" t="s">
        <v>208</v>
      </c>
      <c r="AN29" s="293"/>
      <c r="AO29" s="298"/>
      <c r="AP29" s="293"/>
      <c r="AQ29" s="349"/>
      <c r="AR29" s="349"/>
      <c r="AS29" s="349"/>
      <c r="AT29" s="359" t="str">
        <f t="shared" si="0"/>
        <v/>
      </c>
      <c r="AU29" s="349"/>
      <c r="AV29" s="349"/>
      <c r="AW29" s="349"/>
      <c r="AX29" s="349"/>
      <c r="AY29" s="349"/>
      <c r="AZ29" s="349"/>
      <c r="BA29" s="349"/>
      <c r="BB29" s="297"/>
      <c r="BC29" s="302"/>
      <c r="BD29" s="293"/>
      <c r="BE29" s="293"/>
      <c r="BF29" s="297">
        <v>45413</v>
      </c>
      <c r="BG29" s="297">
        <v>45505</v>
      </c>
      <c r="BH29" s="293"/>
      <c r="BI29" s="293"/>
    </row>
    <row r="30" spans="1:61" s="299" customFormat="1" ht="15" customHeight="1">
      <c r="A30" s="290">
        <v>157</v>
      </c>
      <c r="B30" s="291">
        <v>46153.746527777781</v>
      </c>
      <c r="C30" s="291">
        <v>46153.74722222222</v>
      </c>
      <c r="D30" s="290" t="s">
        <v>2077</v>
      </c>
      <c r="E30" s="290" t="s">
        <v>2078</v>
      </c>
      <c r="F30" s="290" t="s">
        <v>2109</v>
      </c>
      <c r="G30" s="290" t="s">
        <v>2080</v>
      </c>
      <c r="H30" s="290" t="s">
        <v>75</v>
      </c>
      <c r="I30" s="290"/>
      <c r="J30" s="290" t="s">
        <v>2080</v>
      </c>
      <c r="K30" s="290"/>
      <c r="L30" s="291" t="s">
        <v>2086</v>
      </c>
      <c r="M30" s="291"/>
      <c r="N30" s="290" t="s">
        <v>83</v>
      </c>
      <c r="O30" s="290"/>
      <c r="P30" s="290"/>
      <c r="Q30" s="292" t="s">
        <v>269</v>
      </c>
      <c r="R30" s="290" t="s">
        <v>2080</v>
      </c>
      <c r="S30" s="290"/>
      <c r="T30" s="290" t="s">
        <v>2080</v>
      </c>
      <c r="U30" s="290"/>
      <c r="V30" s="290" t="s">
        <v>2080</v>
      </c>
      <c r="W30" s="290" t="s">
        <v>188</v>
      </c>
      <c r="X30" s="290" t="s">
        <v>2080</v>
      </c>
      <c r="Y30" s="290" t="s">
        <v>2080</v>
      </c>
      <c r="Z30" s="290"/>
      <c r="AA30" s="290"/>
      <c r="AB30" s="293" t="s">
        <v>1701</v>
      </c>
      <c r="AC30" s="293"/>
      <c r="AD30" s="293"/>
      <c r="AE30" s="293"/>
      <c r="AF30" s="293"/>
      <c r="AG30" s="293"/>
      <c r="AH30" s="293"/>
      <c r="AI30" s="294"/>
      <c r="AJ30" s="295"/>
      <c r="AK30" s="296"/>
      <c r="AL30" s="295"/>
      <c r="AM30" s="293" t="s">
        <v>208</v>
      </c>
      <c r="AN30" s="293"/>
      <c r="AO30" s="293"/>
      <c r="AP30" s="293"/>
      <c r="AQ30" s="349"/>
      <c r="AR30" s="349"/>
      <c r="AS30" s="349"/>
      <c r="AT30" s="359" t="str">
        <f t="shared" si="0"/>
        <v/>
      </c>
      <c r="AU30" s="349"/>
      <c r="AV30" s="349"/>
      <c r="AW30" s="349"/>
      <c r="AX30" s="349"/>
      <c r="AY30" s="349"/>
      <c r="AZ30" s="349"/>
      <c r="BA30" s="349"/>
      <c r="BB30" s="297"/>
      <c r="BC30" s="293"/>
      <c r="BD30" s="293"/>
      <c r="BE30" s="293"/>
      <c r="BF30" s="297">
        <v>45658</v>
      </c>
      <c r="BG30" s="297">
        <v>46082</v>
      </c>
      <c r="BH30" s="298"/>
      <c r="BI30" s="297"/>
    </row>
    <row r="31" spans="1:61" s="299" customFormat="1" ht="15" customHeight="1">
      <c r="A31" s="290">
        <v>82</v>
      </c>
      <c r="B31" s="291">
        <v>46106.062025462998</v>
      </c>
      <c r="C31" s="291">
        <v>46106.067824074104</v>
      </c>
      <c r="D31" s="300" t="s">
        <v>588</v>
      </c>
      <c r="E31" s="300" t="s">
        <v>589</v>
      </c>
      <c r="F31" s="300" t="s">
        <v>2110</v>
      </c>
      <c r="G31" s="300" t="s">
        <v>2111</v>
      </c>
      <c r="H31" s="300" t="s">
        <v>158</v>
      </c>
      <c r="I31" s="290" t="s">
        <v>241</v>
      </c>
      <c r="J31" s="290" t="s">
        <v>2035</v>
      </c>
      <c r="K31" s="290"/>
      <c r="L31" s="290" t="s">
        <v>199</v>
      </c>
      <c r="M31" s="291">
        <v>46127</v>
      </c>
      <c r="N31" s="290" t="s">
        <v>83</v>
      </c>
      <c r="O31" s="290" t="s">
        <v>487</v>
      </c>
      <c r="P31" s="290"/>
      <c r="Q31" s="292" t="s">
        <v>79</v>
      </c>
      <c r="R31" s="300" t="s">
        <v>2112</v>
      </c>
      <c r="S31" s="300"/>
      <c r="T31" s="300" t="s">
        <v>2113</v>
      </c>
      <c r="U31" s="300"/>
      <c r="V31" s="300" t="s">
        <v>581</v>
      </c>
      <c r="W31" s="300" t="s">
        <v>188</v>
      </c>
      <c r="X31" s="300" t="s">
        <v>2114</v>
      </c>
      <c r="Y31" s="300" t="s">
        <v>2114</v>
      </c>
      <c r="Z31" s="290" t="s">
        <v>2115</v>
      </c>
      <c r="AA31" s="290"/>
      <c r="AB31" s="293" t="s">
        <v>97</v>
      </c>
      <c r="AC31" s="293" t="s">
        <v>1649</v>
      </c>
      <c r="AD31" s="293"/>
      <c r="AE31" s="293" t="s">
        <v>3</v>
      </c>
      <c r="AF31" s="293"/>
      <c r="AG31" s="298"/>
      <c r="AH31" s="298" t="s">
        <v>909</v>
      </c>
      <c r="AI31" s="294"/>
      <c r="AJ31" s="295">
        <v>0</v>
      </c>
      <c r="AK31" s="296" t="s">
        <v>2116</v>
      </c>
      <c r="AL31" s="301" t="s">
        <v>1867</v>
      </c>
      <c r="AM31" s="293"/>
      <c r="AN31" s="293"/>
      <c r="AO31" s="298" t="s">
        <v>2117</v>
      </c>
      <c r="AP31" s="293"/>
      <c r="AQ31" s="349"/>
      <c r="AR31" s="349"/>
      <c r="AS31" s="349"/>
      <c r="AT31" s="359" t="str">
        <f t="shared" si="0"/>
        <v/>
      </c>
      <c r="AU31" s="349"/>
      <c r="AV31" s="349"/>
      <c r="AW31" s="349"/>
      <c r="AX31" s="349"/>
      <c r="AY31" s="349"/>
      <c r="AZ31" s="349"/>
      <c r="BA31" s="349"/>
      <c r="BB31" s="297" t="s">
        <v>1652</v>
      </c>
      <c r="BC31" s="302"/>
      <c r="BD31" s="293" t="s">
        <v>1919</v>
      </c>
      <c r="BE31" s="293"/>
      <c r="BF31" s="297">
        <v>46163</v>
      </c>
      <c r="BG31" s="297">
        <v>46189</v>
      </c>
      <c r="BH31" s="293" t="s">
        <v>1652</v>
      </c>
      <c r="BI31" s="293"/>
    </row>
    <row r="32" spans="1:61" s="299" customFormat="1" ht="15" customHeight="1">
      <c r="A32" s="290">
        <v>116</v>
      </c>
      <c r="B32" s="291">
        <v>46136.677083333299</v>
      </c>
      <c r="C32" s="291">
        <v>46136.683622685203</v>
      </c>
      <c r="D32" s="290" t="s">
        <v>237</v>
      </c>
      <c r="E32" s="290" t="s">
        <v>238</v>
      </c>
      <c r="F32" s="290" t="s">
        <v>2118</v>
      </c>
      <c r="G32" s="290" t="s">
        <v>2119</v>
      </c>
      <c r="H32" s="290" t="s">
        <v>75</v>
      </c>
      <c r="I32" s="290" t="s">
        <v>241</v>
      </c>
      <c r="J32" s="290" t="s">
        <v>2120</v>
      </c>
      <c r="K32" s="290"/>
      <c r="L32" s="291" t="s">
        <v>199</v>
      </c>
      <c r="M32" s="291">
        <v>46218</v>
      </c>
      <c r="N32" s="290" t="s">
        <v>57</v>
      </c>
      <c r="O32" s="290">
        <v>0</v>
      </c>
      <c r="P32" s="290"/>
      <c r="Q32" s="292" t="s">
        <v>79</v>
      </c>
      <c r="R32" s="290" t="s">
        <v>2121</v>
      </c>
      <c r="S32" s="290"/>
      <c r="T32" s="290" t="s">
        <v>2122</v>
      </c>
      <c r="U32" s="290"/>
      <c r="V32" s="290" t="s">
        <v>63</v>
      </c>
      <c r="W32" s="290" t="s">
        <v>188</v>
      </c>
      <c r="X32" s="290" t="s">
        <v>2123</v>
      </c>
      <c r="Y32" s="290" t="s">
        <v>2123</v>
      </c>
      <c r="Z32" s="290" t="s">
        <v>2124</v>
      </c>
      <c r="AA32" s="290"/>
      <c r="AB32" s="293" t="s">
        <v>390</v>
      </c>
      <c r="AC32" s="293" t="s">
        <v>68</v>
      </c>
      <c r="AD32" s="297">
        <v>46142</v>
      </c>
      <c r="AE32" s="293" t="s">
        <v>3</v>
      </c>
      <c r="AF32" s="297">
        <v>46146</v>
      </c>
      <c r="AG32" s="297">
        <v>46150</v>
      </c>
      <c r="AH32" s="293">
        <v>2</v>
      </c>
      <c r="AI32" s="294">
        <v>0</v>
      </c>
      <c r="AJ32" s="295">
        <v>0</v>
      </c>
      <c r="AK32" s="296"/>
      <c r="AL32" s="295" t="s">
        <v>1867</v>
      </c>
      <c r="AM32" s="293" t="s">
        <v>1918</v>
      </c>
      <c r="AN32" s="293"/>
      <c r="AO32" s="293" t="s">
        <v>2125</v>
      </c>
      <c r="AP32" s="293"/>
      <c r="AQ32" s="349"/>
      <c r="AR32" s="349"/>
      <c r="AS32" s="349"/>
      <c r="AT32" s="359" t="str">
        <f t="shared" si="0"/>
        <v/>
      </c>
      <c r="AU32" s="349"/>
      <c r="AV32" s="349"/>
      <c r="AW32" s="349"/>
      <c r="AX32" s="349"/>
      <c r="AY32" s="349"/>
      <c r="AZ32" s="349"/>
      <c r="BA32" s="349"/>
      <c r="BB32" s="297" t="s">
        <v>1652</v>
      </c>
      <c r="BC32" s="293" t="s">
        <v>2126</v>
      </c>
      <c r="BD32" s="293" t="s">
        <v>1919</v>
      </c>
      <c r="BE32" s="293"/>
      <c r="BF32" s="297">
        <v>46161</v>
      </c>
      <c r="BG32" s="297">
        <v>46217</v>
      </c>
      <c r="BH32" s="298" t="s">
        <v>1652</v>
      </c>
      <c r="BI32" s="297"/>
    </row>
    <row r="33" spans="1:67" s="299" customFormat="1" ht="15" customHeight="1">
      <c r="A33" s="290">
        <v>68</v>
      </c>
      <c r="B33" s="291">
        <v>46091.775648148097</v>
      </c>
      <c r="C33" s="291">
        <v>46091.799606481502</v>
      </c>
      <c r="D33" s="300" t="s">
        <v>652</v>
      </c>
      <c r="E33" s="300" t="s">
        <v>653</v>
      </c>
      <c r="F33" s="300" t="s">
        <v>2127</v>
      </c>
      <c r="G33" s="300" t="s">
        <v>2128</v>
      </c>
      <c r="H33" s="300" t="s">
        <v>158</v>
      </c>
      <c r="I33" s="290" t="s">
        <v>76</v>
      </c>
      <c r="J33" s="290" t="s">
        <v>2129</v>
      </c>
      <c r="K33" s="290"/>
      <c r="L33" s="290" t="s">
        <v>658</v>
      </c>
      <c r="M33" s="291">
        <v>46237</v>
      </c>
      <c r="N33" s="290" t="s">
        <v>83</v>
      </c>
      <c r="O33" s="290" t="s">
        <v>487</v>
      </c>
      <c r="P33" s="290"/>
      <c r="Q33" s="292" t="s">
        <v>79</v>
      </c>
      <c r="R33" s="300" t="s">
        <v>2130</v>
      </c>
      <c r="S33" s="300"/>
      <c r="T33" s="300" t="s">
        <v>2131</v>
      </c>
      <c r="U33" s="300"/>
      <c r="V33" s="300" t="s">
        <v>905</v>
      </c>
      <c r="W33" s="300" t="s">
        <v>188</v>
      </c>
      <c r="X33" s="300" t="s">
        <v>2132</v>
      </c>
      <c r="Y33" s="300" t="s">
        <v>2133</v>
      </c>
      <c r="Z33" s="290" t="s">
        <v>2134</v>
      </c>
      <c r="AA33" s="290"/>
      <c r="AB33" s="293" t="s">
        <v>2135</v>
      </c>
      <c r="AC33" s="293" t="s">
        <v>1649</v>
      </c>
      <c r="AD33" s="293"/>
      <c r="AE33" s="293"/>
      <c r="AF33" s="293"/>
      <c r="AG33" s="298"/>
      <c r="AH33" s="298">
        <v>2</v>
      </c>
      <c r="AI33" s="294">
        <v>27700</v>
      </c>
      <c r="AJ33" s="295">
        <v>98335</v>
      </c>
      <c r="AK33" s="296" t="s">
        <v>2136</v>
      </c>
      <c r="AL33" s="301" t="s">
        <v>207</v>
      </c>
      <c r="AM33" s="293"/>
      <c r="AN33" s="293"/>
      <c r="AO33" s="298" t="s">
        <v>403</v>
      </c>
      <c r="AP33" s="293"/>
      <c r="AQ33" s="349"/>
      <c r="AR33" s="349"/>
      <c r="AS33" s="349"/>
      <c r="AT33" s="359" t="str">
        <f t="shared" si="0"/>
        <v/>
      </c>
      <c r="AU33" s="349"/>
      <c r="AV33" s="349"/>
      <c r="AW33" s="349"/>
      <c r="AX33" s="349"/>
      <c r="AY33" s="349"/>
      <c r="AZ33" s="349"/>
      <c r="BA33" s="349"/>
      <c r="BB33" s="297" t="s">
        <v>224</v>
      </c>
      <c r="BC33" s="302"/>
      <c r="BD33" s="293" t="s">
        <v>2137</v>
      </c>
      <c r="BE33" s="293"/>
      <c r="BF33" s="297">
        <v>46181</v>
      </c>
      <c r="BG33" s="297">
        <v>46336</v>
      </c>
      <c r="BH33" s="293" t="s">
        <v>224</v>
      </c>
      <c r="BI33" s="293"/>
    </row>
    <row r="34" spans="1:67" s="299" customFormat="1" ht="15" customHeight="1">
      <c r="A34" s="290">
        <v>92</v>
      </c>
      <c r="B34" s="291">
        <v>46112.480532407397</v>
      </c>
      <c r="C34" s="291">
        <v>46112.4910648148</v>
      </c>
      <c r="D34" s="290" t="s">
        <v>824</v>
      </c>
      <c r="E34" s="290" t="s">
        <v>125</v>
      </c>
      <c r="F34" s="290" t="s">
        <v>2138</v>
      </c>
      <c r="G34" s="290" t="s">
        <v>2139</v>
      </c>
      <c r="H34" s="290" t="s">
        <v>158</v>
      </c>
      <c r="I34" s="290" t="s">
        <v>159</v>
      </c>
      <c r="J34" s="290" t="s">
        <v>2140</v>
      </c>
      <c r="K34" s="290"/>
      <c r="L34" s="291"/>
      <c r="M34" s="291">
        <v>46122</v>
      </c>
      <c r="N34" s="290" t="s">
        <v>83</v>
      </c>
      <c r="O34" s="290" t="s">
        <v>244</v>
      </c>
      <c r="P34" s="290"/>
      <c r="Q34" s="292" t="s">
        <v>79</v>
      </c>
      <c r="R34" s="290" t="s">
        <v>2141</v>
      </c>
      <c r="S34" s="290"/>
      <c r="T34" s="290" t="s">
        <v>2142</v>
      </c>
      <c r="U34" s="290"/>
      <c r="V34" s="290" t="s">
        <v>581</v>
      </c>
      <c r="W34" s="290" t="s">
        <v>188</v>
      </c>
      <c r="X34" s="290" t="s">
        <v>2143</v>
      </c>
      <c r="Y34" s="290" t="s">
        <v>2144</v>
      </c>
      <c r="Z34" s="290">
        <v>0</v>
      </c>
      <c r="AA34" s="290"/>
      <c r="AB34" s="293" t="s">
        <v>1701</v>
      </c>
      <c r="AC34" s="293"/>
      <c r="AD34" s="297"/>
      <c r="AE34" s="293" t="s">
        <v>2145</v>
      </c>
      <c r="AF34" s="297"/>
      <c r="AG34" s="297"/>
      <c r="AH34" s="293" t="s">
        <v>927</v>
      </c>
      <c r="AI34" s="294"/>
      <c r="AJ34" s="295"/>
      <c r="AK34" s="296" t="s">
        <v>2146</v>
      </c>
      <c r="AL34" s="295" t="s">
        <v>1867</v>
      </c>
      <c r="AM34" s="293" t="s">
        <v>1651</v>
      </c>
      <c r="AN34" s="293"/>
      <c r="AO34" s="293" t="s">
        <v>403</v>
      </c>
      <c r="AP34" s="293"/>
      <c r="AQ34" s="349"/>
      <c r="AR34" s="349"/>
      <c r="AS34" s="349"/>
      <c r="AT34" s="359" t="str">
        <f t="shared" si="0"/>
        <v/>
      </c>
      <c r="AU34" s="349"/>
      <c r="AV34" s="349"/>
      <c r="AW34" s="349"/>
      <c r="AX34" s="349"/>
      <c r="AY34" s="349"/>
      <c r="AZ34" s="349"/>
      <c r="BA34" s="349"/>
      <c r="BB34" s="297" t="s">
        <v>224</v>
      </c>
      <c r="BC34" s="293"/>
      <c r="BD34" s="293" t="s">
        <v>1919</v>
      </c>
      <c r="BE34" s="293"/>
      <c r="BF34" s="297">
        <v>46153</v>
      </c>
      <c r="BG34" s="297">
        <v>46160</v>
      </c>
      <c r="BH34" s="298" t="s">
        <v>224</v>
      </c>
      <c r="BI34" s="297"/>
      <c r="BJ34" s="303"/>
      <c r="BK34" s="304"/>
      <c r="BL34" s="304"/>
      <c r="BM34" s="305"/>
      <c r="BN34" s="305"/>
      <c r="BO34" s="305"/>
    </row>
    <row r="35" spans="1:67" s="299" customFormat="1" ht="15" customHeight="1">
      <c r="A35" s="290">
        <v>107</v>
      </c>
      <c r="B35" s="291">
        <v>46132.585914351803</v>
      </c>
      <c r="C35" s="291">
        <v>46133.479745370401</v>
      </c>
      <c r="D35" s="300" t="s">
        <v>154</v>
      </c>
      <c r="E35" s="300" t="s">
        <v>155</v>
      </c>
      <c r="F35" s="300" t="s">
        <v>2147</v>
      </c>
      <c r="G35" s="300" t="s">
        <v>2148</v>
      </c>
      <c r="H35" s="300" t="s">
        <v>158</v>
      </c>
      <c r="I35" s="290" t="s">
        <v>159</v>
      </c>
      <c r="J35" s="290" t="s">
        <v>2149</v>
      </c>
      <c r="K35" s="290"/>
      <c r="L35" s="290" t="s">
        <v>161</v>
      </c>
      <c r="M35" s="291">
        <v>46142</v>
      </c>
      <c r="N35" s="290" t="s">
        <v>57</v>
      </c>
      <c r="O35" s="290">
        <v>0</v>
      </c>
      <c r="P35" s="290"/>
      <c r="Q35" s="292" t="s">
        <v>79</v>
      </c>
      <c r="R35" s="300" t="s">
        <v>2150</v>
      </c>
      <c r="S35" s="300"/>
      <c r="T35" s="300" t="s">
        <v>2151</v>
      </c>
      <c r="U35" s="300"/>
      <c r="V35" s="300" t="s">
        <v>165</v>
      </c>
      <c r="W35" s="300" t="s">
        <v>188</v>
      </c>
      <c r="X35" s="300" t="s">
        <v>1004</v>
      </c>
      <c r="Y35" s="300" t="s">
        <v>2152</v>
      </c>
      <c r="Z35" s="290">
        <v>0</v>
      </c>
      <c r="AA35" s="290"/>
      <c r="AB35" s="293" t="s">
        <v>122</v>
      </c>
      <c r="AC35" s="293" t="s">
        <v>68</v>
      </c>
      <c r="AD35" s="297">
        <v>46135</v>
      </c>
      <c r="AE35" s="293" t="s">
        <v>4</v>
      </c>
      <c r="AF35" s="293"/>
      <c r="AG35" s="298"/>
      <c r="AH35" s="298">
        <v>1</v>
      </c>
      <c r="AI35" s="294"/>
      <c r="AJ35" s="295">
        <v>0</v>
      </c>
      <c r="AK35" s="296" t="s">
        <v>2153</v>
      </c>
      <c r="AL35" s="301" t="s">
        <v>1867</v>
      </c>
      <c r="AM35" s="293" t="s">
        <v>1974</v>
      </c>
      <c r="AN35" s="293"/>
      <c r="AO35" s="298" t="s">
        <v>403</v>
      </c>
      <c r="AP35" s="293"/>
      <c r="AQ35" s="349"/>
      <c r="AR35" s="349"/>
      <c r="AS35" s="349"/>
      <c r="AT35" s="359" t="str">
        <f t="shared" si="0"/>
        <v/>
      </c>
      <c r="AU35" s="349"/>
      <c r="AV35" s="349"/>
      <c r="AW35" s="349"/>
      <c r="AX35" s="349"/>
      <c r="AY35" s="349"/>
      <c r="AZ35" s="349"/>
      <c r="BA35" s="349"/>
      <c r="BB35" s="297" t="s">
        <v>224</v>
      </c>
      <c r="BC35" s="302" t="s">
        <v>2154</v>
      </c>
      <c r="BD35" s="293" t="s">
        <v>1919</v>
      </c>
      <c r="BE35" s="293"/>
      <c r="BF35" s="297">
        <v>46199</v>
      </c>
      <c r="BG35" s="297">
        <v>46230</v>
      </c>
      <c r="BH35" s="293" t="s">
        <v>224</v>
      </c>
      <c r="BI35" s="293"/>
    </row>
    <row r="36" spans="1:67" s="299" customFormat="1" ht="37.5" customHeight="1">
      <c r="A36" s="290">
        <v>154</v>
      </c>
      <c r="B36" s="291">
        <v>46153.742361111108</v>
      </c>
      <c r="C36" s="291">
        <v>46153.744444444441</v>
      </c>
      <c r="D36" s="290" t="s">
        <v>2077</v>
      </c>
      <c r="E36" s="290" t="s">
        <v>2078</v>
      </c>
      <c r="F36" s="290" t="s">
        <v>2155</v>
      </c>
      <c r="G36" s="290" t="s">
        <v>2080</v>
      </c>
      <c r="H36" s="290" t="s">
        <v>158</v>
      </c>
      <c r="I36" s="290"/>
      <c r="J36" s="290" t="s">
        <v>2080</v>
      </c>
      <c r="K36" s="290"/>
      <c r="L36" s="291" t="s">
        <v>161</v>
      </c>
      <c r="M36" s="291"/>
      <c r="N36" s="290" t="s">
        <v>83</v>
      </c>
      <c r="O36" s="290"/>
      <c r="P36" s="290"/>
      <c r="Q36" s="292" t="s">
        <v>79</v>
      </c>
      <c r="R36" s="290" t="s">
        <v>2080</v>
      </c>
      <c r="S36" s="290"/>
      <c r="T36" s="290" t="s">
        <v>2080</v>
      </c>
      <c r="U36" s="290"/>
      <c r="V36" s="290" t="s">
        <v>2080</v>
      </c>
      <c r="W36" s="290" t="s">
        <v>224</v>
      </c>
      <c r="X36" s="290" t="s">
        <v>2080</v>
      </c>
      <c r="Y36" s="290" t="s">
        <v>2080</v>
      </c>
      <c r="Z36" s="290"/>
      <c r="AA36" s="290"/>
      <c r="AB36" s="293" t="s">
        <v>122</v>
      </c>
      <c r="AC36" s="293"/>
      <c r="AD36" s="293"/>
      <c r="AE36" s="293"/>
      <c r="AF36" s="293"/>
      <c r="AG36" s="293"/>
      <c r="AH36" s="293"/>
      <c r="AI36" s="294"/>
      <c r="AJ36" s="295"/>
      <c r="AK36" s="296"/>
      <c r="AL36" s="295"/>
      <c r="AM36" s="293" t="s">
        <v>208</v>
      </c>
      <c r="AN36" s="293"/>
      <c r="AO36" s="293"/>
      <c r="AP36" s="293"/>
      <c r="AQ36" s="349"/>
      <c r="AR36" s="349"/>
      <c r="AS36" s="349"/>
      <c r="AT36" s="359" t="str">
        <f t="shared" si="0"/>
        <v/>
      </c>
      <c r="AU36" s="349"/>
      <c r="AV36" s="349"/>
      <c r="AW36" s="349"/>
      <c r="AX36" s="349"/>
      <c r="AY36" s="349"/>
      <c r="AZ36" s="349"/>
      <c r="BA36" s="349"/>
      <c r="BB36" s="297"/>
      <c r="BC36" s="293"/>
      <c r="BD36" s="293"/>
      <c r="BE36" s="293"/>
      <c r="BF36" s="297"/>
      <c r="BG36" s="297"/>
      <c r="BH36" s="298"/>
      <c r="BI36" s="297"/>
    </row>
    <row r="37" spans="1:67" ht="51.75" customHeight="1">
      <c r="A37" s="290">
        <v>27</v>
      </c>
      <c r="B37" s="291">
        <v>46048.633923611102</v>
      </c>
      <c r="C37" s="291">
        <v>46048.648668981499</v>
      </c>
      <c r="D37" s="290" t="s">
        <v>566</v>
      </c>
      <c r="E37" s="290" t="s">
        <v>567</v>
      </c>
      <c r="F37" s="290" t="s">
        <v>2156</v>
      </c>
      <c r="G37" s="290" t="s">
        <v>1152</v>
      </c>
      <c r="H37" s="290" t="s">
        <v>158</v>
      </c>
      <c r="I37" s="290" t="s">
        <v>570</v>
      </c>
      <c r="J37" s="290" t="s">
        <v>2157</v>
      </c>
      <c r="K37" s="290"/>
      <c r="L37" s="291" t="s">
        <v>161</v>
      </c>
      <c r="M37" s="291">
        <v>46113</v>
      </c>
      <c r="N37" s="290" t="s">
        <v>57</v>
      </c>
      <c r="O37" s="290">
        <v>76553</v>
      </c>
      <c r="P37" s="290"/>
      <c r="Q37" s="292" t="s">
        <v>79</v>
      </c>
      <c r="R37" s="290" t="s">
        <v>1145</v>
      </c>
      <c r="S37" s="290"/>
      <c r="T37" s="290" t="s">
        <v>1146</v>
      </c>
      <c r="U37" s="290" t="s">
        <v>82</v>
      </c>
      <c r="V37" s="290" t="s">
        <v>581</v>
      </c>
      <c r="W37" s="290" t="s">
        <v>188</v>
      </c>
      <c r="X37" s="290" t="s">
        <v>84</v>
      </c>
      <c r="Y37" s="290" t="s">
        <v>1153</v>
      </c>
      <c r="Z37" s="290" t="s">
        <v>1154</v>
      </c>
      <c r="AA37" s="290"/>
      <c r="AB37" s="250" t="s">
        <v>694</v>
      </c>
      <c r="AC37" s="293"/>
      <c r="AD37" s="297"/>
      <c r="AE37" s="293" t="s">
        <v>3</v>
      </c>
      <c r="AF37" s="297"/>
      <c r="AG37" s="297"/>
      <c r="AH37" s="293" t="s">
        <v>909</v>
      </c>
      <c r="AI37" s="294">
        <v>4500</v>
      </c>
      <c r="AJ37" s="295">
        <v>15975</v>
      </c>
      <c r="AK37" s="296" t="s">
        <v>962</v>
      </c>
      <c r="AL37" s="295" t="s">
        <v>631</v>
      </c>
      <c r="AM37" s="293"/>
      <c r="AN37" s="293"/>
      <c r="AO37" s="293" t="s">
        <v>403</v>
      </c>
      <c r="AP37" s="293"/>
      <c r="AQ37" s="349"/>
      <c r="AR37" s="349"/>
      <c r="AS37" s="349"/>
      <c r="AT37" s="359" t="str">
        <f t="shared" si="0"/>
        <v/>
      </c>
      <c r="AU37" s="349"/>
      <c r="AV37" s="349"/>
      <c r="AW37" s="349"/>
      <c r="AX37" s="349"/>
      <c r="AY37" s="349"/>
      <c r="AZ37" s="349"/>
      <c r="BA37" s="349"/>
      <c r="BB37" s="297"/>
      <c r="BC37" s="293"/>
      <c r="BD37" s="293" t="s">
        <v>224</v>
      </c>
      <c r="BE37" s="293"/>
      <c r="BF37" s="297"/>
      <c r="BG37" s="297"/>
      <c r="BH37" s="298"/>
      <c r="BI37" s="297" t="s">
        <v>2158</v>
      </c>
    </row>
    <row r="38" spans="1:67" ht="15" customHeight="1">
      <c r="A38" s="290">
        <v>108</v>
      </c>
      <c r="B38" s="291">
        <v>46133.503645833298</v>
      </c>
      <c r="C38" s="291">
        <v>46133.541018518503</v>
      </c>
      <c r="D38" s="290" t="s">
        <v>179</v>
      </c>
      <c r="E38" s="290" t="s">
        <v>180</v>
      </c>
      <c r="F38" s="290" t="s">
        <v>2159</v>
      </c>
      <c r="G38" s="290" t="s">
        <v>2160</v>
      </c>
      <c r="H38" s="290" t="s">
        <v>158</v>
      </c>
      <c r="I38" s="290" t="s">
        <v>159</v>
      </c>
      <c r="J38" s="290" t="s">
        <v>2161</v>
      </c>
      <c r="K38" s="290"/>
      <c r="L38" s="291" t="s">
        <v>184</v>
      </c>
      <c r="M38" s="291">
        <v>46188</v>
      </c>
      <c r="N38" s="290" t="s">
        <v>57</v>
      </c>
      <c r="O38" s="290">
        <v>0</v>
      </c>
      <c r="P38" s="290"/>
      <c r="Q38" s="292" t="s">
        <v>79</v>
      </c>
      <c r="R38" s="290" t="s">
        <v>2162</v>
      </c>
      <c r="S38" s="290"/>
      <c r="T38" s="290" t="s">
        <v>2163</v>
      </c>
      <c r="U38" s="290" t="s">
        <v>82</v>
      </c>
      <c r="V38" s="290" t="s">
        <v>63</v>
      </c>
      <c r="W38" s="290" t="s">
        <v>188</v>
      </c>
      <c r="X38" s="290" t="s">
        <v>166</v>
      </c>
      <c r="Y38" s="290" t="s">
        <v>2164</v>
      </c>
      <c r="Z38" s="290" t="s">
        <v>2165</v>
      </c>
      <c r="AA38" s="290"/>
      <c r="AB38" s="250" t="s">
        <v>694</v>
      </c>
      <c r="AC38" s="293" t="s">
        <v>68</v>
      </c>
      <c r="AD38" s="297">
        <v>46135</v>
      </c>
      <c r="AE38" s="293" t="s">
        <v>3</v>
      </c>
      <c r="AF38" s="297">
        <v>46135</v>
      </c>
      <c r="AG38" s="297">
        <v>46136</v>
      </c>
      <c r="AH38" s="293">
        <v>0.5</v>
      </c>
      <c r="AI38" s="294"/>
      <c r="AJ38" s="295">
        <v>0</v>
      </c>
      <c r="AK38" s="296"/>
      <c r="AL38" s="295" t="s">
        <v>1867</v>
      </c>
      <c r="AM38" s="293" t="s">
        <v>2166</v>
      </c>
      <c r="AN38" s="293"/>
      <c r="AO38" s="293" t="s">
        <v>403</v>
      </c>
      <c r="AP38" s="293"/>
      <c r="AQ38" s="349"/>
      <c r="AR38" s="349"/>
      <c r="AS38" s="349"/>
      <c r="AT38" s="359" t="str">
        <f t="shared" si="0"/>
        <v/>
      </c>
      <c r="AU38" s="349"/>
      <c r="AV38" s="349"/>
      <c r="AW38" s="349"/>
      <c r="AX38" s="349"/>
      <c r="AY38" s="349"/>
      <c r="AZ38" s="349"/>
      <c r="BA38" s="349"/>
      <c r="BB38" s="297" t="s">
        <v>224</v>
      </c>
      <c r="BC38" s="293"/>
      <c r="BD38" s="293" t="s">
        <v>1919</v>
      </c>
      <c r="BE38" s="293"/>
      <c r="BF38" s="297">
        <v>46167</v>
      </c>
      <c r="BG38" s="297">
        <v>46178</v>
      </c>
      <c r="BH38" s="298" t="s">
        <v>224</v>
      </c>
      <c r="BI38" s="297"/>
    </row>
    <row r="39" spans="1:67" ht="15" customHeight="1">
      <c r="A39" s="308">
        <v>47</v>
      </c>
      <c r="B39" s="291">
        <v>46059.417569444398</v>
      </c>
      <c r="C39" s="291">
        <v>46065.659872685203</v>
      </c>
      <c r="D39" s="290" t="s">
        <v>652</v>
      </c>
      <c r="E39" s="290" t="s">
        <v>653</v>
      </c>
      <c r="F39" s="290" t="s">
        <v>695</v>
      </c>
      <c r="G39" s="290" t="s">
        <v>696</v>
      </c>
      <c r="H39" s="290" t="s">
        <v>75</v>
      </c>
      <c r="I39" s="290" t="s">
        <v>76</v>
      </c>
      <c r="J39" s="290" t="s">
        <v>2167</v>
      </c>
      <c r="K39" s="290"/>
      <c r="L39" s="291" t="s">
        <v>161</v>
      </c>
      <c r="M39" s="291">
        <v>46447</v>
      </c>
      <c r="N39" s="290" t="s">
        <v>57</v>
      </c>
      <c r="O39" s="290"/>
      <c r="P39" s="290"/>
      <c r="Q39" s="292" t="s">
        <v>79</v>
      </c>
      <c r="R39" s="290" t="s">
        <v>698</v>
      </c>
      <c r="S39" s="290"/>
      <c r="T39" s="290" t="s">
        <v>699</v>
      </c>
      <c r="U39" s="290" t="s">
        <v>82</v>
      </c>
      <c r="V39" s="290" t="s">
        <v>706</v>
      </c>
      <c r="W39" s="290" t="s">
        <v>188</v>
      </c>
      <c r="X39" s="290" t="s">
        <v>64</v>
      </c>
      <c r="Y39" s="290" t="s">
        <v>708</v>
      </c>
      <c r="Z39" s="290" t="s">
        <v>709</v>
      </c>
      <c r="AA39" s="290"/>
      <c r="AB39" s="293" t="s">
        <v>152</v>
      </c>
      <c r="AC39" s="293"/>
      <c r="AD39" s="297"/>
      <c r="AE39" s="293" t="s">
        <v>4</v>
      </c>
      <c r="AF39" s="297"/>
      <c r="AG39" s="297"/>
      <c r="AH39" s="293">
        <v>1</v>
      </c>
      <c r="AI39" s="294">
        <v>0</v>
      </c>
      <c r="AJ39" s="295">
        <v>0</v>
      </c>
      <c r="AK39" s="296" t="s">
        <v>710</v>
      </c>
      <c r="AL39" s="295" t="s">
        <v>711</v>
      </c>
      <c r="AM39" s="293"/>
      <c r="AN39" s="293"/>
      <c r="AO39" s="293" t="s">
        <v>403</v>
      </c>
      <c r="AP39" s="293"/>
      <c r="AQ39" s="349"/>
      <c r="AR39" s="349"/>
      <c r="AS39" s="349"/>
      <c r="AT39" s="359" t="str">
        <f t="shared" si="0"/>
        <v/>
      </c>
      <c r="AU39" s="349"/>
      <c r="AV39" s="349"/>
      <c r="AW39" s="349"/>
      <c r="AX39" s="349"/>
      <c r="AY39" s="349"/>
      <c r="AZ39" s="349"/>
      <c r="BA39" s="349"/>
      <c r="BB39" s="297" t="s">
        <v>224</v>
      </c>
      <c r="BC39" s="293"/>
      <c r="BD39" s="293" t="s">
        <v>1919</v>
      </c>
      <c r="BE39" s="293"/>
      <c r="BF39" s="297">
        <v>46127</v>
      </c>
      <c r="BG39" s="297">
        <v>46157</v>
      </c>
      <c r="BH39" s="298" t="s">
        <v>224</v>
      </c>
      <c r="BI39" s="297"/>
    </row>
    <row r="40" spans="1:67" ht="15" customHeight="1">
      <c r="A40" s="290">
        <v>99</v>
      </c>
      <c r="B40" s="291">
        <v>46127.32</v>
      </c>
      <c r="C40" s="291">
        <v>46127.3351273148</v>
      </c>
      <c r="D40" s="290" t="s">
        <v>179</v>
      </c>
      <c r="E40" s="290" t="s">
        <v>180</v>
      </c>
      <c r="F40" s="290" t="s">
        <v>2168</v>
      </c>
      <c r="G40" s="290" t="s">
        <v>2169</v>
      </c>
      <c r="H40" s="290" t="s">
        <v>158</v>
      </c>
      <c r="I40" s="290" t="s">
        <v>159</v>
      </c>
      <c r="J40" s="290" t="s">
        <v>2170</v>
      </c>
      <c r="K40" s="290"/>
      <c r="L40" s="291" t="s">
        <v>184</v>
      </c>
      <c r="M40" s="291">
        <v>46132</v>
      </c>
      <c r="N40" s="290" t="s">
        <v>57</v>
      </c>
      <c r="O40" s="290">
        <v>0</v>
      </c>
      <c r="P40" s="290"/>
      <c r="Q40" s="292" t="s">
        <v>396</v>
      </c>
      <c r="R40" s="290" t="s">
        <v>2171</v>
      </c>
      <c r="S40" s="290"/>
      <c r="T40" s="290" t="s">
        <v>2172</v>
      </c>
      <c r="U40" s="290" t="s">
        <v>82</v>
      </c>
      <c r="V40" s="290" t="s">
        <v>165</v>
      </c>
      <c r="W40" s="290" t="s">
        <v>188</v>
      </c>
      <c r="X40" s="290" t="s">
        <v>149</v>
      </c>
      <c r="Y40" s="290" t="s">
        <v>2173</v>
      </c>
      <c r="Z40" s="290" t="s">
        <v>2174</v>
      </c>
      <c r="AA40" s="290"/>
      <c r="AB40" s="293" t="s">
        <v>390</v>
      </c>
      <c r="AC40" s="293" t="s">
        <v>1649</v>
      </c>
      <c r="AD40" s="297"/>
      <c r="AE40" s="293" t="s">
        <v>4</v>
      </c>
      <c r="AF40" s="297"/>
      <c r="AG40" s="297"/>
      <c r="AH40" s="293">
        <v>0.75</v>
      </c>
      <c r="AI40" s="294">
        <v>0</v>
      </c>
      <c r="AJ40" s="295">
        <v>0</v>
      </c>
      <c r="AK40" s="296"/>
      <c r="AL40" s="295" t="s">
        <v>1867</v>
      </c>
      <c r="AM40" s="293" t="s">
        <v>1665</v>
      </c>
      <c r="AN40" s="293"/>
      <c r="AO40" s="293" t="s">
        <v>403</v>
      </c>
      <c r="AP40" s="293"/>
      <c r="AQ40" s="349"/>
      <c r="AR40" s="349"/>
      <c r="AS40" s="349"/>
      <c r="AT40" s="359" t="str">
        <f t="shared" si="0"/>
        <v/>
      </c>
      <c r="AU40" s="349"/>
      <c r="AV40" s="349"/>
      <c r="AW40" s="349"/>
      <c r="AX40" s="349"/>
      <c r="AY40" s="349"/>
      <c r="AZ40" s="349"/>
      <c r="BA40" s="349"/>
      <c r="BB40" s="297" t="s">
        <v>224</v>
      </c>
      <c r="BC40" s="293" t="s">
        <v>2175</v>
      </c>
      <c r="BD40" s="293" t="s">
        <v>1919</v>
      </c>
      <c r="BE40" s="293"/>
      <c r="BF40" s="297">
        <v>46141</v>
      </c>
      <c r="BG40" s="297">
        <v>46157</v>
      </c>
      <c r="BH40" s="298" t="s">
        <v>224</v>
      </c>
      <c r="BI40" s="297"/>
    </row>
    <row r="41" spans="1:67" ht="15" customHeight="1">
      <c r="A41" s="290">
        <v>105</v>
      </c>
      <c r="B41" s="291">
        <v>46128.739814814799</v>
      </c>
      <c r="C41" s="291">
        <v>46132.560960648101</v>
      </c>
      <c r="D41" s="290" t="s">
        <v>179</v>
      </c>
      <c r="E41" s="290" t="s">
        <v>180</v>
      </c>
      <c r="F41" s="290" t="s">
        <v>2176</v>
      </c>
      <c r="G41" s="290" t="s">
        <v>2177</v>
      </c>
      <c r="H41" s="290" t="s">
        <v>75</v>
      </c>
      <c r="I41" s="290" t="s">
        <v>76</v>
      </c>
      <c r="J41" s="290" t="s">
        <v>2178</v>
      </c>
      <c r="K41" s="290"/>
      <c r="L41" s="291" t="s">
        <v>184</v>
      </c>
      <c r="M41" s="291">
        <v>46142</v>
      </c>
      <c r="N41" s="290" t="s">
        <v>57</v>
      </c>
      <c r="O41" s="290">
        <v>0</v>
      </c>
      <c r="P41" s="290"/>
      <c r="Q41" s="292" t="s">
        <v>79</v>
      </c>
      <c r="R41" s="290" t="s">
        <v>2179</v>
      </c>
      <c r="S41" s="290"/>
      <c r="T41" s="290" t="s">
        <v>2180</v>
      </c>
      <c r="U41" s="290" t="s">
        <v>82</v>
      </c>
      <c r="V41" s="290" t="s">
        <v>400</v>
      </c>
      <c r="W41" s="290" t="s">
        <v>224</v>
      </c>
      <c r="X41" s="290" t="s">
        <v>166</v>
      </c>
      <c r="Y41" s="290" t="s">
        <v>2181</v>
      </c>
      <c r="Z41" s="290" t="s">
        <v>2102</v>
      </c>
      <c r="AA41" s="290"/>
      <c r="AB41" s="250" t="s">
        <v>694</v>
      </c>
      <c r="AC41" s="293" t="s">
        <v>68</v>
      </c>
      <c r="AD41" s="297">
        <v>46135</v>
      </c>
      <c r="AE41" s="293" t="s">
        <v>3</v>
      </c>
      <c r="AF41" s="297">
        <v>46132</v>
      </c>
      <c r="AG41" s="297">
        <v>46135</v>
      </c>
      <c r="AH41" s="293">
        <v>2.2000000000000002</v>
      </c>
      <c r="AI41" s="294"/>
      <c r="AJ41" s="295">
        <v>0</v>
      </c>
      <c r="AK41" s="296" t="s">
        <v>2182</v>
      </c>
      <c r="AL41" s="295" t="s">
        <v>1867</v>
      </c>
      <c r="AM41" s="293" t="s">
        <v>1974</v>
      </c>
      <c r="AN41" s="293"/>
      <c r="AO41" s="293" t="s">
        <v>403</v>
      </c>
      <c r="AP41" s="293"/>
      <c r="AQ41" s="349"/>
      <c r="AR41" s="349"/>
      <c r="AS41" s="349"/>
      <c r="AT41" s="359" t="str">
        <f t="shared" si="0"/>
        <v/>
      </c>
      <c r="AU41" s="349"/>
      <c r="AV41" s="349"/>
      <c r="AW41" s="349"/>
      <c r="AX41" s="349"/>
      <c r="AY41" s="349"/>
      <c r="AZ41" s="349"/>
      <c r="BA41" s="349"/>
      <c r="BB41" s="297" t="s">
        <v>224</v>
      </c>
      <c r="BC41" s="293"/>
      <c r="BD41" s="293" t="s">
        <v>1919</v>
      </c>
      <c r="BE41" s="293"/>
      <c r="BF41" s="297">
        <v>46146</v>
      </c>
      <c r="BG41" s="297">
        <v>46223</v>
      </c>
      <c r="BH41" s="298" t="s">
        <v>224</v>
      </c>
      <c r="BI41" s="297"/>
    </row>
    <row r="42" spans="1:67" ht="15" customHeight="1">
      <c r="A42" s="290">
        <v>78</v>
      </c>
      <c r="B42" s="291">
        <v>46098.392349537004</v>
      </c>
      <c r="C42" s="291">
        <v>46101.478703703702</v>
      </c>
      <c r="D42" s="290" t="s">
        <v>1445</v>
      </c>
      <c r="E42" s="290" t="s">
        <v>180</v>
      </c>
      <c r="F42" s="290" t="s">
        <v>2183</v>
      </c>
      <c r="G42" s="290" t="s">
        <v>1080</v>
      </c>
      <c r="H42" s="290" t="s">
        <v>75</v>
      </c>
      <c r="I42" s="290" t="s">
        <v>159</v>
      </c>
      <c r="J42" s="290" t="s">
        <v>2184</v>
      </c>
      <c r="K42" s="290"/>
      <c r="L42" s="291" t="s">
        <v>184</v>
      </c>
      <c r="M42" s="291">
        <v>46234</v>
      </c>
      <c r="N42" s="290" t="s">
        <v>57</v>
      </c>
      <c r="O42" s="290">
        <v>0</v>
      </c>
      <c r="P42" s="290"/>
      <c r="Q42" s="292" t="s">
        <v>79</v>
      </c>
      <c r="R42" s="290" t="s">
        <v>1072</v>
      </c>
      <c r="S42" s="290"/>
      <c r="T42" s="290" t="s">
        <v>2185</v>
      </c>
      <c r="U42" s="290" t="s">
        <v>130</v>
      </c>
      <c r="V42" s="290" t="s">
        <v>977</v>
      </c>
      <c r="W42" s="290" t="s">
        <v>224</v>
      </c>
      <c r="X42" s="290" t="s">
        <v>149</v>
      </c>
      <c r="Y42" s="290" t="s">
        <v>2186</v>
      </c>
      <c r="Z42" s="290" t="s">
        <v>2187</v>
      </c>
      <c r="AA42" s="290"/>
      <c r="AB42" s="293" t="s">
        <v>2188</v>
      </c>
      <c r="AC42" s="293" t="s">
        <v>1649</v>
      </c>
      <c r="AD42" s="297">
        <v>46160</v>
      </c>
      <c r="AE42" s="293" t="s">
        <v>4</v>
      </c>
      <c r="AF42" s="297">
        <v>46160</v>
      </c>
      <c r="AG42" s="297">
        <v>46164</v>
      </c>
      <c r="AH42" s="293">
        <v>0.35</v>
      </c>
      <c r="AI42" s="294">
        <v>0</v>
      </c>
      <c r="AJ42" s="295">
        <v>0</v>
      </c>
      <c r="AK42" s="296" t="s">
        <v>2189</v>
      </c>
      <c r="AL42" s="295" t="s">
        <v>1867</v>
      </c>
      <c r="AM42" s="293" t="s">
        <v>1665</v>
      </c>
      <c r="AN42" s="293" t="s">
        <v>57</v>
      </c>
      <c r="AO42" s="293" t="s">
        <v>403</v>
      </c>
      <c r="AP42" s="293"/>
      <c r="AQ42" s="349"/>
      <c r="AR42" s="349"/>
      <c r="AS42" s="349"/>
      <c r="AT42" s="359" t="str">
        <f t="shared" si="0"/>
        <v/>
      </c>
      <c r="AU42" s="349"/>
      <c r="AV42" s="349"/>
      <c r="AW42" s="349"/>
      <c r="AX42" s="349"/>
      <c r="AY42" s="349"/>
      <c r="AZ42" s="349"/>
      <c r="BA42" s="349"/>
      <c r="BB42" s="297" t="s">
        <v>224</v>
      </c>
      <c r="BC42" s="293"/>
      <c r="BD42" s="293" t="s">
        <v>1919</v>
      </c>
      <c r="BE42" s="293"/>
      <c r="BF42" s="297">
        <v>46160</v>
      </c>
      <c r="BG42" s="297">
        <v>46167</v>
      </c>
      <c r="BH42" s="298" t="s">
        <v>224</v>
      </c>
      <c r="BI42" s="297"/>
    </row>
    <row r="43" spans="1:67" ht="15" customHeight="1">
      <c r="A43" s="290">
        <v>127</v>
      </c>
      <c r="B43" s="291">
        <v>46141.881620370397</v>
      </c>
      <c r="C43" s="291">
        <v>46141.898564814801</v>
      </c>
      <c r="D43" s="290" t="s">
        <v>124</v>
      </c>
      <c r="E43" s="290" t="s">
        <v>125</v>
      </c>
      <c r="F43" s="290" t="s">
        <v>2190</v>
      </c>
      <c r="G43" s="290" t="s">
        <v>2191</v>
      </c>
      <c r="H43" s="290" t="s">
        <v>342</v>
      </c>
      <c r="I43" s="290" t="s">
        <v>636</v>
      </c>
      <c r="J43" s="290" t="s">
        <v>2192</v>
      </c>
      <c r="K43" s="290"/>
      <c r="L43" s="291" t="s">
        <v>161</v>
      </c>
      <c r="M43" s="291">
        <v>46172</v>
      </c>
      <c r="N43" s="290" t="s">
        <v>57</v>
      </c>
      <c r="O43" s="290">
        <v>0</v>
      </c>
      <c r="P43" s="290"/>
      <c r="Q43" s="292" t="s">
        <v>79</v>
      </c>
      <c r="R43" s="290" t="s">
        <v>2193</v>
      </c>
      <c r="S43" s="290"/>
      <c r="T43" s="290" t="s">
        <v>2194</v>
      </c>
      <c r="U43" s="290" t="s">
        <v>130</v>
      </c>
      <c r="V43" s="290" t="s">
        <v>63</v>
      </c>
      <c r="W43" s="290" t="s">
        <v>188</v>
      </c>
      <c r="X43" s="290" t="s">
        <v>149</v>
      </c>
      <c r="Y43" s="290" t="s">
        <v>2195</v>
      </c>
      <c r="Z43" s="290">
        <v>0</v>
      </c>
      <c r="AA43" s="290"/>
      <c r="AB43" s="293" t="s">
        <v>133</v>
      </c>
      <c r="AC43" s="293" t="s">
        <v>68</v>
      </c>
      <c r="AD43" s="297">
        <v>46142</v>
      </c>
      <c r="AE43" s="293" t="s">
        <v>3</v>
      </c>
      <c r="AF43" s="297">
        <v>46149</v>
      </c>
      <c r="AG43" s="297">
        <v>46149</v>
      </c>
      <c r="AH43" s="293">
        <v>1.5</v>
      </c>
      <c r="AI43" s="294"/>
      <c r="AJ43" s="295">
        <v>0</v>
      </c>
      <c r="AK43" s="296" t="s">
        <v>2196</v>
      </c>
      <c r="AL43" s="295" t="s">
        <v>711</v>
      </c>
      <c r="AM43" s="293" t="s">
        <v>1868</v>
      </c>
      <c r="AN43" s="293" t="s">
        <v>188</v>
      </c>
      <c r="AO43" s="293" t="s">
        <v>403</v>
      </c>
      <c r="AP43" s="293" t="s">
        <v>2197</v>
      </c>
      <c r="AQ43" s="349"/>
      <c r="AR43" s="349"/>
      <c r="AS43" s="349"/>
      <c r="AT43" s="359" t="str">
        <f t="shared" si="0"/>
        <v/>
      </c>
      <c r="AU43" s="349"/>
      <c r="AV43" s="349"/>
      <c r="AW43" s="349"/>
      <c r="AX43" s="349"/>
      <c r="AY43" s="349"/>
      <c r="AZ43" s="349"/>
      <c r="BA43" s="349"/>
      <c r="BB43" s="297" t="s">
        <v>224</v>
      </c>
      <c r="BC43" s="293"/>
      <c r="BD43" s="293" t="s">
        <v>1919</v>
      </c>
      <c r="BE43" s="293"/>
      <c r="BF43" s="297">
        <v>46161</v>
      </c>
      <c r="BG43" s="297">
        <v>46203</v>
      </c>
      <c r="BH43" s="298" t="s">
        <v>224</v>
      </c>
      <c r="BI43" s="297"/>
    </row>
    <row r="44" spans="1:67" ht="15" customHeight="1">
      <c r="A44" s="290">
        <v>84</v>
      </c>
      <c r="B44" s="291">
        <v>46106.080833333297</v>
      </c>
      <c r="C44" s="291">
        <v>46106.090543981503</v>
      </c>
      <c r="D44" s="290" t="s">
        <v>588</v>
      </c>
      <c r="E44" s="290" t="s">
        <v>589</v>
      </c>
      <c r="F44" s="290" t="s">
        <v>2198</v>
      </c>
      <c r="G44" s="290" t="s">
        <v>2199</v>
      </c>
      <c r="H44" s="290" t="s">
        <v>158</v>
      </c>
      <c r="I44" s="290" t="s">
        <v>241</v>
      </c>
      <c r="J44" s="290" t="s">
        <v>2200</v>
      </c>
      <c r="K44" s="290"/>
      <c r="L44" s="291" t="s">
        <v>1643</v>
      </c>
      <c r="M44" s="291">
        <v>46127</v>
      </c>
      <c r="N44" s="290" t="s">
        <v>57</v>
      </c>
      <c r="O44" s="290">
        <v>0</v>
      </c>
      <c r="P44" s="290"/>
      <c r="Q44" s="292" t="s">
        <v>79</v>
      </c>
      <c r="R44" s="290" t="s">
        <v>2201</v>
      </c>
      <c r="S44" s="290"/>
      <c r="T44" s="290" t="s">
        <v>347</v>
      </c>
      <c r="U44" s="290" t="s">
        <v>130</v>
      </c>
      <c r="V44" s="290" t="s">
        <v>581</v>
      </c>
      <c r="W44" s="290" t="s">
        <v>188</v>
      </c>
      <c r="X44" s="290" t="s">
        <v>166</v>
      </c>
      <c r="Y44" s="290" t="s">
        <v>2202</v>
      </c>
      <c r="Z44" s="290" t="s">
        <v>2203</v>
      </c>
      <c r="AA44" s="290"/>
      <c r="AB44" s="293" t="s">
        <v>1701</v>
      </c>
      <c r="AC44" s="293" t="s">
        <v>1649</v>
      </c>
      <c r="AD44" s="297"/>
      <c r="AE44" s="293" t="s">
        <v>2145</v>
      </c>
      <c r="AF44" s="297"/>
      <c r="AG44" s="297"/>
      <c r="AH44" s="293">
        <v>1</v>
      </c>
      <c r="AI44" s="294"/>
      <c r="AJ44" s="295">
        <v>2500</v>
      </c>
      <c r="AK44" s="296" t="s">
        <v>2204</v>
      </c>
      <c r="AL44" s="295" t="s">
        <v>1703</v>
      </c>
      <c r="AM44" s="293" t="s">
        <v>1651</v>
      </c>
      <c r="AN44" s="293"/>
      <c r="AO44" s="293" t="s">
        <v>403</v>
      </c>
      <c r="AP44" s="293"/>
      <c r="AQ44" s="349"/>
      <c r="AR44" s="349"/>
      <c r="AS44" s="349"/>
      <c r="AT44" s="359" t="str">
        <f t="shared" si="0"/>
        <v/>
      </c>
      <c r="AU44" s="349"/>
      <c r="AV44" s="349"/>
      <c r="AW44" s="349"/>
      <c r="AX44" s="349"/>
      <c r="AY44" s="349"/>
      <c r="AZ44" s="349"/>
      <c r="BA44" s="349"/>
      <c r="BB44" s="297" t="s">
        <v>1652</v>
      </c>
      <c r="BC44" s="293" t="s">
        <v>1653</v>
      </c>
      <c r="BD44" s="293" t="s">
        <v>2205</v>
      </c>
      <c r="BE44" s="293"/>
      <c r="BF44" s="297">
        <v>46162</v>
      </c>
      <c r="BG44" s="297">
        <v>46185</v>
      </c>
      <c r="BH44" s="298" t="s">
        <v>1652</v>
      </c>
      <c r="BI44" s="297"/>
    </row>
    <row r="45" spans="1:67" ht="15" customHeight="1">
      <c r="A45" s="290">
        <v>102</v>
      </c>
      <c r="B45" s="291">
        <v>46127.484085648102</v>
      </c>
      <c r="C45" s="291">
        <v>46127.664236111101</v>
      </c>
      <c r="D45" s="290" t="s">
        <v>179</v>
      </c>
      <c r="E45" s="290" t="s">
        <v>180</v>
      </c>
      <c r="F45" s="290" t="s">
        <v>2206</v>
      </c>
      <c r="G45" s="290" t="s">
        <v>2207</v>
      </c>
      <c r="H45" s="290" t="s">
        <v>75</v>
      </c>
      <c r="I45" s="290" t="s">
        <v>76</v>
      </c>
      <c r="J45" s="290" t="s">
        <v>2208</v>
      </c>
      <c r="K45" s="290"/>
      <c r="L45" s="291" t="s">
        <v>184</v>
      </c>
      <c r="M45" s="291">
        <v>46204</v>
      </c>
      <c r="N45" s="290" t="s">
        <v>57</v>
      </c>
      <c r="O45" s="290">
        <v>0</v>
      </c>
      <c r="P45" s="290"/>
      <c r="Q45" s="292" t="s">
        <v>79</v>
      </c>
      <c r="R45" s="290" t="s">
        <v>2209</v>
      </c>
      <c r="S45" s="290"/>
      <c r="T45" s="290" t="s">
        <v>2210</v>
      </c>
      <c r="U45" s="290" t="s">
        <v>130</v>
      </c>
      <c r="V45" s="290" t="s">
        <v>63</v>
      </c>
      <c r="W45" s="290" t="s">
        <v>188</v>
      </c>
      <c r="X45" s="290" t="s">
        <v>149</v>
      </c>
      <c r="Y45" s="290" t="s">
        <v>2211</v>
      </c>
      <c r="Z45" s="290" t="s">
        <v>2212</v>
      </c>
      <c r="AA45" s="290"/>
      <c r="AB45" s="250" t="s">
        <v>694</v>
      </c>
      <c r="AC45" s="293" t="s">
        <v>1649</v>
      </c>
      <c r="AD45" s="297"/>
      <c r="AE45" s="293" t="s">
        <v>3</v>
      </c>
      <c r="AF45" s="297"/>
      <c r="AG45" s="297">
        <v>46135</v>
      </c>
      <c r="AH45" s="293">
        <v>1</v>
      </c>
      <c r="AI45" s="294"/>
      <c r="AJ45" s="295">
        <v>0</v>
      </c>
      <c r="AK45" s="296" t="s">
        <v>2213</v>
      </c>
      <c r="AL45" s="295" t="s">
        <v>1867</v>
      </c>
      <c r="AM45" s="293" t="s">
        <v>1974</v>
      </c>
      <c r="AN45" s="293"/>
      <c r="AO45" s="293" t="s">
        <v>403</v>
      </c>
      <c r="AP45" s="293"/>
      <c r="AQ45" s="349"/>
      <c r="AR45" s="349"/>
      <c r="AS45" s="349"/>
      <c r="AT45" s="359" t="str">
        <f t="shared" si="0"/>
        <v/>
      </c>
      <c r="AU45" s="349"/>
      <c r="AV45" s="349"/>
      <c r="AW45" s="349"/>
      <c r="AX45" s="349"/>
      <c r="AY45" s="349"/>
      <c r="AZ45" s="349"/>
      <c r="BA45" s="349"/>
      <c r="BB45" s="297" t="s">
        <v>224</v>
      </c>
      <c r="BC45" s="293"/>
      <c r="BD45" s="293" t="s">
        <v>1919</v>
      </c>
      <c r="BE45" s="293"/>
      <c r="BF45" s="297">
        <v>46174</v>
      </c>
      <c r="BG45" s="297">
        <v>46202</v>
      </c>
      <c r="BH45" s="298" t="s">
        <v>224</v>
      </c>
      <c r="BI45" s="297"/>
    </row>
    <row r="46" spans="1:67" ht="15" customHeight="1">
      <c r="A46" s="290">
        <v>109</v>
      </c>
      <c r="B46" s="291">
        <v>46133.621030092596</v>
      </c>
      <c r="C46" s="291">
        <v>46133.642569444397</v>
      </c>
      <c r="D46" s="290" t="s">
        <v>237</v>
      </c>
      <c r="E46" s="290" t="s">
        <v>238</v>
      </c>
      <c r="F46" s="290" t="s">
        <v>2214</v>
      </c>
      <c r="G46" s="290" t="s">
        <v>2215</v>
      </c>
      <c r="H46" s="290" t="s">
        <v>158</v>
      </c>
      <c r="I46" s="290" t="s">
        <v>241</v>
      </c>
      <c r="J46" s="290" t="s">
        <v>2216</v>
      </c>
      <c r="K46" s="290"/>
      <c r="L46" s="291" t="s">
        <v>199</v>
      </c>
      <c r="M46" s="291">
        <v>46157</v>
      </c>
      <c r="N46" s="290" t="s">
        <v>57</v>
      </c>
      <c r="O46" s="290">
        <v>0</v>
      </c>
      <c r="P46" s="290"/>
      <c r="Q46" s="292" t="s">
        <v>79</v>
      </c>
      <c r="R46" s="290" t="s">
        <v>2217</v>
      </c>
      <c r="S46" s="290"/>
      <c r="T46" s="290" t="s">
        <v>2218</v>
      </c>
      <c r="U46" s="290" t="s">
        <v>130</v>
      </c>
      <c r="V46" s="290" t="s">
        <v>248</v>
      </c>
      <c r="W46" s="290" t="s">
        <v>188</v>
      </c>
      <c r="X46" s="290" t="s">
        <v>166</v>
      </c>
      <c r="Y46" s="290" t="s">
        <v>2219</v>
      </c>
      <c r="Z46" s="290">
        <v>0</v>
      </c>
      <c r="AA46" s="290"/>
      <c r="AB46" s="293" t="s">
        <v>1701</v>
      </c>
      <c r="AC46" s="293" t="s">
        <v>68</v>
      </c>
      <c r="AD46" s="297">
        <v>46135</v>
      </c>
      <c r="AE46" s="293" t="s">
        <v>3</v>
      </c>
      <c r="AF46" s="297"/>
      <c r="AG46" s="297"/>
      <c r="AH46" s="293">
        <v>1</v>
      </c>
      <c r="AI46" s="294">
        <v>0</v>
      </c>
      <c r="AJ46" s="295">
        <v>0</v>
      </c>
      <c r="AK46" s="296" t="s">
        <v>2220</v>
      </c>
      <c r="AL46" s="295" t="s">
        <v>1867</v>
      </c>
      <c r="AM46" s="293" t="s">
        <v>1651</v>
      </c>
      <c r="AN46" s="293" t="s">
        <v>83</v>
      </c>
      <c r="AO46" s="293" t="s">
        <v>403</v>
      </c>
      <c r="AP46" s="293" t="s">
        <v>2221</v>
      </c>
      <c r="AQ46" s="349"/>
      <c r="AR46" s="349"/>
      <c r="AS46" s="349"/>
      <c r="AT46" s="360" t="str">
        <f t="shared" si="0"/>
        <v/>
      </c>
      <c r="AU46" s="349"/>
      <c r="AV46" s="349"/>
      <c r="AW46" s="349"/>
      <c r="AX46" s="349"/>
      <c r="AY46" s="349"/>
      <c r="AZ46" s="349"/>
      <c r="BA46" s="349"/>
      <c r="BB46" s="297" t="s">
        <v>1652</v>
      </c>
      <c r="BC46" s="293" t="s">
        <v>2222</v>
      </c>
      <c r="BD46" s="293" t="s">
        <v>1919</v>
      </c>
      <c r="BE46" s="293"/>
      <c r="BF46" s="297">
        <v>46174</v>
      </c>
      <c r="BG46" s="297">
        <v>46185</v>
      </c>
      <c r="BH46" s="298" t="s">
        <v>224</v>
      </c>
      <c r="BI46" s="297"/>
    </row>
    <row r="47" spans="1:67" ht="15" customHeight="1">
      <c r="A47" s="290">
        <v>110</v>
      </c>
      <c r="B47" s="291">
        <v>46133.981412036999</v>
      </c>
      <c r="C47" s="291">
        <v>46133.989837963003</v>
      </c>
      <c r="D47" s="290" t="s">
        <v>237</v>
      </c>
      <c r="E47" s="290" t="s">
        <v>238</v>
      </c>
      <c r="F47" s="290" t="s">
        <v>2223</v>
      </c>
      <c r="G47" s="290" t="s">
        <v>2224</v>
      </c>
      <c r="H47" s="290" t="s">
        <v>158</v>
      </c>
      <c r="I47" s="290" t="s">
        <v>241</v>
      </c>
      <c r="J47" s="290" t="s">
        <v>454</v>
      </c>
      <c r="K47" s="290"/>
      <c r="L47" s="291" t="s">
        <v>199</v>
      </c>
      <c r="M47" s="291">
        <v>46157</v>
      </c>
      <c r="N47" s="290" t="s">
        <v>57</v>
      </c>
      <c r="O47" s="290">
        <v>0</v>
      </c>
      <c r="P47" s="290"/>
      <c r="Q47" s="292" t="s">
        <v>79</v>
      </c>
      <c r="R47" s="290" t="s">
        <v>2224</v>
      </c>
      <c r="S47" s="290"/>
      <c r="T47" s="290" t="s">
        <v>2225</v>
      </c>
      <c r="U47" s="290" t="s">
        <v>130</v>
      </c>
      <c r="V47" s="290" t="s">
        <v>248</v>
      </c>
      <c r="W47" s="290" t="s">
        <v>188</v>
      </c>
      <c r="X47" s="290" t="s">
        <v>166</v>
      </c>
      <c r="Y47" s="290" t="s">
        <v>2226</v>
      </c>
      <c r="Z47" s="290">
        <v>0</v>
      </c>
      <c r="AA47" s="290"/>
      <c r="AB47" s="293" t="s">
        <v>1701</v>
      </c>
      <c r="AC47" s="293" t="s">
        <v>68</v>
      </c>
      <c r="AD47" s="297">
        <v>46135</v>
      </c>
      <c r="AE47" s="293" t="s">
        <v>3</v>
      </c>
      <c r="AF47" s="297"/>
      <c r="AG47" s="297"/>
      <c r="AH47" s="293">
        <v>1</v>
      </c>
      <c r="AI47" s="294">
        <v>0</v>
      </c>
      <c r="AJ47" s="295">
        <v>0</v>
      </c>
      <c r="AK47" s="296" t="s">
        <v>2227</v>
      </c>
      <c r="AL47" s="295" t="s">
        <v>1867</v>
      </c>
      <c r="AM47" s="293" t="s">
        <v>1651</v>
      </c>
      <c r="AN47" s="293" t="s">
        <v>83</v>
      </c>
      <c r="AO47" s="293" t="s">
        <v>403</v>
      </c>
      <c r="AP47" s="293" t="s">
        <v>2221</v>
      </c>
      <c r="AQ47" s="349"/>
      <c r="AR47" s="349"/>
      <c r="AS47" s="349"/>
      <c r="AT47" s="360" t="str">
        <f t="shared" si="0"/>
        <v/>
      </c>
      <c r="AU47" s="349"/>
      <c r="AV47" s="349"/>
      <c r="AW47" s="349"/>
      <c r="AX47" s="349"/>
      <c r="AY47" s="349"/>
      <c r="AZ47" s="349"/>
      <c r="BA47" s="349"/>
      <c r="BB47" s="297" t="s">
        <v>1652</v>
      </c>
      <c r="BC47" s="293" t="s">
        <v>2222</v>
      </c>
      <c r="BD47" s="293" t="s">
        <v>1919</v>
      </c>
      <c r="BE47" s="293"/>
      <c r="BF47" s="297">
        <v>46188</v>
      </c>
      <c r="BG47" s="297">
        <v>46206</v>
      </c>
      <c r="BH47" s="298" t="s">
        <v>224</v>
      </c>
      <c r="BI47" s="297"/>
    </row>
    <row r="48" spans="1:67" ht="15" customHeight="1">
      <c r="A48" s="290">
        <v>112</v>
      </c>
      <c r="B48" s="291">
        <v>46135.002974536997</v>
      </c>
      <c r="C48" s="291">
        <v>46135.0083101852</v>
      </c>
      <c r="D48" s="290" t="s">
        <v>237</v>
      </c>
      <c r="E48" s="290" t="s">
        <v>238</v>
      </c>
      <c r="F48" s="290" t="s">
        <v>2228</v>
      </c>
      <c r="G48" s="290" t="s">
        <v>2229</v>
      </c>
      <c r="H48" s="290" t="s">
        <v>214</v>
      </c>
      <c r="I48" s="290" t="s">
        <v>241</v>
      </c>
      <c r="J48" s="290" t="s">
        <v>485</v>
      </c>
      <c r="K48" s="290"/>
      <c r="L48" s="291" t="s">
        <v>199</v>
      </c>
      <c r="M48" s="291">
        <v>46157</v>
      </c>
      <c r="N48" s="290" t="s">
        <v>57</v>
      </c>
      <c r="O48" s="290">
        <v>0</v>
      </c>
      <c r="P48" s="290"/>
      <c r="Q48" s="292" t="s">
        <v>79</v>
      </c>
      <c r="R48" s="290" t="s">
        <v>2229</v>
      </c>
      <c r="S48" s="290"/>
      <c r="T48" s="290" t="s">
        <v>2229</v>
      </c>
      <c r="U48" s="290" t="s">
        <v>130</v>
      </c>
      <c r="V48" s="290" t="s">
        <v>63</v>
      </c>
      <c r="W48" s="290" t="s">
        <v>188</v>
      </c>
      <c r="X48" s="290" t="s">
        <v>166</v>
      </c>
      <c r="Y48" s="290" t="s">
        <v>2230</v>
      </c>
      <c r="Z48" s="290" t="s">
        <v>2231</v>
      </c>
      <c r="AA48" s="290"/>
      <c r="AB48" s="293" t="s">
        <v>1701</v>
      </c>
      <c r="AC48" s="293" t="s">
        <v>68</v>
      </c>
      <c r="AD48" s="297">
        <v>46142</v>
      </c>
      <c r="AE48" s="293" t="s">
        <v>3</v>
      </c>
      <c r="AF48" s="297"/>
      <c r="AG48" s="297"/>
      <c r="AH48" s="293" t="s">
        <v>2232</v>
      </c>
      <c r="AI48" s="294" t="s">
        <v>2233</v>
      </c>
      <c r="AJ48" s="295">
        <v>0</v>
      </c>
      <c r="AK48" s="296" t="s">
        <v>2234</v>
      </c>
      <c r="AL48" s="295" t="s">
        <v>1867</v>
      </c>
      <c r="AM48" s="293" t="s">
        <v>1651</v>
      </c>
      <c r="AN48" s="293" t="s">
        <v>83</v>
      </c>
      <c r="AO48" s="293" t="s">
        <v>403</v>
      </c>
      <c r="AP48" s="293"/>
      <c r="AQ48" s="349"/>
      <c r="AR48" s="349"/>
      <c r="AS48" s="349"/>
      <c r="AT48" s="360" t="str">
        <f t="shared" si="0"/>
        <v/>
      </c>
      <c r="AU48" s="349"/>
      <c r="AV48" s="349"/>
      <c r="AW48" s="349"/>
      <c r="AX48" s="349"/>
      <c r="AY48" s="349"/>
      <c r="AZ48" s="349"/>
      <c r="BA48" s="349"/>
      <c r="BB48" s="297" t="s">
        <v>1652</v>
      </c>
      <c r="BC48" s="293" t="s">
        <v>2222</v>
      </c>
      <c r="BD48" s="293" t="s">
        <v>1919</v>
      </c>
      <c r="BE48" s="293"/>
      <c r="BF48" s="297">
        <v>46174</v>
      </c>
      <c r="BG48" s="297">
        <v>46185</v>
      </c>
      <c r="BH48" s="298" t="s">
        <v>224</v>
      </c>
      <c r="BI48" s="297"/>
    </row>
    <row r="49" spans="1:61" ht="44.25" customHeight="1">
      <c r="A49" s="290">
        <v>167</v>
      </c>
      <c r="B49" s="291">
        <v>46161.420833333301</v>
      </c>
      <c r="C49" s="291">
        <v>46161.441134259301</v>
      </c>
      <c r="D49" s="290" t="s">
        <v>1906</v>
      </c>
      <c r="E49" s="290" t="s">
        <v>1907</v>
      </c>
      <c r="F49" s="290" t="s">
        <v>2235</v>
      </c>
      <c r="G49" s="290" t="s">
        <v>2236</v>
      </c>
      <c r="H49" s="290" t="s">
        <v>158</v>
      </c>
      <c r="I49" s="290" t="s">
        <v>241</v>
      </c>
      <c r="J49" s="290" t="s">
        <v>485</v>
      </c>
      <c r="K49" s="290" t="s">
        <v>2237</v>
      </c>
      <c r="L49" s="291" t="s">
        <v>1912</v>
      </c>
      <c r="M49" s="291">
        <v>46164</v>
      </c>
      <c r="N49" s="290" t="s">
        <v>57</v>
      </c>
      <c r="O49" s="290">
        <v>0</v>
      </c>
      <c r="P49" s="290">
        <v>0</v>
      </c>
      <c r="Q49" s="292" t="s">
        <v>79</v>
      </c>
      <c r="R49" s="290" t="s">
        <v>2238</v>
      </c>
      <c r="S49" s="290">
        <v>0</v>
      </c>
      <c r="T49" s="290" t="s">
        <v>2239</v>
      </c>
      <c r="U49" s="290" t="s">
        <v>130</v>
      </c>
      <c r="V49" s="290" t="s">
        <v>63</v>
      </c>
      <c r="W49" s="290" t="s">
        <v>57</v>
      </c>
      <c r="X49" s="290" t="s">
        <v>166</v>
      </c>
      <c r="Y49" s="290" t="s">
        <v>2240</v>
      </c>
      <c r="Z49" s="290" t="s">
        <v>2241</v>
      </c>
      <c r="AA49" s="290"/>
      <c r="AB49" s="250" t="s">
        <v>694</v>
      </c>
      <c r="AC49" s="293" t="s">
        <v>68</v>
      </c>
      <c r="AD49" s="297">
        <v>46163</v>
      </c>
      <c r="AE49" s="293" t="s">
        <v>4</v>
      </c>
      <c r="AF49" s="297">
        <v>46162</v>
      </c>
      <c r="AG49" s="297">
        <v>46164</v>
      </c>
      <c r="AH49" s="293">
        <v>0.5</v>
      </c>
      <c r="AI49" s="294"/>
      <c r="AJ49" s="295"/>
      <c r="AK49" s="296"/>
      <c r="AL49" s="295" t="s">
        <v>711</v>
      </c>
      <c r="AM49" s="293" t="s">
        <v>1868</v>
      </c>
      <c r="AN49" s="293" t="s">
        <v>83</v>
      </c>
      <c r="AO49" s="293" t="s">
        <v>403</v>
      </c>
      <c r="AP49" s="293"/>
      <c r="AQ49" s="349"/>
      <c r="AR49" s="349"/>
      <c r="AS49" s="349"/>
      <c r="AT49" s="360" t="str">
        <f t="shared" si="0"/>
        <v/>
      </c>
      <c r="AU49" s="349"/>
      <c r="AV49" s="349"/>
      <c r="AW49" s="349"/>
      <c r="AX49" s="349"/>
      <c r="AY49" s="349"/>
      <c r="AZ49" s="349"/>
      <c r="BA49" s="349"/>
      <c r="BB49" s="297" t="s">
        <v>224</v>
      </c>
      <c r="BC49" s="293"/>
      <c r="BD49" s="293" t="s">
        <v>1919</v>
      </c>
      <c r="BE49" s="293"/>
      <c r="BF49" s="297">
        <v>46174</v>
      </c>
      <c r="BG49" s="297">
        <v>46185</v>
      </c>
      <c r="BH49" s="298" t="s">
        <v>224</v>
      </c>
      <c r="BI49" s="297"/>
    </row>
    <row r="50" spans="1:61" ht="30.75" customHeight="1">
      <c r="A50" s="308">
        <v>93</v>
      </c>
      <c r="B50" s="291">
        <v>46118.532442129603</v>
      </c>
      <c r="C50" s="291">
        <v>46118.569224537001</v>
      </c>
      <c r="D50" s="290" t="s">
        <v>1752</v>
      </c>
      <c r="E50" s="290" t="s">
        <v>1181</v>
      </c>
      <c r="F50" s="290" t="s">
        <v>2242</v>
      </c>
      <c r="G50" s="290" t="s">
        <v>2243</v>
      </c>
      <c r="H50" s="290" t="s">
        <v>158</v>
      </c>
      <c r="I50" s="290" t="s">
        <v>280</v>
      </c>
      <c r="J50" s="290" t="s">
        <v>2244</v>
      </c>
      <c r="K50" s="290"/>
      <c r="L50" s="291" t="s">
        <v>258</v>
      </c>
      <c r="M50" s="291">
        <v>46188</v>
      </c>
      <c r="N50" s="290" t="s">
        <v>57</v>
      </c>
      <c r="O50" s="290">
        <v>0</v>
      </c>
      <c r="P50" s="290"/>
      <c r="Q50" s="292" t="s">
        <v>79</v>
      </c>
      <c r="R50" s="290" t="s">
        <v>2245</v>
      </c>
      <c r="S50" s="290"/>
      <c r="T50" s="290" t="s">
        <v>2246</v>
      </c>
      <c r="U50" s="290" t="s">
        <v>130</v>
      </c>
      <c r="V50" s="290" t="s">
        <v>977</v>
      </c>
      <c r="W50" s="290" t="s">
        <v>188</v>
      </c>
      <c r="X50" s="290" t="s">
        <v>166</v>
      </c>
      <c r="Y50" s="290" t="s">
        <v>2247</v>
      </c>
      <c r="Z50" s="290">
        <v>0</v>
      </c>
      <c r="AA50" s="290"/>
      <c r="AB50" s="250" t="s">
        <v>390</v>
      </c>
      <c r="AC50" s="293" t="s">
        <v>205</v>
      </c>
      <c r="AD50" s="297"/>
      <c r="AE50" s="293" t="s">
        <v>1573</v>
      </c>
      <c r="AF50" s="297"/>
      <c r="AG50" s="297"/>
      <c r="AH50" s="293">
        <v>1.5</v>
      </c>
      <c r="AI50" s="294">
        <v>0</v>
      </c>
      <c r="AJ50" s="295">
        <v>0</v>
      </c>
      <c r="AK50" s="296" t="s">
        <v>2248</v>
      </c>
      <c r="AL50" s="295" t="s">
        <v>1867</v>
      </c>
      <c r="AM50" s="293"/>
      <c r="AN50" s="293"/>
      <c r="AO50" s="293" t="s">
        <v>403</v>
      </c>
      <c r="AP50" s="293"/>
      <c r="AQ50" s="349"/>
      <c r="AR50" s="349"/>
      <c r="AS50" s="349"/>
      <c r="AT50" s="360" t="str">
        <f t="shared" si="0"/>
        <v/>
      </c>
      <c r="AU50" s="349"/>
      <c r="AV50" s="349"/>
      <c r="AW50" s="349"/>
      <c r="AX50" s="349"/>
      <c r="AY50" s="349"/>
      <c r="AZ50" s="349"/>
      <c r="BA50" s="349"/>
      <c r="BB50" s="297" t="s">
        <v>224</v>
      </c>
      <c r="BC50" s="293"/>
      <c r="BD50" s="293" t="s">
        <v>1919</v>
      </c>
      <c r="BE50" s="293"/>
      <c r="BF50" s="297">
        <v>46266</v>
      </c>
      <c r="BG50" s="297">
        <v>46325</v>
      </c>
      <c r="BH50" s="298" t="s">
        <v>224</v>
      </c>
      <c r="BI50" s="297"/>
    </row>
    <row r="51" spans="1:61" ht="42" customHeight="1">
      <c r="A51" s="290">
        <v>137</v>
      </c>
      <c r="B51" s="291">
        <v>46148.786018518498</v>
      </c>
      <c r="C51" s="291">
        <v>46148.8413657407</v>
      </c>
      <c r="D51" s="290" t="s">
        <v>2249</v>
      </c>
      <c r="E51" s="290" t="s">
        <v>2250</v>
      </c>
      <c r="F51" s="290" t="s">
        <v>2251</v>
      </c>
      <c r="G51" s="290" t="s">
        <v>2252</v>
      </c>
      <c r="H51" s="290" t="s">
        <v>342</v>
      </c>
      <c r="I51" s="290" t="s">
        <v>280</v>
      </c>
      <c r="J51" s="290" t="s">
        <v>2253</v>
      </c>
      <c r="K51" s="290" t="s">
        <v>2254</v>
      </c>
      <c r="L51" s="291" t="s">
        <v>258</v>
      </c>
      <c r="M51" s="291">
        <v>46174</v>
      </c>
      <c r="N51" s="290" t="s">
        <v>57</v>
      </c>
      <c r="O51" s="290">
        <v>0</v>
      </c>
      <c r="P51" s="290"/>
      <c r="Q51" s="292" t="s">
        <v>79</v>
      </c>
      <c r="R51" s="290" t="s">
        <v>2255</v>
      </c>
      <c r="S51" s="290"/>
      <c r="T51" s="290" t="s">
        <v>2256</v>
      </c>
      <c r="U51" s="290" t="s">
        <v>130</v>
      </c>
      <c r="V51" s="290" t="s">
        <v>63</v>
      </c>
      <c r="W51" s="290" t="s">
        <v>188</v>
      </c>
      <c r="X51" s="290" t="s">
        <v>166</v>
      </c>
      <c r="Y51" s="290" t="s">
        <v>2257</v>
      </c>
      <c r="Z51" s="290" t="s">
        <v>2258</v>
      </c>
      <c r="AA51" s="290"/>
      <c r="AB51" s="250" t="s">
        <v>1648</v>
      </c>
      <c r="AC51" s="293" t="s">
        <v>68</v>
      </c>
      <c r="AD51" s="297">
        <v>46156</v>
      </c>
      <c r="AE51" s="293" t="s">
        <v>3</v>
      </c>
      <c r="AF51" s="297">
        <v>46160</v>
      </c>
      <c r="AG51" s="297">
        <v>46160</v>
      </c>
      <c r="AH51" s="293">
        <v>0.5</v>
      </c>
      <c r="AI51" s="294">
        <v>0</v>
      </c>
      <c r="AJ51" s="295">
        <v>0</v>
      </c>
      <c r="AK51" s="296" t="s">
        <v>2259</v>
      </c>
      <c r="AL51" s="295" t="s">
        <v>1867</v>
      </c>
      <c r="AM51" s="293" t="s">
        <v>1665</v>
      </c>
      <c r="AN51" s="293" t="s">
        <v>57</v>
      </c>
      <c r="AO51" s="293" t="s">
        <v>403</v>
      </c>
      <c r="AP51" s="293" t="s">
        <v>2260</v>
      </c>
      <c r="AQ51" s="349"/>
      <c r="AR51" s="349"/>
      <c r="AS51" s="349"/>
      <c r="AT51" s="360" t="str">
        <f t="shared" si="0"/>
        <v/>
      </c>
      <c r="AU51" s="349"/>
      <c r="AV51" s="349"/>
      <c r="AW51" s="349"/>
      <c r="AX51" s="349"/>
      <c r="AY51" s="349"/>
      <c r="AZ51" s="349"/>
      <c r="BA51" s="349"/>
      <c r="BB51" s="297" t="s">
        <v>224</v>
      </c>
      <c r="BC51" s="293"/>
      <c r="BD51" s="293" t="s">
        <v>1919</v>
      </c>
      <c r="BE51" s="293"/>
      <c r="BF51" s="297">
        <v>46174</v>
      </c>
      <c r="BG51" s="297">
        <v>46199</v>
      </c>
      <c r="BH51" s="298" t="s">
        <v>83</v>
      </c>
      <c r="BI51" s="297"/>
    </row>
    <row r="52" spans="1:61" ht="47.25" customHeight="1">
      <c r="A52" s="290">
        <v>72</v>
      </c>
      <c r="B52" s="291">
        <v>46097.4821296296</v>
      </c>
      <c r="C52" s="291">
        <v>46097.537592592598</v>
      </c>
      <c r="D52" s="290" t="s">
        <v>2261</v>
      </c>
      <c r="E52" s="290" t="s">
        <v>2262</v>
      </c>
      <c r="F52" s="290" t="s">
        <v>2263</v>
      </c>
      <c r="G52" s="290" t="s">
        <v>2264</v>
      </c>
      <c r="H52" s="290" t="s">
        <v>75</v>
      </c>
      <c r="I52" s="290" t="s">
        <v>76</v>
      </c>
      <c r="J52" s="290" t="s">
        <v>2265</v>
      </c>
      <c r="K52" s="290"/>
      <c r="L52" s="291" t="s">
        <v>184</v>
      </c>
      <c r="M52" s="291">
        <v>46142</v>
      </c>
      <c r="N52" s="290" t="s">
        <v>57</v>
      </c>
      <c r="O52" s="290">
        <v>0</v>
      </c>
      <c r="P52" s="290"/>
      <c r="Q52" s="292" t="s">
        <v>79</v>
      </c>
      <c r="R52" s="290" t="s">
        <v>2266</v>
      </c>
      <c r="S52" s="290"/>
      <c r="T52" s="290" t="s">
        <v>2267</v>
      </c>
      <c r="U52" s="290" t="s">
        <v>82</v>
      </c>
      <c r="V52" s="290" t="s">
        <v>941</v>
      </c>
      <c r="W52" s="290" t="s">
        <v>224</v>
      </c>
      <c r="X52" s="290" t="s">
        <v>84</v>
      </c>
      <c r="Y52" s="290" t="s">
        <v>2268</v>
      </c>
      <c r="Z52" s="290" t="s">
        <v>2269</v>
      </c>
      <c r="AA52" s="290"/>
      <c r="AB52" s="250" t="s">
        <v>2270</v>
      </c>
      <c r="AC52" s="293" t="s">
        <v>2271</v>
      </c>
      <c r="AD52" s="297"/>
      <c r="AE52" s="293" t="s">
        <v>3</v>
      </c>
      <c r="AF52" s="297">
        <v>46128</v>
      </c>
      <c r="AG52" s="297"/>
      <c r="AH52" s="293">
        <v>0.5</v>
      </c>
      <c r="AI52" s="294">
        <v>0</v>
      </c>
      <c r="AJ52" s="295">
        <v>0</v>
      </c>
      <c r="AK52" s="296" t="s">
        <v>2272</v>
      </c>
      <c r="AL52" s="295" t="s">
        <v>1867</v>
      </c>
      <c r="AM52" s="293" t="s">
        <v>1974</v>
      </c>
      <c r="AN52" s="293"/>
      <c r="AO52" s="293" t="s">
        <v>403</v>
      </c>
      <c r="AP52" s="293"/>
      <c r="AQ52" s="349"/>
      <c r="AR52" s="349"/>
      <c r="AS52" s="349"/>
      <c r="AT52" s="360" t="str">
        <f t="shared" si="0"/>
        <v/>
      </c>
      <c r="AU52" s="349"/>
      <c r="AV52" s="349"/>
      <c r="AW52" s="349"/>
      <c r="AX52" s="349"/>
      <c r="AY52" s="349"/>
      <c r="AZ52" s="349"/>
      <c r="BA52" s="349"/>
      <c r="BB52" s="297" t="s">
        <v>224</v>
      </c>
      <c r="BC52" s="293"/>
      <c r="BD52" s="293" t="s">
        <v>1919</v>
      </c>
      <c r="BE52" s="293"/>
      <c r="BF52" s="297">
        <v>46174</v>
      </c>
      <c r="BG52" s="297">
        <v>46185</v>
      </c>
      <c r="BH52" s="298" t="s">
        <v>224</v>
      </c>
      <c r="BI52" s="297"/>
    </row>
    <row r="53" spans="1:61" ht="44.25" customHeight="1">
      <c r="A53" s="290">
        <v>128</v>
      </c>
      <c r="B53" s="291">
        <v>46142.473877314798</v>
      </c>
      <c r="C53" s="291">
        <v>46142.488136574102</v>
      </c>
      <c r="D53" s="290" t="s">
        <v>226</v>
      </c>
      <c r="E53" s="290" t="s">
        <v>227</v>
      </c>
      <c r="F53" s="290" t="s">
        <v>2273</v>
      </c>
      <c r="G53" s="290" t="s">
        <v>2274</v>
      </c>
      <c r="H53" s="290" t="s">
        <v>158</v>
      </c>
      <c r="I53" s="290" t="s">
        <v>91</v>
      </c>
      <c r="J53" s="290" t="s">
        <v>2275</v>
      </c>
      <c r="K53" s="290"/>
      <c r="L53" s="291" t="s">
        <v>258</v>
      </c>
      <c r="M53" s="291">
        <v>46167</v>
      </c>
      <c r="N53" s="290" t="s">
        <v>57</v>
      </c>
      <c r="O53" s="290">
        <v>0</v>
      </c>
      <c r="P53" s="290"/>
      <c r="Q53" s="292" t="s">
        <v>79</v>
      </c>
      <c r="R53" s="290" t="s">
        <v>2276</v>
      </c>
      <c r="S53" s="290"/>
      <c r="T53" s="290" t="s">
        <v>2277</v>
      </c>
      <c r="U53" s="290" t="s">
        <v>82</v>
      </c>
      <c r="V53" s="290" t="s">
        <v>63</v>
      </c>
      <c r="W53" s="290" t="s">
        <v>188</v>
      </c>
      <c r="X53" s="290" t="s">
        <v>166</v>
      </c>
      <c r="Y53" s="290" t="s">
        <v>2278</v>
      </c>
      <c r="Z53" s="290" t="s">
        <v>2279</v>
      </c>
      <c r="AA53" s="290"/>
      <c r="AB53" s="250" t="s">
        <v>97</v>
      </c>
      <c r="AC53" s="293" t="s">
        <v>68</v>
      </c>
      <c r="AD53" s="297">
        <v>46142</v>
      </c>
      <c r="AE53" s="293" t="s">
        <v>3</v>
      </c>
      <c r="AF53" s="297">
        <v>46142</v>
      </c>
      <c r="AG53" s="297">
        <v>46155</v>
      </c>
      <c r="AH53" s="293">
        <v>1</v>
      </c>
      <c r="AI53" s="294"/>
      <c r="AJ53" s="295">
        <v>0</v>
      </c>
      <c r="AK53" s="296"/>
      <c r="AL53" s="295" t="s">
        <v>711</v>
      </c>
      <c r="AM53" s="293" t="s">
        <v>1861</v>
      </c>
      <c r="AN53" s="293" t="s">
        <v>57</v>
      </c>
      <c r="AO53" s="293" t="s">
        <v>403</v>
      </c>
      <c r="AP53" s="293"/>
      <c r="AQ53" s="349"/>
      <c r="AR53" s="349"/>
      <c r="AS53" s="349"/>
      <c r="AT53" s="360" t="str">
        <f t="shared" si="0"/>
        <v/>
      </c>
      <c r="AU53" s="349"/>
      <c r="AV53" s="349"/>
      <c r="AW53" s="349"/>
      <c r="AX53" s="349"/>
      <c r="AY53" s="349"/>
      <c r="AZ53" s="349"/>
      <c r="BA53" s="349"/>
      <c r="BB53" s="297" t="s">
        <v>224</v>
      </c>
      <c r="BC53" s="293"/>
      <c r="BD53" s="293" t="s">
        <v>1919</v>
      </c>
      <c r="BE53" s="293"/>
      <c r="BF53" s="297">
        <v>46189</v>
      </c>
      <c r="BG53" s="297">
        <v>46213</v>
      </c>
      <c r="BH53" s="298" t="s">
        <v>224</v>
      </c>
      <c r="BI53" s="297"/>
    </row>
    <row r="54" spans="1:61" ht="63" customHeight="1">
      <c r="A54" s="290">
        <v>77</v>
      </c>
      <c r="B54" s="291">
        <v>46099.589618055601</v>
      </c>
      <c r="C54" s="291">
        <v>46099.6251388889</v>
      </c>
      <c r="D54" s="290" t="s">
        <v>2280</v>
      </c>
      <c r="E54" s="290" t="s">
        <v>2281</v>
      </c>
      <c r="F54" s="290" t="s">
        <v>2282</v>
      </c>
      <c r="G54" s="290" t="s">
        <v>2283</v>
      </c>
      <c r="H54" s="290" t="s">
        <v>75</v>
      </c>
      <c r="I54" s="290" t="s">
        <v>1657</v>
      </c>
      <c r="J54" s="290" t="s">
        <v>2284</v>
      </c>
      <c r="K54" s="290"/>
      <c r="L54" s="291" t="s">
        <v>184</v>
      </c>
      <c r="M54" s="291">
        <v>46122</v>
      </c>
      <c r="N54" s="290" t="s">
        <v>57</v>
      </c>
      <c r="O54" s="290">
        <v>0</v>
      </c>
      <c r="P54" s="290"/>
      <c r="Q54" s="292" t="s">
        <v>79</v>
      </c>
      <c r="R54" s="290" t="s">
        <v>2285</v>
      </c>
      <c r="S54" s="290"/>
      <c r="T54" s="290" t="s">
        <v>2286</v>
      </c>
      <c r="U54" s="290" t="s">
        <v>130</v>
      </c>
      <c r="V54" s="290" t="s">
        <v>2287</v>
      </c>
      <c r="W54" s="290" t="s">
        <v>188</v>
      </c>
      <c r="X54" s="290" t="s">
        <v>166</v>
      </c>
      <c r="Y54" s="290" t="s">
        <v>2288</v>
      </c>
      <c r="Z54" s="290" t="s">
        <v>2289</v>
      </c>
      <c r="AA54" s="290"/>
      <c r="AB54" s="250" t="s">
        <v>152</v>
      </c>
      <c r="AC54" s="293"/>
      <c r="AD54" s="297"/>
      <c r="AE54" s="293" t="s">
        <v>3</v>
      </c>
      <c r="AF54" s="297"/>
      <c r="AG54" s="297"/>
      <c r="AH54" s="293" t="s">
        <v>927</v>
      </c>
      <c r="AI54" s="294"/>
      <c r="AJ54" s="295"/>
      <c r="AK54" s="296" t="s">
        <v>2290</v>
      </c>
      <c r="AL54" s="295" t="s">
        <v>1867</v>
      </c>
      <c r="AM54" s="293" t="s">
        <v>1665</v>
      </c>
      <c r="AN54" s="293"/>
      <c r="AO54" s="293" t="s">
        <v>403</v>
      </c>
      <c r="AP54" s="293"/>
      <c r="AQ54" s="349"/>
      <c r="AR54" s="349"/>
      <c r="AS54" s="349"/>
      <c r="AT54" s="360" t="str">
        <f t="shared" si="0"/>
        <v/>
      </c>
      <c r="AU54" s="349"/>
      <c r="AV54" s="349"/>
      <c r="AW54" s="349"/>
      <c r="AX54" s="349"/>
      <c r="AY54" s="349"/>
      <c r="AZ54" s="349"/>
      <c r="BA54" s="349"/>
      <c r="BB54" s="297" t="s">
        <v>224</v>
      </c>
      <c r="BC54" s="293"/>
      <c r="BD54" s="293" t="s">
        <v>1919</v>
      </c>
      <c r="BE54" s="293"/>
      <c r="BF54" s="297">
        <v>46148</v>
      </c>
      <c r="BG54" s="297">
        <v>46162</v>
      </c>
      <c r="BH54" s="298" t="s">
        <v>224</v>
      </c>
      <c r="BI54" s="297"/>
    </row>
    <row r="55" spans="1:61" ht="58.5" customHeight="1">
      <c r="A55" s="290">
        <v>159</v>
      </c>
      <c r="B55" s="291">
        <v>46154.579340277778</v>
      </c>
      <c r="C55" s="291">
        <v>46154.656724537002</v>
      </c>
      <c r="D55" s="290" t="s">
        <v>1906</v>
      </c>
      <c r="E55" s="290" t="s">
        <v>1907</v>
      </c>
      <c r="F55" s="290" t="s">
        <v>2291</v>
      </c>
      <c r="G55" s="290" t="s">
        <v>2292</v>
      </c>
      <c r="H55" s="290" t="s">
        <v>342</v>
      </c>
      <c r="I55" s="290" t="s">
        <v>241</v>
      </c>
      <c r="J55" s="290" t="s">
        <v>1642</v>
      </c>
      <c r="K55" s="290" t="s">
        <v>2293</v>
      </c>
      <c r="L55" s="291" t="s">
        <v>1912</v>
      </c>
      <c r="M55" s="291">
        <v>46173</v>
      </c>
      <c r="N55" s="290" t="s">
        <v>57</v>
      </c>
      <c r="O55" s="290">
        <v>0</v>
      </c>
      <c r="P55" s="290">
        <v>0</v>
      </c>
      <c r="Q55" s="292" t="s">
        <v>79</v>
      </c>
      <c r="R55" s="290" t="s">
        <v>2294</v>
      </c>
      <c r="S55" s="290" t="s">
        <v>2295</v>
      </c>
      <c r="T55" s="290" t="s">
        <v>2296</v>
      </c>
      <c r="U55" s="290" t="s">
        <v>130</v>
      </c>
      <c r="V55" s="290" t="s">
        <v>63</v>
      </c>
      <c r="W55" s="290" t="s">
        <v>188</v>
      </c>
      <c r="X55" s="290" t="s">
        <v>166</v>
      </c>
      <c r="Y55" s="290" t="s">
        <v>2297</v>
      </c>
      <c r="Z55" s="290" t="s">
        <v>2298</v>
      </c>
      <c r="AA55" s="290"/>
      <c r="AB55" s="250" t="s">
        <v>1648</v>
      </c>
      <c r="AC55" s="293" t="s">
        <v>68</v>
      </c>
      <c r="AD55" s="297">
        <v>46163</v>
      </c>
      <c r="AE55" s="293" t="s">
        <v>2</v>
      </c>
      <c r="AF55" s="297">
        <v>46160</v>
      </c>
      <c r="AG55" s="297">
        <v>46163</v>
      </c>
      <c r="AH55" s="293">
        <v>2</v>
      </c>
      <c r="AI55" s="294">
        <v>0</v>
      </c>
      <c r="AJ55" s="295">
        <v>0</v>
      </c>
      <c r="AK55" s="296" t="s">
        <v>2299</v>
      </c>
      <c r="AL55" s="295" t="s">
        <v>1867</v>
      </c>
      <c r="AM55" s="293" t="s">
        <v>1651</v>
      </c>
      <c r="AN55" s="293" t="s">
        <v>224</v>
      </c>
      <c r="AO55" s="293" t="s">
        <v>403</v>
      </c>
      <c r="AP55" s="293" t="s">
        <v>2300</v>
      </c>
      <c r="AQ55" s="349"/>
      <c r="AR55" s="349"/>
      <c r="AS55" s="349"/>
      <c r="AT55" s="360" t="str">
        <f t="shared" si="0"/>
        <v/>
      </c>
      <c r="AU55" s="349"/>
      <c r="AV55" s="349"/>
      <c r="AW55" s="349"/>
      <c r="AX55" s="349"/>
      <c r="AY55" s="349"/>
      <c r="AZ55" s="349"/>
      <c r="BA55" s="349"/>
      <c r="BB55" s="297" t="s">
        <v>224</v>
      </c>
      <c r="BC55" s="293"/>
      <c r="BD55" s="293" t="s">
        <v>1919</v>
      </c>
      <c r="BE55" s="293"/>
      <c r="BF55" s="297">
        <v>46188</v>
      </c>
      <c r="BG55" s="297">
        <v>46245</v>
      </c>
      <c r="BH55" s="298" t="s">
        <v>224</v>
      </c>
      <c r="BI55" s="297"/>
    </row>
    <row r="56" spans="1:61" ht="64.5" customHeight="1">
      <c r="A56" s="290">
        <v>160</v>
      </c>
      <c r="B56" s="291">
        <v>46154.805555555598</v>
      </c>
      <c r="C56" s="291">
        <v>46154.807372685202</v>
      </c>
      <c r="D56" s="290" t="s">
        <v>1752</v>
      </c>
      <c r="E56" s="290" t="s">
        <v>1181</v>
      </c>
      <c r="F56" s="290" t="s">
        <v>2301</v>
      </c>
      <c r="G56" s="290" t="s">
        <v>2302</v>
      </c>
      <c r="H56" s="290" t="s">
        <v>158</v>
      </c>
      <c r="I56" s="290" t="s">
        <v>280</v>
      </c>
      <c r="J56" s="290" t="s">
        <v>2303</v>
      </c>
      <c r="K56" s="290" t="s">
        <v>2304</v>
      </c>
      <c r="L56" s="291" t="s">
        <v>258</v>
      </c>
      <c r="M56" s="291">
        <v>46178</v>
      </c>
      <c r="N56" s="290" t="s">
        <v>57</v>
      </c>
      <c r="O56" s="290">
        <v>0</v>
      </c>
      <c r="P56" s="290">
        <v>0</v>
      </c>
      <c r="Q56" s="292" t="s">
        <v>79</v>
      </c>
      <c r="R56" s="290" t="s">
        <v>2305</v>
      </c>
      <c r="S56" s="290"/>
      <c r="T56" s="290" t="s">
        <v>2306</v>
      </c>
      <c r="U56" s="290" t="s">
        <v>130</v>
      </c>
      <c r="V56" s="290" t="s">
        <v>63</v>
      </c>
      <c r="W56" s="290" t="s">
        <v>188</v>
      </c>
      <c r="X56" s="290" t="s">
        <v>166</v>
      </c>
      <c r="Y56" s="290" t="s">
        <v>2307</v>
      </c>
      <c r="Z56" s="290" t="s">
        <v>2308</v>
      </c>
      <c r="AA56" s="290"/>
      <c r="AB56" s="250" t="s">
        <v>1648</v>
      </c>
      <c r="AC56" s="293" t="s">
        <v>68</v>
      </c>
      <c r="AD56" s="297">
        <v>46163</v>
      </c>
      <c r="AE56" s="293" t="s">
        <v>3</v>
      </c>
      <c r="AF56" s="297">
        <v>46160</v>
      </c>
      <c r="AG56" s="297">
        <v>46160</v>
      </c>
      <c r="AH56" s="293">
        <v>1</v>
      </c>
      <c r="AI56" s="294">
        <v>1625</v>
      </c>
      <c r="AJ56" s="295">
        <v>5768.75</v>
      </c>
      <c r="AK56" s="296" t="s">
        <v>2309</v>
      </c>
      <c r="AL56" s="295" t="s">
        <v>1703</v>
      </c>
      <c r="AM56" s="293" t="s">
        <v>1665</v>
      </c>
      <c r="AN56" s="293" t="s">
        <v>224</v>
      </c>
      <c r="AO56" s="293" t="s">
        <v>403</v>
      </c>
      <c r="AP56" s="293"/>
      <c r="AQ56" s="349"/>
      <c r="AR56" s="349"/>
      <c r="AS56" s="349"/>
      <c r="AT56" s="360" t="str">
        <f t="shared" si="0"/>
        <v/>
      </c>
      <c r="AU56" s="349"/>
      <c r="AV56" s="349"/>
      <c r="AW56" s="349"/>
      <c r="AX56" s="349"/>
      <c r="AY56" s="349"/>
      <c r="AZ56" s="349"/>
      <c r="BA56" s="349"/>
      <c r="BB56" s="297" t="s">
        <v>224</v>
      </c>
      <c r="BC56" s="293" t="s">
        <v>2310</v>
      </c>
      <c r="BD56" s="293" t="s">
        <v>224</v>
      </c>
      <c r="BE56" s="293" t="s">
        <v>2310</v>
      </c>
      <c r="BF56" s="297">
        <v>46188</v>
      </c>
      <c r="BG56" s="297">
        <v>46212</v>
      </c>
      <c r="BH56" s="298" t="s">
        <v>224</v>
      </c>
      <c r="BI56" s="297"/>
    </row>
    <row r="57" spans="1:61" ht="45" customHeight="1">
      <c r="A57" s="290">
        <v>119</v>
      </c>
      <c r="B57" s="291">
        <v>46140.4612962963</v>
      </c>
      <c r="C57" s="291">
        <v>46140.463483796302</v>
      </c>
      <c r="D57" s="290" t="s">
        <v>124</v>
      </c>
      <c r="E57" s="290" t="s">
        <v>125</v>
      </c>
      <c r="F57" s="290" t="s">
        <v>2311</v>
      </c>
      <c r="G57" s="290" t="s">
        <v>2312</v>
      </c>
      <c r="H57" s="290" t="s">
        <v>158</v>
      </c>
      <c r="I57" s="290" t="s">
        <v>159</v>
      </c>
      <c r="J57" s="290" t="s">
        <v>2313</v>
      </c>
      <c r="K57" s="290"/>
      <c r="L57" s="291" t="s">
        <v>184</v>
      </c>
      <c r="M57" s="291">
        <v>46199</v>
      </c>
      <c r="N57" s="290" t="s">
        <v>57</v>
      </c>
      <c r="O57" s="290">
        <v>0</v>
      </c>
      <c r="P57" s="290"/>
      <c r="Q57" s="292" t="s">
        <v>79</v>
      </c>
      <c r="R57" s="290" t="s">
        <v>2314</v>
      </c>
      <c r="S57" s="290"/>
      <c r="T57" s="290" t="s">
        <v>2315</v>
      </c>
      <c r="U57" s="290" t="s">
        <v>82</v>
      </c>
      <c r="V57" s="290" t="s">
        <v>165</v>
      </c>
      <c r="W57" s="290" t="s">
        <v>188</v>
      </c>
      <c r="X57" s="290" t="s">
        <v>166</v>
      </c>
      <c r="Y57" s="290" t="s">
        <v>2316</v>
      </c>
      <c r="Z57" s="290" t="s">
        <v>2317</v>
      </c>
      <c r="AA57" s="290"/>
      <c r="AB57" s="250" t="s">
        <v>251</v>
      </c>
      <c r="AC57" s="293" t="s">
        <v>68</v>
      </c>
      <c r="AD57" s="297">
        <v>46142</v>
      </c>
      <c r="AE57" s="293" t="s">
        <v>2</v>
      </c>
      <c r="AF57" s="297"/>
      <c r="AG57" s="297"/>
      <c r="AH57" s="293" t="s">
        <v>927</v>
      </c>
      <c r="AI57" s="294">
        <v>0</v>
      </c>
      <c r="AJ57" s="295">
        <v>0</v>
      </c>
      <c r="AK57" s="296" t="s">
        <v>2318</v>
      </c>
      <c r="AL57" s="295" t="s">
        <v>207</v>
      </c>
      <c r="AM57" s="293" t="s">
        <v>1651</v>
      </c>
      <c r="AN57" s="293" t="s">
        <v>83</v>
      </c>
      <c r="AO57" s="293" t="s">
        <v>403</v>
      </c>
      <c r="AP57" s="293"/>
      <c r="AQ57" s="349"/>
      <c r="AR57" s="349"/>
      <c r="AS57" s="349"/>
      <c r="AT57" s="360" t="str">
        <f t="shared" si="0"/>
        <v/>
      </c>
      <c r="AU57" s="349"/>
      <c r="AV57" s="349"/>
      <c r="AW57" s="349"/>
      <c r="AX57" s="349"/>
      <c r="AY57" s="349"/>
      <c r="AZ57" s="349"/>
      <c r="BA57" s="349"/>
      <c r="BB57" s="297" t="s">
        <v>224</v>
      </c>
      <c r="BC57" s="293" t="s">
        <v>2319</v>
      </c>
      <c r="BD57" s="293"/>
      <c r="BE57" s="293"/>
      <c r="BF57" s="297">
        <v>46181</v>
      </c>
      <c r="BG57" s="297">
        <v>46195</v>
      </c>
      <c r="BH57" s="298" t="s">
        <v>224</v>
      </c>
      <c r="BI57" s="297"/>
    </row>
    <row r="58" spans="1:61" ht="15" customHeight="1">
      <c r="A58" s="290">
        <v>170</v>
      </c>
      <c r="B58" s="291">
        <v>46162.470543981501</v>
      </c>
      <c r="C58" s="291">
        <v>46162.486342592601</v>
      </c>
      <c r="D58" s="290" t="s">
        <v>226</v>
      </c>
      <c r="E58" s="290" t="s">
        <v>227</v>
      </c>
      <c r="F58" s="290" t="s">
        <v>2320</v>
      </c>
      <c r="G58" s="290" t="s">
        <v>2321</v>
      </c>
      <c r="H58" s="290" t="s">
        <v>158</v>
      </c>
      <c r="I58" s="290" t="s">
        <v>197</v>
      </c>
      <c r="J58" s="290" t="s">
        <v>2322</v>
      </c>
      <c r="K58" s="290" t="s">
        <v>2323</v>
      </c>
      <c r="L58" s="291" t="s">
        <v>198</v>
      </c>
      <c r="M58" s="291">
        <v>46192</v>
      </c>
      <c r="N58" s="290" t="s">
        <v>57</v>
      </c>
      <c r="O58" s="290">
        <v>0</v>
      </c>
      <c r="P58" s="290">
        <v>0</v>
      </c>
      <c r="Q58" s="292" t="s">
        <v>79</v>
      </c>
      <c r="R58" s="290" t="s">
        <v>2324</v>
      </c>
      <c r="S58" s="290" t="s">
        <v>2325</v>
      </c>
      <c r="T58" s="290" t="s">
        <v>2326</v>
      </c>
      <c r="U58" s="290" t="s">
        <v>130</v>
      </c>
      <c r="V58" s="290" t="s">
        <v>63</v>
      </c>
      <c r="W58" s="290" t="s">
        <v>57</v>
      </c>
      <c r="X58" s="290" t="s">
        <v>84</v>
      </c>
      <c r="Y58" s="290" t="s">
        <v>2327</v>
      </c>
      <c r="Z58" s="290" t="s">
        <v>2328</v>
      </c>
      <c r="AA58" s="290"/>
      <c r="AB58" s="250" t="s">
        <v>97</v>
      </c>
      <c r="AC58" s="293" t="s">
        <v>68</v>
      </c>
      <c r="AD58" s="297">
        <v>46163</v>
      </c>
      <c r="AE58" s="293" t="s">
        <v>2</v>
      </c>
      <c r="AF58" s="297">
        <v>46163</v>
      </c>
      <c r="AG58" s="297">
        <v>46163</v>
      </c>
      <c r="AH58" s="293">
        <v>1</v>
      </c>
      <c r="AI58" s="294">
        <v>0</v>
      </c>
      <c r="AJ58" s="295">
        <v>0</v>
      </c>
      <c r="AK58" s="296" t="s">
        <v>2329</v>
      </c>
      <c r="AL58" s="295" t="s">
        <v>711</v>
      </c>
      <c r="AM58" s="293" t="s">
        <v>1882</v>
      </c>
      <c r="AN58" s="293" t="s">
        <v>188</v>
      </c>
      <c r="AO58" s="293" t="s">
        <v>403</v>
      </c>
      <c r="AP58" s="293"/>
      <c r="AQ58" s="349"/>
      <c r="AR58" s="349"/>
      <c r="AS58" s="349"/>
      <c r="AT58" s="360" t="str">
        <f t="shared" si="0"/>
        <v/>
      </c>
      <c r="AU58" s="349"/>
      <c r="AV58" s="349"/>
      <c r="AW58" s="349"/>
      <c r="AX58" s="349"/>
      <c r="AY58" s="349"/>
      <c r="AZ58" s="349"/>
      <c r="BA58" s="349"/>
      <c r="BB58" s="297" t="s">
        <v>224</v>
      </c>
      <c r="BC58" s="293"/>
      <c r="BD58" s="293" t="s">
        <v>1919</v>
      </c>
      <c r="BE58" s="293"/>
      <c r="BF58" s="297">
        <v>46190</v>
      </c>
      <c r="BG58" s="297">
        <v>46225</v>
      </c>
      <c r="BH58" s="298" t="s">
        <v>224</v>
      </c>
      <c r="BI58" s="297"/>
    </row>
    <row r="59" spans="1:61" ht="15" customHeight="1">
      <c r="A59" s="290">
        <v>227</v>
      </c>
      <c r="B59" s="291">
        <v>46183.502546296302</v>
      </c>
      <c r="C59" s="291">
        <v>46183.627280092602</v>
      </c>
      <c r="D59" s="290" t="s">
        <v>2077</v>
      </c>
      <c r="E59" s="290" t="s">
        <v>2078</v>
      </c>
      <c r="F59" s="290" t="s">
        <v>2330</v>
      </c>
      <c r="G59" s="290" t="s">
        <v>2331</v>
      </c>
      <c r="H59" s="290" t="s">
        <v>214</v>
      </c>
      <c r="I59" s="290" t="s">
        <v>197</v>
      </c>
      <c r="J59" s="290" t="s">
        <v>2332</v>
      </c>
      <c r="K59" s="290" t="s">
        <v>2333</v>
      </c>
      <c r="L59" s="291" t="s">
        <v>56</v>
      </c>
      <c r="M59" s="291">
        <v>46263</v>
      </c>
      <c r="N59" s="290" t="s">
        <v>57</v>
      </c>
      <c r="O59" s="290">
        <v>0</v>
      </c>
      <c r="P59" s="290">
        <v>0</v>
      </c>
      <c r="Q59" s="292" t="s">
        <v>79</v>
      </c>
      <c r="R59" s="290" t="s">
        <v>2334</v>
      </c>
      <c r="S59" s="290" t="s">
        <v>2335</v>
      </c>
      <c r="T59" s="290" t="s">
        <v>2336</v>
      </c>
      <c r="U59" s="290" t="s">
        <v>130</v>
      </c>
      <c r="V59" s="290" t="s">
        <v>63</v>
      </c>
      <c r="W59" s="290" t="s">
        <v>57</v>
      </c>
      <c r="X59" s="290" t="s">
        <v>84</v>
      </c>
      <c r="Y59" s="290" t="s">
        <v>2337</v>
      </c>
      <c r="Z59" s="290" t="s">
        <v>2338</v>
      </c>
      <c r="AA59" s="290">
        <v>1.5</v>
      </c>
      <c r="AB59" s="250" t="s">
        <v>152</v>
      </c>
      <c r="AC59" s="293"/>
      <c r="AD59" s="297"/>
      <c r="AE59" s="293"/>
      <c r="AF59" s="297"/>
      <c r="AG59" s="297"/>
      <c r="AH59" s="293"/>
      <c r="AI59" s="294"/>
      <c r="AJ59" s="295"/>
      <c r="AK59" s="296"/>
      <c r="AL59" s="295"/>
      <c r="AM59" s="293"/>
      <c r="AN59" s="293"/>
      <c r="AO59" s="293"/>
      <c r="AP59" s="293"/>
      <c r="AQ59" s="349"/>
      <c r="AR59" s="349"/>
      <c r="AS59" s="349"/>
      <c r="AT59" s="360" t="str">
        <f t="shared" si="0"/>
        <v/>
      </c>
      <c r="AU59" s="349"/>
      <c r="AV59" s="349"/>
      <c r="AW59" s="349"/>
      <c r="AX59" s="349"/>
      <c r="AY59" s="349"/>
      <c r="AZ59" s="349"/>
      <c r="BA59" s="349"/>
      <c r="BB59" s="297"/>
      <c r="BC59" s="293"/>
      <c r="BD59" s="293"/>
      <c r="BE59" s="293"/>
      <c r="BF59" s="297">
        <v>46174</v>
      </c>
      <c r="BG59" s="297">
        <v>46260</v>
      </c>
      <c r="BH59" s="298"/>
      <c r="BI59" s="297"/>
    </row>
    <row r="60" spans="1:61" ht="15" customHeight="1">
      <c r="A60" s="290">
        <v>115</v>
      </c>
      <c r="B60" s="291">
        <v>46136.386631944399</v>
      </c>
      <c r="C60" s="291">
        <v>46136.399050925902</v>
      </c>
      <c r="D60" s="290" t="s">
        <v>1752</v>
      </c>
      <c r="E60" s="290" t="s">
        <v>1181</v>
      </c>
      <c r="F60" s="290" t="s">
        <v>2339</v>
      </c>
      <c r="G60" s="290" t="s">
        <v>2340</v>
      </c>
      <c r="H60" s="290" t="s">
        <v>342</v>
      </c>
      <c r="I60" s="290" t="s">
        <v>91</v>
      </c>
      <c r="J60" s="290" t="s">
        <v>2341</v>
      </c>
      <c r="K60" s="290"/>
      <c r="L60" s="291" t="s">
        <v>258</v>
      </c>
      <c r="M60" s="291">
        <v>46136</v>
      </c>
      <c r="N60" s="290" t="s">
        <v>57</v>
      </c>
      <c r="O60" s="290">
        <v>0</v>
      </c>
      <c r="P60" s="290"/>
      <c r="Q60" s="292" t="s">
        <v>1951</v>
      </c>
      <c r="R60" s="290" t="s">
        <v>2340</v>
      </c>
      <c r="S60" s="290"/>
      <c r="T60" s="290" t="s">
        <v>1953</v>
      </c>
      <c r="U60" s="290" t="s">
        <v>56</v>
      </c>
      <c r="V60" s="290" t="s">
        <v>63</v>
      </c>
      <c r="W60" s="290" t="s">
        <v>188</v>
      </c>
      <c r="X60" s="290" t="s">
        <v>166</v>
      </c>
      <c r="Y60" s="290" t="s">
        <v>2342</v>
      </c>
      <c r="Z60" s="290">
        <v>0</v>
      </c>
      <c r="AA60" s="290"/>
      <c r="AB60" s="250" t="s">
        <v>97</v>
      </c>
      <c r="AC60" s="293" t="s">
        <v>68</v>
      </c>
      <c r="AD60" s="297">
        <v>46142</v>
      </c>
      <c r="AE60" s="293" t="s">
        <v>3</v>
      </c>
      <c r="AF60" s="297">
        <v>46146</v>
      </c>
      <c r="AG60" s="297">
        <v>46155</v>
      </c>
      <c r="AH60" s="293">
        <v>1</v>
      </c>
      <c r="AI60" s="294"/>
      <c r="AJ60" s="295">
        <v>0</v>
      </c>
      <c r="AK60" s="296"/>
      <c r="AL60" s="295" t="s">
        <v>711</v>
      </c>
      <c r="AM60" s="293" t="s">
        <v>1861</v>
      </c>
      <c r="AN60" s="293" t="s">
        <v>57</v>
      </c>
      <c r="AO60" s="293" t="s">
        <v>403</v>
      </c>
      <c r="AP60" s="293"/>
      <c r="AQ60" s="349"/>
      <c r="AR60" s="349"/>
      <c r="AS60" s="349"/>
      <c r="AT60" s="360" t="str">
        <f t="shared" si="0"/>
        <v/>
      </c>
      <c r="AU60" s="349"/>
      <c r="AV60" s="349"/>
      <c r="AW60" s="349"/>
      <c r="AX60" s="349"/>
      <c r="AY60" s="349"/>
      <c r="AZ60" s="349"/>
      <c r="BA60" s="349"/>
      <c r="BB60" s="297" t="s">
        <v>224</v>
      </c>
      <c r="BC60" s="293"/>
      <c r="BD60" s="293" t="s">
        <v>1919</v>
      </c>
      <c r="BE60" s="293"/>
      <c r="BF60" s="297">
        <v>46216</v>
      </c>
      <c r="BG60" s="297">
        <v>46248</v>
      </c>
      <c r="BH60" s="298" t="s">
        <v>224</v>
      </c>
      <c r="BI60" s="297"/>
    </row>
    <row r="61" spans="1:61" ht="51" customHeight="1">
      <c r="A61" s="290">
        <v>120</v>
      </c>
      <c r="B61" s="291">
        <v>46140.504409722198</v>
      </c>
      <c r="C61" s="291">
        <v>46140.510578703703</v>
      </c>
      <c r="D61" s="290" t="s">
        <v>1752</v>
      </c>
      <c r="E61" s="290" t="s">
        <v>1181</v>
      </c>
      <c r="F61" s="290" t="s">
        <v>2343</v>
      </c>
      <c r="G61" s="290" t="s">
        <v>2344</v>
      </c>
      <c r="H61" s="290" t="s">
        <v>75</v>
      </c>
      <c r="I61" s="290" t="s">
        <v>91</v>
      </c>
      <c r="J61" s="290" t="s">
        <v>1755</v>
      </c>
      <c r="K61" s="290"/>
      <c r="L61" s="291" t="s">
        <v>258</v>
      </c>
      <c r="M61" s="291">
        <v>46150</v>
      </c>
      <c r="N61" s="290" t="s">
        <v>57</v>
      </c>
      <c r="O61" s="290">
        <v>0</v>
      </c>
      <c r="P61" s="290"/>
      <c r="Q61" s="292" t="s">
        <v>79</v>
      </c>
      <c r="R61" s="290" t="s">
        <v>2345</v>
      </c>
      <c r="S61" s="290" t="s">
        <v>2346</v>
      </c>
      <c r="T61" s="290" t="s">
        <v>2347</v>
      </c>
      <c r="U61" s="290" t="s">
        <v>56</v>
      </c>
      <c r="V61" s="290" t="s">
        <v>63</v>
      </c>
      <c r="W61" s="290" t="s">
        <v>188</v>
      </c>
      <c r="X61" s="290" t="s">
        <v>166</v>
      </c>
      <c r="Y61" s="290" t="s">
        <v>2348</v>
      </c>
      <c r="Z61" s="290" t="s">
        <v>2349</v>
      </c>
      <c r="AA61" s="290"/>
      <c r="AB61" s="250" t="s">
        <v>97</v>
      </c>
      <c r="AC61" s="293" t="s">
        <v>68</v>
      </c>
      <c r="AD61" s="297">
        <v>46163</v>
      </c>
      <c r="AE61" s="293" t="s">
        <v>3</v>
      </c>
      <c r="AF61" s="297">
        <v>46163</v>
      </c>
      <c r="AG61" s="297">
        <v>46163</v>
      </c>
      <c r="AH61" s="293">
        <v>1</v>
      </c>
      <c r="AI61" s="294">
        <v>0</v>
      </c>
      <c r="AJ61" s="295">
        <v>0</v>
      </c>
      <c r="AK61" s="296"/>
      <c r="AL61" s="295" t="s">
        <v>711</v>
      </c>
      <c r="AM61" s="293" t="s">
        <v>1882</v>
      </c>
      <c r="AN61" s="293" t="s">
        <v>224</v>
      </c>
      <c r="AO61" s="293" t="s">
        <v>403</v>
      </c>
      <c r="AP61" s="293"/>
      <c r="AQ61" s="349"/>
      <c r="AR61" s="349"/>
      <c r="AS61" s="349"/>
      <c r="AT61" s="360" t="str">
        <f t="shared" si="0"/>
        <v/>
      </c>
      <c r="AU61" s="349"/>
      <c r="AV61" s="349"/>
      <c r="AW61" s="349"/>
      <c r="AX61" s="349"/>
      <c r="AY61" s="349"/>
      <c r="AZ61" s="349"/>
      <c r="BA61" s="349"/>
      <c r="BB61" s="297" t="s">
        <v>224</v>
      </c>
      <c r="BC61" s="293"/>
      <c r="BD61" s="293" t="s">
        <v>1919</v>
      </c>
      <c r="BE61" s="293"/>
      <c r="BF61" s="297">
        <v>46190</v>
      </c>
      <c r="BG61" s="297">
        <v>46199</v>
      </c>
      <c r="BH61" s="298" t="s">
        <v>224</v>
      </c>
      <c r="BI61" s="297"/>
    </row>
    <row r="62" spans="1:61" ht="78" customHeight="1">
      <c r="A62" s="290">
        <v>168</v>
      </c>
      <c r="B62" s="291">
        <v>46161.517534722203</v>
      </c>
      <c r="C62" s="291">
        <v>46161.533912036997</v>
      </c>
      <c r="D62" s="290" t="s">
        <v>1906</v>
      </c>
      <c r="E62" s="290" t="s">
        <v>1907</v>
      </c>
      <c r="F62" s="290" t="s">
        <v>2350</v>
      </c>
      <c r="G62" s="290" t="s">
        <v>2351</v>
      </c>
      <c r="H62" s="290" t="s">
        <v>158</v>
      </c>
      <c r="I62" s="290" t="s">
        <v>241</v>
      </c>
      <c r="J62" s="290" t="s">
        <v>1910</v>
      </c>
      <c r="K62" s="290" t="s">
        <v>2352</v>
      </c>
      <c r="L62" s="291" t="s">
        <v>1912</v>
      </c>
      <c r="M62" s="291">
        <v>46164</v>
      </c>
      <c r="N62" s="290" t="s">
        <v>57</v>
      </c>
      <c r="O62" s="290">
        <v>0</v>
      </c>
      <c r="P62" s="290">
        <v>0</v>
      </c>
      <c r="Q62" s="292" t="s">
        <v>79</v>
      </c>
      <c r="R62" s="290" t="s">
        <v>2353</v>
      </c>
      <c r="S62" s="290" t="s">
        <v>2354</v>
      </c>
      <c r="T62" s="290" t="s">
        <v>2355</v>
      </c>
      <c r="U62" s="290" t="s">
        <v>82</v>
      </c>
      <c r="V62" s="290" t="s">
        <v>63</v>
      </c>
      <c r="W62" s="290" t="s">
        <v>57</v>
      </c>
      <c r="X62" s="290" t="s">
        <v>166</v>
      </c>
      <c r="Y62" s="290" t="s">
        <v>2356</v>
      </c>
      <c r="Z62" s="290" t="s">
        <v>2357</v>
      </c>
      <c r="AA62" s="290"/>
      <c r="AB62" s="250" t="s">
        <v>264</v>
      </c>
      <c r="AC62" s="293" t="s">
        <v>68</v>
      </c>
      <c r="AD62" s="297">
        <v>46163</v>
      </c>
      <c r="AE62" s="293" t="s">
        <v>4</v>
      </c>
      <c r="AF62" s="297">
        <v>46163</v>
      </c>
      <c r="AG62" s="297">
        <v>46164</v>
      </c>
      <c r="AH62" s="293">
        <v>1</v>
      </c>
      <c r="AI62" s="294">
        <v>0</v>
      </c>
      <c r="AJ62" s="295">
        <v>0</v>
      </c>
      <c r="AK62" s="296" t="s">
        <v>2358</v>
      </c>
      <c r="AL62" s="295" t="s">
        <v>1867</v>
      </c>
      <c r="AM62" s="293" t="s">
        <v>1868</v>
      </c>
      <c r="AN62" s="293" t="s">
        <v>188</v>
      </c>
      <c r="AO62" s="293" t="s">
        <v>403</v>
      </c>
      <c r="AP62" s="293"/>
      <c r="AQ62" s="349"/>
      <c r="AR62" s="349"/>
      <c r="AS62" s="349"/>
      <c r="AT62" s="360" t="str">
        <f t="shared" si="0"/>
        <v/>
      </c>
      <c r="AU62" s="349"/>
      <c r="AV62" s="349"/>
      <c r="AW62" s="349"/>
      <c r="AX62" s="349"/>
      <c r="AY62" s="349"/>
      <c r="AZ62" s="349"/>
      <c r="BA62" s="349"/>
      <c r="BB62" s="297" t="s">
        <v>224</v>
      </c>
      <c r="BC62" s="293"/>
      <c r="BD62" s="293" t="s">
        <v>1919</v>
      </c>
      <c r="BE62" s="293"/>
      <c r="BF62" s="297">
        <v>46195</v>
      </c>
      <c r="BG62" s="297">
        <v>46234</v>
      </c>
      <c r="BH62" s="298" t="s">
        <v>224</v>
      </c>
      <c r="BI62" s="297"/>
    </row>
    <row r="63" spans="1:61" ht="111.75" customHeight="1">
      <c r="A63" s="290">
        <v>15</v>
      </c>
      <c r="B63" s="291">
        <v>46006.494444444441</v>
      </c>
      <c r="C63" s="291">
        <v>46008.702777777777</v>
      </c>
      <c r="D63" s="290" t="s">
        <v>855</v>
      </c>
      <c r="E63" s="290" t="s">
        <v>856</v>
      </c>
      <c r="F63" s="290" t="s">
        <v>857</v>
      </c>
      <c r="G63" s="290" t="s">
        <v>870</v>
      </c>
      <c r="H63" s="290" t="s">
        <v>75</v>
      </c>
      <c r="I63" s="290" t="s">
        <v>91</v>
      </c>
      <c r="J63" s="290" t="s">
        <v>2359</v>
      </c>
      <c r="K63" s="290"/>
      <c r="L63" s="291" t="s">
        <v>258</v>
      </c>
      <c r="M63" s="291">
        <v>46057</v>
      </c>
      <c r="N63" s="290" t="s">
        <v>57</v>
      </c>
      <c r="O63" s="290" t="s">
        <v>499</v>
      </c>
      <c r="P63" s="290"/>
      <c r="Q63" s="292" t="s">
        <v>396</v>
      </c>
      <c r="R63" s="290" t="s">
        <v>862</v>
      </c>
      <c r="S63" s="290"/>
      <c r="T63" s="290" t="s">
        <v>863</v>
      </c>
      <c r="U63" s="290" t="s">
        <v>56</v>
      </c>
      <c r="V63" s="290" t="s">
        <v>623</v>
      </c>
      <c r="W63" s="290" t="s">
        <v>188</v>
      </c>
      <c r="X63" s="290" t="s">
        <v>413</v>
      </c>
      <c r="Y63" s="290" t="s">
        <v>872</v>
      </c>
      <c r="Z63" s="290" t="s">
        <v>873</v>
      </c>
      <c r="AA63" s="290"/>
      <c r="AB63" s="250" t="s">
        <v>97</v>
      </c>
      <c r="AC63" s="293" t="s">
        <v>205</v>
      </c>
      <c r="AD63" s="297"/>
      <c r="AE63" s="293" t="s">
        <v>3</v>
      </c>
      <c r="AF63" s="297"/>
      <c r="AG63" s="297"/>
      <c r="AH63" s="293">
        <v>1</v>
      </c>
      <c r="AI63" s="294">
        <v>1357</v>
      </c>
      <c r="AJ63" s="295">
        <v>4817.3499999999995</v>
      </c>
      <c r="AK63" s="296" t="s">
        <v>2360</v>
      </c>
      <c r="AL63" s="295" t="s">
        <v>631</v>
      </c>
      <c r="AM63" s="293" t="s">
        <v>1868</v>
      </c>
      <c r="AN63" s="293"/>
      <c r="AO63" s="293" t="s">
        <v>403</v>
      </c>
      <c r="AP63" s="293"/>
      <c r="AQ63" s="349"/>
      <c r="AR63" s="349"/>
      <c r="AS63" s="349"/>
      <c r="AT63" s="360" t="str">
        <f t="shared" si="0"/>
        <v/>
      </c>
      <c r="AU63" s="349"/>
      <c r="AV63" s="349"/>
      <c r="AW63" s="349"/>
      <c r="AX63" s="349"/>
      <c r="AY63" s="349"/>
      <c r="AZ63" s="349"/>
      <c r="BA63" s="349"/>
      <c r="BB63" s="297" t="s">
        <v>1652</v>
      </c>
      <c r="BC63" s="293"/>
      <c r="BD63" s="293" t="s">
        <v>224</v>
      </c>
      <c r="BE63" s="293" t="s">
        <v>2310</v>
      </c>
      <c r="BF63" s="297">
        <v>46153</v>
      </c>
      <c r="BG63" s="297">
        <v>46198</v>
      </c>
      <c r="BH63" s="298" t="s">
        <v>224</v>
      </c>
      <c r="BI63" s="297"/>
    </row>
    <row r="64" spans="1:61" ht="15" customHeight="1">
      <c r="AQ64" s="349"/>
      <c r="AR64" s="349"/>
      <c r="AS64" s="349"/>
      <c r="AT64" s="360" t="str">
        <f t="shared" si="0"/>
        <v/>
      </c>
      <c r="AU64" s="349"/>
      <c r="AV64" s="349"/>
      <c r="AW64" s="349"/>
      <c r="AX64" s="349"/>
      <c r="AY64" s="349"/>
      <c r="AZ64" s="349"/>
      <c r="BA64" s="349"/>
    </row>
    <row r="65" spans="43:53" ht="15" customHeight="1">
      <c r="AQ65" s="349"/>
      <c r="AR65" s="349"/>
      <c r="AS65" s="349"/>
      <c r="AT65" s="360" t="str">
        <f t="shared" si="0"/>
        <v/>
      </c>
      <c r="AU65" s="349"/>
      <c r="AV65" s="349"/>
      <c r="AW65" s="349"/>
      <c r="AX65" s="349"/>
      <c r="AY65" s="349"/>
      <c r="AZ65" s="349"/>
      <c r="BA65" s="349"/>
    </row>
    <row r="66" spans="43:53" ht="15" customHeight="1">
      <c r="AQ66" s="349"/>
      <c r="AR66" s="349"/>
      <c r="AS66" s="349"/>
      <c r="AT66" s="360" t="str">
        <f t="shared" si="0"/>
        <v/>
      </c>
      <c r="AU66" s="349"/>
      <c r="AV66" s="349"/>
      <c r="AW66" s="349"/>
      <c r="AX66" s="349"/>
      <c r="AY66" s="349"/>
      <c r="AZ66" s="349"/>
      <c r="BA66" s="349"/>
    </row>
    <row r="67" spans="43:53" ht="15" customHeight="1">
      <c r="AQ67" s="349"/>
      <c r="AR67" s="349"/>
      <c r="AS67" s="349"/>
      <c r="AT67" s="360" t="str">
        <f t="shared" ref="AT67:AT79" si="1">IF(OR(AR67="",AS67=""),"",TEXT(WORKDAY(AS67,IF(AR67="Baja",3,IF(AR67="Media",5,0))),"dd-mmm"))</f>
        <v/>
      </c>
      <c r="AU67" s="349"/>
      <c r="AV67" s="349"/>
      <c r="AW67" s="349"/>
      <c r="AX67" s="349"/>
      <c r="AY67" s="349"/>
      <c r="AZ67" s="349"/>
      <c r="BA67" s="349"/>
    </row>
    <row r="68" spans="43:53" ht="15" customHeight="1">
      <c r="AQ68" s="349"/>
      <c r="AR68" s="349"/>
      <c r="AS68" s="349"/>
      <c r="AT68" s="360" t="str">
        <f t="shared" si="1"/>
        <v/>
      </c>
      <c r="AU68" s="349"/>
      <c r="AV68" s="349"/>
      <c r="AW68" s="349"/>
      <c r="AX68" s="349"/>
      <c r="AY68" s="349"/>
      <c r="AZ68" s="349"/>
      <c r="BA68" s="349"/>
    </row>
    <row r="69" spans="43:53" ht="15" customHeight="1">
      <c r="AQ69" s="349"/>
      <c r="AR69" s="349"/>
      <c r="AS69" s="349"/>
      <c r="AT69" s="360" t="str">
        <f t="shared" si="1"/>
        <v/>
      </c>
      <c r="AU69" s="349"/>
      <c r="AV69" s="349"/>
      <c r="AW69" s="349"/>
      <c r="AX69" s="349"/>
      <c r="AY69" s="349"/>
      <c r="AZ69" s="349"/>
      <c r="BA69" s="349"/>
    </row>
    <row r="70" spans="43:53" ht="15" customHeight="1">
      <c r="AQ70" s="349"/>
      <c r="AR70" s="349"/>
      <c r="AS70" s="349"/>
      <c r="AT70" s="360" t="str">
        <f t="shared" si="1"/>
        <v/>
      </c>
      <c r="AU70" s="349"/>
      <c r="AV70" s="349"/>
      <c r="AW70" s="349"/>
      <c r="AX70" s="349"/>
      <c r="AY70" s="349"/>
      <c r="AZ70" s="349"/>
      <c r="BA70" s="349"/>
    </row>
    <row r="71" spans="43:53" ht="15" customHeight="1">
      <c r="AQ71" s="349"/>
      <c r="AR71" s="349"/>
      <c r="AS71" s="349"/>
      <c r="AT71" s="360" t="str">
        <f t="shared" si="1"/>
        <v/>
      </c>
      <c r="AU71" s="349"/>
      <c r="AV71" s="349"/>
      <c r="AW71" s="349"/>
      <c r="AX71" s="349"/>
      <c r="AY71" s="349"/>
      <c r="AZ71" s="349"/>
      <c r="BA71" s="349"/>
    </row>
    <row r="72" spans="43:53" ht="15" customHeight="1">
      <c r="AQ72" s="349"/>
      <c r="AR72" s="349"/>
      <c r="AS72" s="349"/>
      <c r="AT72" s="360" t="str">
        <f t="shared" si="1"/>
        <v/>
      </c>
      <c r="AU72" s="349"/>
      <c r="AV72" s="349"/>
      <c r="AW72" s="349"/>
      <c r="AX72" s="349"/>
      <c r="AY72" s="349"/>
      <c r="AZ72" s="349"/>
      <c r="BA72" s="349"/>
    </row>
    <row r="73" spans="43:53" ht="15" customHeight="1">
      <c r="AQ73" s="349"/>
      <c r="AR73" s="349"/>
      <c r="AS73" s="349"/>
      <c r="AT73" s="360" t="str">
        <f t="shared" si="1"/>
        <v/>
      </c>
      <c r="AU73" s="349"/>
      <c r="AV73" s="349"/>
      <c r="AW73" s="349"/>
      <c r="AX73" s="349"/>
      <c r="AY73" s="349"/>
      <c r="AZ73" s="349"/>
      <c r="BA73" s="349"/>
    </row>
    <row r="74" spans="43:53" ht="15" customHeight="1">
      <c r="AQ74" s="349"/>
      <c r="AR74" s="349"/>
      <c r="AS74" s="349"/>
      <c r="AT74" s="360" t="str">
        <f t="shared" si="1"/>
        <v/>
      </c>
      <c r="AU74" s="349"/>
      <c r="AV74" s="349"/>
      <c r="AW74" s="349"/>
      <c r="AX74" s="349"/>
      <c r="AY74" s="349"/>
      <c r="AZ74" s="349"/>
      <c r="BA74" s="349"/>
    </row>
    <row r="75" spans="43:53" ht="15" customHeight="1">
      <c r="AQ75" s="349"/>
      <c r="AR75" s="349"/>
      <c r="AS75" s="349"/>
      <c r="AT75" s="360" t="str">
        <f t="shared" si="1"/>
        <v/>
      </c>
      <c r="AU75" s="349"/>
      <c r="AV75" s="349"/>
      <c r="AW75" s="349"/>
      <c r="AX75" s="349"/>
      <c r="AY75" s="349"/>
      <c r="AZ75" s="349"/>
      <c r="BA75" s="349"/>
    </row>
    <row r="76" spans="43:53" ht="15" customHeight="1">
      <c r="AQ76" s="349"/>
      <c r="AR76" s="349"/>
      <c r="AS76" s="349"/>
      <c r="AT76" s="360" t="str">
        <f t="shared" si="1"/>
        <v/>
      </c>
      <c r="AU76" s="349"/>
      <c r="AV76" s="349"/>
      <c r="AW76" s="349"/>
      <c r="AX76" s="349"/>
      <c r="AY76" s="349"/>
      <c r="AZ76" s="349"/>
      <c r="BA76" s="349"/>
    </row>
    <row r="77" spans="43:53" ht="15" customHeight="1">
      <c r="AQ77" s="349"/>
      <c r="AR77" s="349"/>
      <c r="AS77" s="349"/>
      <c r="AT77" s="360" t="str">
        <f t="shared" si="1"/>
        <v/>
      </c>
      <c r="AU77" s="349"/>
      <c r="AV77" s="349"/>
      <c r="AW77" s="349"/>
      <c r="AX77" s="349"/>
      <c r="AY77" s="349"/>
      <c r="AZ77" s="349"/>
      <c r="BA77" s="349"/>
    </row>
    <row r="78" spans="43:53" ht="15" customHeight="1">
      <c r="AQ78" s="349"/>
      <c r="AR78" s="349"/>
      <c r="AS78" s="349"/>
      <c r="AT78" s="360" t="str">
        <f t="shared" si="1"/>
        <v/>
      </c>
      <c r="AU78" s="349"/>
      <c r="AV78" s="349"/>
      <c r="AW78" s="349"/>
      <c r="AX78" s="349"/>
      <c r="AY78" s="349"/>
      <c r="AZ78" s="349"/>
      <c r="BA78" s="349"/>
    </row>
    <row r="79" spans="43:53" ht="15" customHeight="1">
      <c r="AQ79" s="349"/>
      <c r="AR79" s="349"/>
      <c r="AS79" s="349"/>
      <c r="AT79" s="360" t="str">
        <f t="shared" si="1"/>
        <v/>
      </c>
      <c r="AU79" s="349"/>
      <c r="AV79" s="349"/>
      <c r="AW79" s="349"/>
      <c r="AX79" s="349"/>
      <c r="AY79" s="349"/>
      <c r="AZ79" s="349"/>
      <c r="BA79" s="349"/>
    </row>
  </sheetData>
  <sheetProtection algorithmName="SHA-512" hashValue="y9K1rGQCTf6zinTBsv3WoBBekY70ENs2jmtjlovdE6dISOVu1721/GPFFUaXh/TjZot48X+IiA4qc/stYZbYwA==" saltValue="JTSe0EzPknW8HM7sXZQFhQ==" spinCount="100000" sheet="1" autoFilter="0"/>
  <protectedRanges>
    <protectedRange algorithmName="SHA-512" hashValue="22rEZDOLaaAzExp0xxQCGNby3L6gXjGHIg9yH60f4Eq8XFziCgY0/JIYc2E2Nq4g+VRVZfuCR88Vp60KM5L1Fw==" saltValue="qJpW/Ecdk5+EDugQ3hU7fw==" spinCount="100000" sqref="A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S63" xr:uid="{C1EE4B9F-75EB-4EE6-A650-B2D225B9AA80}"/>
  <dataValidations count="3">
    <dataValidation type="list" allowBlank="1" showInputMessage="1" showErrorMessage="1" errorTitle="Valor no válido" error="Por favor seleccione una opción de la lista desplegable." sqref="AQ2:AQ79" xr:uid="{F87B9EE1-9289-42B7-BCE7-9A5D17514CE9}">
      <formula1>"Estimación incompleta,Ajuste del alcance,Otro"</formula1>
    </dataValidation>
    <dataValidation type="list" allowBlank="1" showInputMessage="1" showErrorMessage="1" errorTitle="Valor no válido" error="Por favor seleccione una opción de la lista: Baja o Media." sqref="AR2:AR79" xr:uid="{6C1D77D5-5458-4B78-BC7C-CACCDBF4851A}">
      <formula1>"Baja,Media"</formula1>
    </dataValidation>
    <dataValidation type="list" allowBlank="1" showInputMessage="1" showErrorMessage="1" errorTitle="Valor no válido" error="Por favor seleccione una opción de la lista: Pendiente o Finalizado" sqref="AZ2:AZ79" xr:uid="{A33B3467-591A-4C66-95C6-9DEBEEC4481A}">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XEO34"/>
  <sheetViews>
    <sheetView zoomScale="85" zoomScaleNormal="85" workbookViewId="0">
      <pane xSplit="1" ySplit="1" topLeftCell="AX32" activePane="bottomRight" state="frozen"/>
      <selection pane="bottomRight" activeCell="BB32" sqref="BB32"/>
      <selection pane="bottomLeft" activeCell="A2" sqref="A2"/>
      <selection pane="topRight" activeCell="B1" sqref="B1"/>
    </sheetView>
  </sheetViews>
  <sheetFormatPr defaultColWidth="9.28515625" defaultRowHeight="15" customHeight="1"/>
  <cols>
    <col min="1" max="1" width="9.28515625" style="59"/>
    <col min="2" max="3" width="17.42578125" style="8" customWidth="1"/>
    <col min="4" max="4" width="11.28515625" style="8" customWidth="1"/>
    <col min="5" max="5" width="12.42578125" style="8" customWidth="1"/>
    <col min="6" max="6" width="35.42578125" style="8" customWidth="1"/>
    <col min="7" max="7" width="31.28515625" style="8" customWidth="1"/>
    <col min="8" max="8" width="9.28515625" style="8" bestFit="1" customWidth="1"/>
    <col min="9" max="9" width="17.85546875" style="8" customWidth="1"/>
    <col min="10" max="11" width="18.140625" style="8" customWidth="1"/>
    <col min="12" max="13" width="19.42578125" style="8" customWidth="1"/>
    <col min="14" max="14" width="9.140625" style="8" bestFit="1" customWidth="1"/>
    <col min="15" max="15" width="21.42578125" style="8" customWidth="1"/>
    <col min="16" max="16" width="11.42578125" style="8" customWidth="1"/>
    <col min="17" max="17" width="26" style="8" customWidth="1"/>
    <col min="18" max="18" width="43.42578125" style="8" customWidth="1"/>
    <col min="19" max="19" width="31.28515625" style="8" customWidth="1"/>
    <col min="20" max="20" width="37.42578125" style="8" customWidth="1"/>
    <col min="21" max="21" width="29.7109375" style="8" customWidth="1"/>
    <col min="22" max="23" width="26" style="8" customWidth="1"/>
    <col min="24" max="24" width="54.7109375" style="8" customWidth="1"/>
    <col min="25" max="25" width="69.28515625" style="8" customWidth="1"/>
    <col min="26" max="26" width="65.42578125" style="8" customWidth="1"/>
    <col min="27" max="27" width="16.7109375" style="8" customWidth="1"/>
    <col min="28" max="29" width="9.140625" style="8" bestFit="1" customWidth="1"/>
    <col min="30" max="30" width="17.28515625" style="8" customWidth="1"/>
    <col min="31" max="31" width="18.28515625" style="8" customWidth="1"/>
    <col min="32" max="32" width="16.140625" style="8" customWidth="1"/>
    <col min="33" max="33" width="13.42578125" style="8" customWidth="1"/>
    <col min="34" max="34" width="17.140625" style="8" customWidth="1"/>
    <col min="35" max="35" width="12.28515625" style="8" bestFit="1" customWidth="1"/>
    <col min="36" max="36" width="10.42578125" style="8" bestFit="1" customWidth="1"/>
    <col min="37" max="37" width="13" style="8" customWidth="1"/>
    <col min="38" max="38" width="19.42578125" style="8" customWidth="1"/>
    <col min="39" max="39" width="20.28515625" style="8" bestFit="1" customWidth="1"/>
    <col min="40" max="40" width="20.28515625" style="8" customWidth="1"/>
    <col min="41" max="41" width="38.7109375" style="8" customWidth="1"/>
    <col min="42" max="53" width="26.140625" style="8" customWidth="1"/>
    <col min="54" max="54" width="20.7109375" style="8" customWidth="1"/>
    <col min="55" max="55" width="40.28515625" style="8" customWidth="1"/>
    <col min="56" max="56" width="13.140625" style="8" customWidth="1"/>
    <col min="57" max="57" width="31.28515625" style="8" customWidth="1"/>
    <col min="58" max="58" width="29.7109375" style="8" customWidth="1"/>
    <col min="59" max="60" width="9.28515625" style="8"/>
    <col min="61" max="61" width="12.7109375" style="8" customWidth="1"/>
    <col min="62" max="16384" width="9.28515625" style="8"/>
  </cols>
  <sheetData>
    <row r="1" spans="1:158" ht="35.25" customHeight="1">
      <c r="A1" s="279" t="s">
        <v>5</v>
      </c>
      <c r="B1" s="280" t="s">
        <v>6</v>
      </c>
      <c r="C1" s="280" t="s">
        <v>7</v>
      </c>
      <c r="D1" s="280" t="s">
        <v>8</v>
      </c>
      <c r="E1" s="280" t="s">
        <v>9</v>
      </c>
      <c r="F1" s="280" t="s">
        <v>10</v>
      </c>
      <c r="G1" s="280" t="s">
        <v>11</v>
      </c>
      <c r="H1" s="280" t="s">
        <v>12</v>
      </c>
      <c r="I1" s="280" t="s">
        <v>13</v>
      </c>
      <c r="J1" s="258" t="s">
        <v>14</v>
      </c>
      <c r="K1" s="159" t="s">
        <v>170</v>
      </c>
      <c r="L1" s="258" t="s">
        <v>16</v>
      </c>
      <c r="M1" s="258" t="s">
        <v>17</v>
      </c>
      <c r="N1" s="280" t="s">
        <v>18</v>
      </c>
      <c r="O1" s="258" t="s">
        <v>19</v>
      </c>
      <c r="P1" s="280" t="s">
        <v>20</v>
      </c>
      <c r="Q1" s="258" t="s">
        <v>21</v>
      </c>
      <c r="R1" s="280" t="s">
        <v>22</v>
      </c>
      <c r="S1" s="280" t="s">
        <v>23</v>
      </c>
      <c r="T1" s="258" t="s">
        <v>24</v>
      </c>
      <c r="U1" s="258" t="s">
        <v>25</v>
      </c>
      <c r="V1" s="280" t="s">
        <v>26</v>
      </c>
      <c r="W1" s="159" t="s">
        <v>173</v>
      </c>
      <c r="X1" s="280" t="s">
        <v>559</v>
      </c>
      <c r="Y1" s="280" t="s">
        <v>29</v>
      </c>
      <c r="Z1" s="159" t="s">
        <v>174</v>
      </c>
      <c r="AA1" s="267" t="s">
        <v>31</v>
      </c>
      <c r="AB1" s="175" t="s">
        <v>33</v>
      </c>
      <c r="AC1" s="175" t="s">
        <v>34</v>
      </c>
      <c r="AD1" s="321" t="s">
        <v>35</v>
      </c>
      <c r="AE1" s="208" t="s">
        <v>36</v>
      </c>
      <c r="AF1" s="209" t="s">
        <v>1986</v>
      </c>
      <c r="AG1" s="209" t="s">
        <v>1987</v>
      </c>
      <c r="AH1" s="208" t="s">
        <v>39</v>
      </c>
      <c r="AI1" s="210" t="s">
        <v>40</v>
      </c>
      <c r="AJ1" s="211" t="s">
        <v>41</v>
      </c>
      <c r="AK1" s="208" t="s">
        <v>42</v>
      </c>
      <c r="AL1" s="208" t="s">
        <v>43</v>
      </c>
      <c r="AM1" s="208" t="s">
        <v>1633</v>
      </c>
      <c r="AN1" s="208" t="s">
        <v>178</v>
      </c>
      <c r="AO1" s="208" t="s">
        <v>45</v>
      </c>
      <c r="AP1" s="208" t="s">
        <v>46</v>
      </c>
      <c r="AQ1" s="356" t="s">
        <v>535</v>
      </c>
      <c r="AR1" s="356" t="s">
        <v>536</v>
      </c>
      <c r="AS1" s="356" t="s">
        <v>537</v>
      </c>
      <c r="AT1" s="358" t="s">
        <v>538</v>
      </c>
      <c r="AU1" s="362" t="s">
        <v>39</v>
      </c>
      <c r="AV1" s="363" t="s">
        <v>176</v>
      </c>
      <c r="AW1" s="362" t="s">
        <v>177</v>
      </c>
      <c r="AX1" s="362" t="s">
        <v>43</v>
      </c>
      <c r="AY1" s="362" t="s">
        <v>539</v>
      </c>
      <c r="AZ1" s="362" t="s">
        <v>540</v>
      </c>
      <c r="BA1" s="362" t="s">
        <v>46</v>
      </c>
      <c r="BB1" s="218" t="s">
        <v>1634</v>
      </c>
      <c r="BC1" s="218" t="s">
        <v>46</v>
      </c>
      <c r="BD1" s="274" t="s">
        <v>1635</v>
      </c>
      <c r="BE1" s="274" t="s">
        <v>1636</v>
      </c>
      <c r="BF1" s="275" t="s">
        <v>1904</v>
      </c>
      <c r="BG1" s="275" t="s">
        <v>1905</v>
      </c>
      <c r="BH1" s="276" t="s">
        <v>1964</v>
      </c>
      <c r="BI1" s="278" t="s">
        <v>46</v>
      </c>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4"/>
      <c r="CH1" s="204"/>
      <c r="CI1" s="204"/>
      <c r="CJ1" s="204"/>
      <c r="CK1" s="204"/>
      <c r="CL1" s="204"/>
      <c r="CM1" s="204"/>
      <c r="CN1" s="204"/>
      <c r="CO1" s="204"/>
      <c r="CP1" s="204"/>
      <c r="CQ1" s="204"/>
      <c r="CR1" s="204"/>
      <c r="CS1" s="204"/>
      <c r="CT1" s="204"/>
      <c r="CU1" s="204"/>
      <c r="CV1" s="204"/>
      <c r="CW1" s="204"/>
      <c r="CX1" s="204"/>
      <c r="CY1" s="204"/>
      <c r="CZ1" s="204"/>
      <c r="DA1" s="204"/>
      <c r="DB1" s="204"/>
      <c r="DC1" s="204"/>
      <c r="DD1" s="204"/>
      <c r="DE1" s="204"/>
      <c r="DF1" s="204"/>
      <c r="DG1" s="204"/>
      <c r="DH1" s="204"/>
      <c r="DI1" s="204"/>
      <c r="DJ1" s="204"/>
      <c r="DK1" s="204"/>
      <c r="DL1" s="204"/>
      <c r="DM1" s="204"/>
      <c r="DN1" s="204"/>
      <c r="DO1" s="204"/>
      <c r="DP1" s="204"/>
      <c r="DQ1" s="204"/>
      <c r="DR1" s="204"/>
      <c r="DS1" s="204"/>
      <c r="DT1" s="204"/>
      <c r="DU1" s="204"/>
      <c r="DV1" s="204"/>
      <c r="DW1" s="204"/>
      <c r="DX1" s="204"/>
      <c r="DY1" s="204"/>
      <c r="DZ1" s="204"/>
      <c r="EA1" s="204"/>
      <c r="EB1" s="204"/>
      <c r="EC1" s="204"/>
      <c r="ED1" s="204"/>
      <c r="EE1" s="204"/>
      <c r="EF1" s="204"/>
      <c r="EG1" s="204"/>
      <c r="EH1" s="204"/>
      <c r="EI1" s="204"/>
      <c r="EJ1" s="204"/>
      <c r="EK1" s="204"/>
      <c r="EL1" s="204"/>
      <c r="EM1" s="204"/>
      <c r="EN1" s="204"/>
      <c r="EO1" s="204"/>
      <c r="EP1" s="204"/>
      <c r="EQ1" s="204"/>
      <c r="ER1" s="204"/>
      <c r="ES1" s="204"/>
      <c r="ET1" s="204"/>
      <c r="EU1" s="204"/>
      <c r="EV1" s="204"/>
      <c r="EW1" s="204"/>
      <c r="EX1" s="204"/>
      <c r="EY1" s="204"/>
    </row>
    <row r="2" spans="1:158" ht="65.45" customHeight="1">
      <c r="A2" s="234">
        <v>16</v>
      </c>
      <c r="B2" s="281">
        <v>46036.439583333333</v>
      </c>
      <c r="C2" s="281">
        <v>46036.443055555559</v>
      </c>
      <c r="D2" s="260" t="s">
        <v>652</v>
      </c>
      <c r="E2" s="260" t="s">
        <v>653</v>
      </c>
      <c r="F2" s="260" t="s">
        <v>946</v>
      </c>
      <c r="G2" s="260" t="s">
        <v>2361</v>
      </c>
      <c r="H2" s="282" t="s">
        <v>75</v>
      </c>
      <c r="I2" s="348" t="s">
        <v>280</v>
      </c>
      <c r="J2" s="348" t="s">
        <v>947</v>
      </c>
      <c r="K2" s="348"/>
      <c r="L2" s="282" t="s">
        <v>658</v>
      </c>
      <c r="M2" s="243">
        <v>46045</v>
      </c>
      <c r="N2" s="282" t="s">
        <v>57</v>
      </c>
      <c r="O2" s="282" t="s">
        <v>499</v>
      </c>
      <c r="P2" s="282"/>
      <c r="Q2" s="282" t="s">
        <v>79</v>
      </c>
      <c r="R2" s="348" t="s">
        <v>2362</v>
      </c>
      <c r="S2" s="348"/>
      <c r="T2" s="348" t="s">
        <v>950</v>
      </c>
      <c r="U2" s="348"/>
      <c r="V2" s="348" t="s">
        <v>958</v>
      </c>
      <c r="W2" s="348"/>
      <c r="X2" s="348" t="s">
        <v>2363</v>
      </c>
      <c r="Y2" s="348" t="s">
        <v>960</v>
      </c>
      <c r="Z2" s="348" t="s">
        <v>961</v>
      </c>
      <c r="AA2" s="348"/>
      <c r="AB2" s="374"/>
      <c r="AC2" s="374"/>
      <c r="AD2" s="374"/>
      <c r="AE2" s="374"/>
      <c r="AF2" s="374"/>
      <c r="AG2" s="374"/>
      <c r="AH2" s="374"/>
      <c r="AI2" s="374"/>
      <c r="AJ2" s="374"/>
      <c r="AK2" s="374"/>
      <c r="AL2" s="374"/>
      <c r="AM2" s="374"/>
      <c r="AN2" s="374"/>
      <c r="AO2" s="374"/>
      <c r="AP2" s="374"/>
      <c r="AQ2" s="349"/>
      <c r="AR2" s="349"/>
      <c r="AS2" s="364"/>
      <c r="AT2" s="359"/>
      <c r="AU2" s="349"/>
      <c r="AV2" s="349"/>
      <c r="AW2" s="349"/>
      <c r="AX2" s="349"/>
      <c r="AY2" s="349"/>
      <c r="AZ2" s="349"/>
      <c r="BA2" s="349"/>
      <c r="BB2" s="374"/>
      <c r="BC2" s="374"/>
      <c r="BD2" s="374"/>
      <c r="BE2" s="374"/>
      <c r="BF2" s="374"/>
      <c r="BG2" s="374"/>
      <c r="BH2" s="374"/>
      <c r="BI2" s="374"/>
    </row>
    <row r="3" spans="1:158" ht="65.45" customHeight="1">
      <c r="A3" s="234">
        <v>38</v>
      </c>
      <c r="B3" s="243">
        <v>46056.961805555547</v>
      </c>
      <c r="C3" s="243">
        <v>46056.992361111108</v>
      </c>
      <c r="D3" s="234" t="s">
        <v>632</v>
      </c>
      <c r="E3" s="234" t="s">
        <v>633</v>
      </c>
      <c r="F3" s="234" t="s">
        <v>634</v>
      </c>
      <c r="G3" s="234" t="s">
        <v>635</v>
      </c>
      <c r="H3" s="282" t="s">
        <v>342</v>
      </c>
      <c r="I3" s="282" t="s">
        <v>636</v>
      </c>
      <c r="J3" s="282" t="s">
        <v>637</v>
      </c>
      <c r="K3" s="282"/>
      <c r="L3" s="282" t="s">
        <v>639</v>
      </c>
      <c r="M3" s="243">
        <v>46070</v>
      </c>
      <c r="N3" s="282" t="s">
        <v>57</v>
      </c>
      <c r="O3" s="282" t="s">
        <v>499</v>
      </c>
      <c r="P3" s="282"/>
      <c r="Q3" s="282" t="s">
        <v>79</v>
      </c>
      <c r="R3" s="282" t="s">
        <v>641</v>
      </c>
      <c r="S3" s="282"/>
      <c r="T3" s="282" t="s">
        <v>642</v>
      </c>
      <c r="U3" s="282"/>
      <c r="V3" s="234" t="s">
        <v>581</v>
      </c>
      <c r="W3" s="234"/>
      <c r="X3" s="282" t="s">
        <v>649</v>
      </c>
      <c r="Y3" s="282" t="s">
        <v>650</v>
      </c>
      <c r="Z3" s="282" t="s">
        <v>499</v>
      </c>
      <c r="AA3" s="282"/>
      <c r="AB3" s="374"/>
      <c r="AC3" s="374"/>
      <c r="AD3" s="374"/>
      <c r="AE3" s="374"/>
      <c r="AF3" s="374"/>
      <c r="AG3" s="374"/>
      <c r="AH3" s="374"/>
      <c r="AI3" s="375"/>
      <c r="AJ3" s="374"/>
      <c r="AK3" s="374"/>
      <c r="AL3" s="374"/>
      <c r="AM3" s="374"/>
      <c r="AN3" s="374"/>
      <c r="AO3" s="374"/>
      <c r="AP3" s="374"/>
      <c r="AQ3" s="349"/>
      <c r="AR3" s="349"/>
      <c r="AS3" s="364"/>
      <c r="AT3" s="359"/>
      <c r="AU3" s="349"/>
      <c r="AV3" s="349"/>
      <c r="AW3" s="349"/>
      <c r="AX3" s="349"/>
      <c r="AY3" s="349"/>
      <c r="AZ3" s="349"/>
      <c r="BA3" s="349"/>
      <c r="BB3" s="374"/>
      <c r="BC3" s="374"/>
      <c r="BD3" s="374"/>
      <c r="BE3" s="374"/>
      <c r="BF3" s="374"/>
      <c r="BG3" s="374"/>
      <c r="BH3" s="374"/>
      <c r="BI3" s="374"/>
    </row>
    <row r="4" spans="1:158" ht="65.45" customHeight="1">
      <c r="A4" s="234">
        <v>50</v>
      </c>
      <c r="B4" s="281">
        <v>46070.484027777769</v>
      </c>
      <c r="C4" s="281">
        <v>46070.517361111109</v>
      </c>
      <c r="D4" s="260" t="s">
        <v>1336</v>
      </c>
      <c r="E4" s="260" t="s">
        <v>1337</v>
      </c>
      <c r="F4" s="260" t="s">
        <v>1338</v>
      </c>
      <c r="G4" s="260" t="s">
        <v>2364</v>
      </c>
      <c r="H4" s="282" t="s">
        <v>75</v>
      </c>
      <c r="I4" s="348" t="s">
        <v>241</v>
      </c>
      <c r="J4" s="348" t="s">
        <v>1339</v>
      </c>
      <c r="K4" s="348"/>
      <c r="L4" s="282" t="s">
        <v>184</v>
      </c>
      <c r="M4" s="243">
        <v>46146</v>
      </c>
      <c r="N4" s="282" t="s">
        <v>57</v>
      </c>
      <c r="O4" s="282" t="s">
        <v>499</v>
      </c>
      <c r="P4" s="282"/>
      <c r="Q4" s="282" t="s">
        <v>79</v>
      </c>
      <c r="R4" s="348" t="s">
        <v>1342</v>
      </c>
      <c r="S4" s="348"/>
      <c r="T4" s="348" t="s">
        <v>1343</v>
      </c>
      <c r="U4" s="348"/>
      <c r="V4" s="348" t="s">
        <v>1351</v>
      </c>
      <c r="W4" s="348"/>
      <c r="X4" s="348" t="s">
        <v>1352</v>
      </c>
      <c r="Y4" s="348" t="s">
        <v>2365</v>
      </c>
      <c r="Z4" s="348" t="s">
        <v>1354</v>
      </c>
      <c r="AA4" s="348"/>
      <c r="AB4" s="374"/>
      <c r="AC4" s="374"/>
      <c r="AD4" s="374"/>
      <c r="AE4" s="374"/>
      <c r="AF4" s="374"/>
      <c r="AG4" s="374"/>
      <c r="AH4" s="374"/>
      <c r="AI4" s="374"/>
      <c r="AJ4" s="374"/>
      <c r="AK4" s="374"/>
      <c r="AL4" s="374"/>
      <c r="AM4" s="374"/>
      <c r="AN4" s="374"/>
      <c r="AO4" s="374"/>
      <c r="AP4" s="374"/>
      <c r="AQ4" s="349"/>
      <c r="AR4" s="349"/>
      <c r="AS4" s="364"/>
      <c r="AT4" s="359"/>
      <c r="AU4" s="349"/>
      <c r="AV4" s="349"/>
      <c r="AW4" s="349"/>
      <c r="AX4" s="349"/>
      <c r="AY4" s="349"/>
      <c r="AZ4" s="349"/>
      <c r="BA4" s="349"/>
      <c r="BB4" s="374"/>
      <c r="BC4" s="374"/>
      <c r="BD4" s="374"/>
      <c r="BE4" s="374"/>
      <c r="BF4" s="374"/>
      <c r="BG4" s="374"/>
      <c r="BH4" s="374"/>
      <c r="BI4" s="374"/>
    </row>
    <row r="5" spans="1:158" ht="65.45" customHeight="1">
      <c r="A5" s="234">
        <v>53</v>
      </c>
      <c r="B5" s="243">
        <v>46070.696527777778</v>
      </c>
      <c r="C5" s="243">
        <v>46070.718055555553</v>
      </c>
      <c r="D5" s="234" t="s">
        <v>632</v>
      </c>
      <c r="E5" s="234" t="s">
        <v>633</v>
      </c>
      <c r="F5" s="234" t="s">
        <v>750</v>
      </c>
      <c r="G5" s="234" t="s">
        <v>751</v>
      </c>
      <c r="H5" s="282" t="s">
        <v>342</v>
      </c>
      <c r="I5" s="282" t="s">
        <v>636</v>
      </c>
      <c r="J5" s="282" t="s">
        <v>752</v>
      </c>
      <c r="K5" s="282"/>
      <c r="L5" s="282" t="s">
        <v>639</v>
      </c>
      <c r="M5" s="243">
        <v>46112</v>
      </c>
      <c r="N5" s="282" t="s">
        <v>57</v>
      </c>
      <c r="O5" s="282" t="s">
        <v>499</v>
      </c>
      <c r="P5" s="282"/>
      <c r="Q5" s="282" t="s">
        <v>79</v>
      </c>
      <c r="R5" s="282" t="s">
        <v>753</v>
      </c>
      <c r="S5" s="282"/>
      <c r="T5" s="282" t="s">
        <v>754</v>
      </c>
      <c r="U5" s="282"/>
      <c r="V5" s="282" t="s">
        <v>761</v>
      </c>
      <c r="W5" s="282"/>
      <c r="X5" s="282" t="s">
        <v>762</v>
      </c>
      <c r="Y5" s="282" t="s">
        <v>763</v>
      </c>
      <c r="Z5" s="282" t="s">
        <v>764</v>
      </c>
      <c r="AA5" s="282"/>
      <c r="AB5" s="374"/>
      <c r="AC5" s="374"/>
      <c r="AD5" s="374"/>
      <c r="AE5" s="374"/>
      <c r="AF5" s="374"/>
      <c r="AG5" s="374"/>
      <c r="AH5" s="374"/>
      <c r="AI5" s="374"/>
      <c r="AJ5" s="374"/>
      <c r="AK5" s="374"/>
      <c r="AL5" s="374"/>
      <c r="AM5" s="374"/>
      <c r="AN5" s="374"/>
      <c r="AO5" s="374"/>
      <c r="AP5" s="374"/>
      <c r="AQ5" s="349"/>
      <c r="AR5" s="349"/>
      <c r="AS5" s="364"/>
      <c r="AT5" s="359"/>
      <c r="AU5" s="349"/>
      <c r="AV5" s="349"/>
      <c r="AW5" s="349"/>
      <c r="AX5" s="349"/>
      <c r="AY5" s="349"/>
      <c r="AZ5" s="349"/>
      <c r="BA5" s="349"/>
      <c r="BB5" s="374"/>
      <c r="BC5" s="374"/>
      <c r="BD5" s="374"/>
      <c r="BE5" s="374"/>
      <c r="BF5" s="374"/>
      <c r="BG5" s="374"/>
      <c r="BH5" s="374"/>
      <c r="BI5" s="374"/>
    </row>
    <row r="6" spans="1:158" ht="65.45" customHeight="1">
      <c r="A6" s="234">
        <v>57</v>
      </c>
      <c r="B6" s="243">
        <v>46071.778449074103</v>
      </c>
      <c r="C6" s="243">
        <v>46072.386608796303</v>
      </c>
      <c r="D6" s="234" t="s">
        <v>786</v>
      </c>
      <c r="E6" s="234" t="s">
        <v>787</v>
      </c>
      <c r="F6" s="234" t="s">
        <v>788</v>
      </c>
      <c r="G6" s="234" t="s">
        <v>789</v>
      </c>
      <c r="H6" s="234" t="s">
        <v>158</v>
      </c>
      <c r="I6" s="234" t="s">
        <v>159</v>
      </c>
      <c r="J6" s="234" t="s">
        <v>790</v>
      </c>
      <c r="K6" s="234"/>
      <c r="L6" s="243" t="s">
        <v>184</v>
      </c>
      <c r="M6" s="243">
        <v>46081</v>
      </c>
      <c r="N6" s="234" t="s">
        <v>57</v>
      </c>
      <c r="O6" s="234"/>
      <c r="P6" s="234"/>
      <c r="Q6" s="234"/>
      <c r="R6" s="234" t="s">
        <v>792</v>
      </c>
      <c r="S6" s="234"/>
      <c r="T6" s="234" t="s">
        <v>793</v>
      </c>
      <c r="U6" s="234" t="s">
        <v>797</v>
      </c>
      <c r="V6" s="234" t="s">
        <v>623</v>
      </c>
      <c r="W6" s="234"/>
      <c r="X6" s="234" t="s">
        <v>800</v>
      </c>
      <c r="Y6" s="234" t="s">
        <v>801</v>
      </c>
      <c r="Z6" s="234" t="s">
        <v>802</v>
      </c>
      <c r="AA6" s="234"/>
      <c r="AB6" s="250" t="s">
        <v>805</v>
      </c>
      <c r="AC6" s="250"/>
      <c r="AD6" s="250"/>
      <c r="AE6" s="250" t="s">
        <v>2</v>
      </c>
      <c r="AF6" s="250"/>
      <c r="AG6" s="250"/>
      <c r="AH6" s="250" t="s">
        <v>2366</v>
      </c>
      <c r="AI6" s="251"/>
      <c r="AJ6" s="252">
        <v>60000</v>
      </c>
      <c r="AK6" s="253" t="s">
        <v>2367</v>
      </c>
      <c r="AL6" s="252" t="s">
        <v>207</v>
      </c>
      <c r="AM6" s="250"/>
      <c r="AN6" s="250"/>
      <c r="AO6" s="250" t="s">
        <v>403</v>
      </c>
      <c r="AP6" s="250"/>
      <c r="AQ6" s="349"/>
      <c r="AR6" s="349"/>
      <c r="AS6" s="364"/>
      <c r="AT6" s="359"/>
      <c r="AU6" s="349"/>
      <c r="AV6" s="349"/>
      <c r="AW6" s="349"/>
      <c r="AX6" s="349"/>
      <c r="AY6" s="349"/>
      <c r="AZ6" s="349"/>
      <c r="BA6" s="349"/>
      <c r="BB6" s="250" t="s">
        <v>188</v>
      </c>
      <c r="BC6" s="250" t="s">
        <v>2368</v>
      </c>
      <c r="BD6" s="255"/>
      <c r="BE6" s="255"/>
      <c r="BF6" s="255"/>
      <c r="BG6" s="255"/>
      <c r="BH6" s="255"/>
      <c r="BI6" s="255"/>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row>
    <row r="7" spans="1:158" ht="65.45" customHeight="1">
      <c r="A7" s="283">
        <v>61</v>
      </c>
      <c r="B7" s="281">
        <v>46083.706215277802</v>
      </c>
      <c r="C7" s="281">
        <v>46083.709166666697</v>
      </c>
      <c r="D7" s="260" t="s">
        <v>48</v>
      </c>
      <c r="E7" s="260" t="s">
        <v>49</v>
      </c>
      <c r="F7" s="260" t="s">
        <v>2369</v>
      </c>
      <c r="G7" s="260" t="s">
        <v>2370</v>
      </c>
      <c r="H7" s="260" t="s">
        <v>52</v>
      </c>
      <c r="I7" s="348" t="s">
        <v>2371</v>
      </c>
      <c r="J7" s="348" t="s">
        <v>54</v>
      </c>
      <c r="K7" s="348"/>
      <c r="L7" s="348" t="s">
        <v>56</v>
      </c>
      <c r="M7" s="243">
        <v>46295</v>
      </c>
      <c r="N7" s="348" t="s">
        <v>57</v>
      </c>
      <c r="O7" s="348">
        <v>0</v>
      </c>
      <c r="P7" s="348"/>
      <c r="Q7" s="284" t="s">
        <v>269</v>
      </c>
      <c r="R7" s="348" t="s">
        <v>2372</v>
      </c>
      <c r="S7" s="348"/>
      <c r="T7" s="348" t="s">
        <v>2373</v>
      </c>
      <c r="U7" s="348" t="s">
        <v>2374</v>
      </c>
      <c r="V7" s="348" t="s">
        <v>623</v>
      </c>
      <c r="W7" s="348"/>
      <c r="X7" s="348" t="s">
        <v>2375</v>
      </c>
      <c r="Y7" s="348" t="s">
        <v>2376</v>
      </c>
      <c r="Z7" s="348" t="s">
        <v>2377</v>
      </c>
      <c r="AA7" s="348"/>
      <c r="AB7" s="374"/>
      <c r="AC7" s="374"/>
      <c r="AD7" s="374"/>
      <c r="AE7" s="374"/>
      <c r="AF7" s="374"/>
      <c r="AG7" s="374"/>
      <c r="AH7" s="374"/>
      <c r="AI7" s="250"/>
      <c r="AJ7" s="250"/>
      <c r="AK7" s="250"/>
      <c r="AL7" s="250"/>
      <c r="AM7" s="374"/>
      <c r="AN7" s="374"/>
      <c r="AO7" s="374"/>
      <c r="AP7" s="376"/>
      <c r="AQ7" s="349"/>
      <c r="AR7" s="349"/>
      <c r="AS7" s="364"/>
      <c r="AT7" s="359"/>
      <c r="AU7" s="349"/>
      <c r="AV7" s="349"/>
      <c r="AW7" s="349"/>
      <c r="AX7" s="349"/>
      <c r="AY7" s="349"/>
      <c r="AZ7" s="349"/>
      <c r="BA7" s="349"/>
      <c r="BB7" s="374"/>
      <c r="BC7" s="374"/>
      <c r="BD7" s="374"/>
      <c r="BE7" s="374"/>
      <c r="BF7" s="374"/>
      <c r="BG7" s="374"/>
      <c r="BH7" s="374"/>
      <c r="BI7" s="374"/>
      <c r="EZ7" s="59"/>
      <c r="FA7" s="59"/>
      <c r="FB7" s="59"/>
    </row>
    <row r="8" spans="1:158" ht="65.45" customHeight="1">
      <c r="A8" s="283">
        <v>64</v>
      </c>
      <c r="B8" s="281">
        <v>46083.714710648099</v>
      </c>
      <c r="C8" s="281">
        <v>46083.720902777801</v>
      </c>
      <c r="D8" s="260" t="s">
        <v>48</v>
      </c>
      <c r="E8" s="260" t="s">
        <v>49</v>
      </c>
      <c r="F8" s="260" t="s">
        <v>2378</v>
      </c>
      <c r="G8" s="260" t="s">
        <v>2379</v>
      </c>
      <c r="H8" s="260" t="s">
        <v>52</v>
      </c>
      <c r="I8" s="348" t="s">
        <v>2371</v>
      </c>
      <c r="J8" s="348" t="s">
        <v>2380</v>
      </c>
      <c r="K8" s="348"/>
      <c r="L8" s="348" t="s">
        <v>56</v>
      </c>
      <c r="M8" s="243">
        <v>46295</v>
      </c>
      <c r="N8" s="348" t="s">
        <v>57</v>
      </c>
      <c r="O8" s="348">
        <v>0</v>
      </c>
      <c r="P8" s="348"/>
      <c r="Q8" s="284" t="s">
        <v>269</v>
      </c>
      <c r="R8" s="348" t="s">
        <v>2381</v>
      </c>
      <c r="S8" s="348"/>
      <c r="T8" s="348" t="s">
        <v>2382</v>
      </c>
      <c r="U8" s="348" t="s">
        <v>2383</v>
      </c>
      <c r="V8" s="348" t="s">
        <v>623</v>
      </c>
      <c r="W8" s="348"/>
      <c r="X8" s="348" t="s">
        <v>2384</v>
      </c>
      <c r="Y8" s="348" t="s">
        <v>2385</v>
      </c>
      <c r="Z8" s="348" t="s">
        <v>2386</v>
      </c>
      <c r="AA8" s="348"/>
      <c r="AB8" s="374"/>
      <c r="AC8" s="374"/>
      <c r="AD8" s="374"/>
      <c r="AE8" s="374"/>
      <c r="AF8" s="374"/>
      <c r="AG8" s="374"/>
      <c r="AH8" s="374"/>
      <c r="AI8" s="250"/>
      <c r="AJ8" s="250"/>
      <c r="AK8" s="250"/>
      <c r="AL8" s="250"/>
      <c r="AM8" s="374"/>
      <c r="AN8" s="374"/>
      <c r="AO8" s="374"/>
      <c r="AP8" s="374"/>
      <c r="AQ8" s="349"/>
      <c r="AR8" s="349"/>
      <c r="AS8" s="364"/>
      <c r="AT8" s="359"/>
      <c r="AU8" s="349"/>
      <c r="AV8" s="349"/>
      <c r="AW8" s="349"/>
      <c r="AX8" s="349"/>
      <c r="AY8" s="349"/>
      <c r="AZ8" s="349"/>
      <c r="BA8" s="349"/>
      <c r="BB8" s="374"/>
      <c r="BC8" s="374"/>
      <c r="BD8" s="374"/>
      <c r="BE8" s="374"/>
      <c r="BF8" s="374"/>
      <c r="BG8" s="374"/>
      <c r="BH8" s="374"/>
      <c r="BI8" s="374"/>
      <c r="EZ8" s="59"/>
      <c r="FA8" s="59"/>
      <c r="FB8" s="59"/>
    </row>
    <row r="9" spans="1:158" ht="65.45" customHeight="1">
      <c r="A9" s="234">
        <v>67</v>
      </c>
      <c r="B9" s="281">
        <v>46086.675891203697</v>
      </c>
      <c r="C9" s="281">
        <v>46086.694652777798</v>
      </c>
      <c r="D9" s="260" t="s">
        <v>632</v>
      </c>
      <c r="E9" s="260" t="s">
        <v>633</v>
      </c>
      <c r="F9" s="260" t="s">
        <v>2387</v>
      </c>
      <c r="G9" s="260" t="s">
        <v>2388</v>
      </c>
      <c r="H9" s="282" t="s">
        <v>342</v>
      </c>
      <c r="I9" s="348" t="s">
        <v>636</v>
      </c>
      <c r="J9" s="348" t="s">
        <v>2389</v>
      </c>
      <c r="K9" s="348"/>
      <c r="L9" s="282" t="s">
        <v>639</v>
      </c>
      <c r="M9" s="243">
        <v>46143</v>
      </c>
      <c r="N9" s="282" t="s">
        <v>57</v>
      </c>
      <c r="O9" s="282">
        <v>0</v>
      </c>
      <c r="P9" s="282"/>
      <c r="Q9" s="282" t="s">
        <v>79</v>
      </c>
      <c r="R9" s="348" t="s">
        <v>2390</v>
      </c>
      <c r="S9" s="348"/>
      <c r="T9" s="348" t="s">
        <v>2391</v>
      </c>
      <c r="U9" s="348"/>
      <c r="V9" s="348" t="s">
        <v>623</v>
      </c>
      <c r="W9" s="348"/>
      <c r="X9" s="348" t="s">
        <v>2392</v>
      </c>
      <c r="Y9" s="348" t="s">
        <v>2393</v>
      </c>
      <c r="Z9" s="348" t="s">
        <v>2394</v>
      </c>
      <c r="AA9" s="348"/>
      <c r="AB9" s="374"/>
      <c r="AC9" s="374"/>
      <c r="AD9" s="374"/>
      <c r="AE9" s="374"/>
      <c r="AF9" s="374"/>
      <c r="AG9" s="374"/>
      <c r="AH9" s="374"/>
      <c r="AI9" s="374"/>
      <c r="AJ9" s="374"/>
      <c r="AK9" s="374"/>
      <c r="AL9" s="374"/>
      <c r="AM9" s="374"/>
      <c r="AN9" s="374"/>
      <c r="AO9" s="374"/>
      <c r="AP9" s="374"/>
      <c r="AQ9" s="349"/>
      <c r="AR9" s="349"/>
      <c r="AS9" s="364"/>
      <c r="AT9" s="359"/>
      <c r="AU9" s="349"/>
      <c r="AV9" s="349"/>
      <c r="AW9" s="349"/>
      <c r="AX9" s="349"/>
      <c r="AY9" s="349"/>
      <c r="AZ9" s="349"/>
      <c r="BA9" s="349"/>
      <c r="BB9" s="374"/>
      <c r="BC9" s="374"/>
      <c r="BD9" s="374"/>
      <c r="BE9" s="374"/>
      <c r="BF9" s="374"/>
      <c r="BG9" s="374"/>
      <c r="BH9" s="374"/>
      <c r="BI9" s="374"/>
    </row>
    <row r="10" spans="1:158" ht="65.45" customHeight="1">
      <c r="A10" s="234">
        <v>70</v>
      </c>
      <c r="B10" s="243">
        <v>46092.6265277778</v>
      </c>
      <c r="C10" s="285">
        <v>46093.507175925901</v>
      </c>
      <c r="D10" s="234" t="s">
        <v>652</v>
      </c>
      <c r="E10" s="234" t="s">
        <v>653</v>
      </c>
      <c r="F10" s="234" t="s">
        <v>2395</v>
      </c>
      <c r="G10" s="234" t="s">
        <v>2396</v>
      </c>
      <c r="H10" s="282" t="s">
        <v>75</v>
      </c>
      <c r="I10" s="282" t="s">
        <v>241</v>
      </c>
      <c r="J10" s="282" t="s">
        <v>2397</v>
      </c>
      <c r="K10" s="282"/>
      <c r="L10" s="282" t="s">
        <v>658</v>
      </c>
      <c r="M10" s="243">
        <v>46174</v>
      </c>
      <c r="N10" s="282" t="s">
        <v>83</v>
      </c>
      <c r="O10" s="282" t="s">
        <v>487</v>
      </c>
      <c r="P10" s="282"/>
      <c r="Q10" s="282" t="s">
        <v>79</v>
      </c>
      <c r="R10" s="234" t="s">
        <v>2398</v>
      </c>
      <c r="S10" s="234"/>
      <c r="T10" s="282" t="s">
        <v>2399</v>
      </c>
      <c r="U10" s="234"/>
      <c r="V10" s="234" t="s">
        <v>1285</v>
      </c>
      <c r="W10" s="234"/>
      <c r="X10" s="234" t="s">
        <v>2400</v>
      </c>
      <c r="Y10" s="234" t="s">
        <v>2401</v>
      </c>
      <c r="Z10" s="282" t="s">
        <v>2402</v>
      </c>
      <c r="AA10" s="282"/>
      <c r="AB10" s="374"/>
      <c r="AC10" s="374"/>
      <c r="AD10" s="374"/>
      <c r="AE10" s="374"/>
      <c r="AF10" s="374"/>
      <c r="AG10" s="374"/>
      <c r="AH10" s="374"/>
      <c r="AI10" s="374"/>
      <c r="AJ10" s="374"/>
      <c r="AK10" s="374"/>
      <c r="AL10" s="250"/>
      <c r="AM10" s="374"/>
      <c r="AN10" s="374"/>
      <c r="AO10" s="374"/>
      <c r="AP10" s="250"/>
      <c r="AQ10" s="349"/>
      <c r="AR10" s="349"/>
      <c r="AS10" s="364"/>
      <c r="AT10" s="359"/>
      <c r="AU10" s="349"/>
      <c r="AV10" s="349"/>
      <c r="AW10" s="349"/>
      <c r="AX10" s="349"/>
      <c r="AY10" s="349"/>
      <c r="AZ10" s="349"/>
      <c r="BA10" s="349"/>
      <c r="BB10" s="374"/>
      <c r="BC10" s="374"/>
      <c r="BD10" s="374"/>
      <c r="BE10" s="374"/>
      <c r="BF10" s="374"/>
      <c r="BG10" s="374"/>
      <c r="BH10" s="374"/>
      <c r="BI10" s="374"/>
    </row>
    <row r="11" spans="1:158" ht="65.45" customHeight="1">
      <c r="A11" s="234">
        <v>74</v>
      </c>
      <c r="B11" s="243">
        <v>46097.479016203702</v>
      </c>
      <c r="C11" s="243">
        <v>46097.807569444398</v>
      </c>
      <c r="D11" s="234" t="s">
        <v>494</v>
      </c>
      <c r="E11" s="234" t="s">
        <v>495</v>
      </c>
      <c r="F11" s="234" t="s">
        <v>2403</v>
      </c>
      <c r="G11" s="234" t="s">
        <v>2404</v>
      </c>
      <c r="H11" s="234" t="s">
        <v>75</v>
      </c>
      <c r="I11" s="234" t="s">
        <v>197</v>
      </c>
      <c r="J11" s="234" t="s">
        <v>2405</v>
      </c>
      <c r="K11" s="234"/>
      <c r="L11" s="234" t="s">
        <v>859</v>
      </c>
      <c r="M11" s="243">
        <v>46113</v>
      </c>
      <c r="N11" s="234" t="s">
        <v>57</v>
      </c>
      <c r="O11" s="234">
        <v>0</v>
      </c>
      <c r="P11" s="234"/>
      <c r="Q11" s="282" t="s">
        <v>79</v>
      </c>
      <c r="R11" s="234" t="s">
        <v>2406</v>
      </c>
      <c r="S11" s="234"/>
      <c r="T11" s="234" t="s">
        <v>2407</v>
      </c>
      <c r="U11" s="234"/>
      <c r="V11" s="234" t="s">
        <v>1285</v>
      </c>
      <c r="W11" s="234"/>
      <c r="X11" s="234" t="s">
        <v>2408</v>
      </c>
      <c r="Y11" s="234" t="s">
        <v>2409</v>
      </c>
      <c r="Z11" s="234" t="s">
        <v>2410</v>
      </c>
      <c r="AA11" s="234"/>
      <c r="AB11" s="250"/>
      <c r="AC11" s="250"/>
      <c r="AD11" s="250"/>
      <c r="AE11" s="250"/>
      <c r="AF11" s="250"/>
      <c r="AG11" s="250"/>
      <c r="AH11" s="250"/>
      <c r="AI11" s="250"/>
      <c r="AJ11" s="250"/>
      <c r="AK11" s="250"/>
      <c r="AL11" s="250"/>
      <c r="AM11" s="250"/>
      <c r="AN11" s="250"/>
      <c r="AO11" s="250"/>
      <c r="AP11" s="250"/>
      <c r="AQ11" s="349"/>
      <c r="AR11" s="349"/>
      <c r="AS11" s="364"/>
      <c r="AT11" s="359"/>
      <c r="AU11" s="349"/>
      <c r="AV11" s="349"/>
      <c r="AW11" s="349"/>
      <c r="AX11" s="349"/>
      <c r="AY11" s="349"/>
      <c r="AZ11" s="349"/>
      <c r="BA11" s="349"/>
      <c r="BB11" s="250"/>
      <c r="BC11" s="250"/>
      <c r="BD11" s="250"/>
      <c r="BE11" s="250"/>
      <c r="BF11" s="250"/>
      <c r="BG11" s="250"/>
      <c r="BH11" s="250"/>
      <c r="BI11" s="250"/>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row>
    <row r="12" spans="1:158" s="10" customFormat="1" ht="111" customHeight="1">
      <c r="A12" s="234">
        <v>84</v>
      </c>
      <c r="B12" s="243">
        <v>46106.080833333297</v>
      </c>
      <c r="C12" s="243">
        <v>46106.090543981503</v>
      </c>
      <c r="D12" s="234" t="s">
        <v>588</v>
      </c>
      <c r="E12" s="234" t="s">
        <v>589</v>
      </c>
      <c r="F12" s="234" t="s">
        <v>2198</v>
      </c>
      <c r="G12" s="234" t="s">
        <v>2199</v>
      </c>
      <c r="H12" s="234" t="s">
        <v>158</v>
      </c>
      <c r="I12" s="234" t="s">
        <v>241</v>
      </c>
      <c r="J12" s="234" t="s">
        <v>2200</v>
      </c>
      <c r="K12" s="234"/>
      <c r="L12" s="234" t="s">
        <v>199</v>
      </c>
      <c r="M12" s="243">
        <v>46127</v>
      </c>
      <c r="N12" s="234" t="s">
        <v>57</v>
      </c>
      <c r="O12" s="234">
        <v>0</v>
      </c>
      <c r="P12" s="234"/>
      <c r="Q12" s="282" t="s">
        <v>79</v>
      </c>
      <c r="R12" s="234" t="s">
        <v>2201</v>
      </c>
      <c r="S12" s="234"/>
      <c r="T12" s="234" t="s">
        <v>347</v>
      </c>
      <c r="U12" s="234"/>
      <c r="V12" s="234" t="s">
        <v>581</v>
      </c>
      <c r="W12" s="234"/>
      <c r="X12" s="234" t="s">
        <v>2411</v>
      </c>
      <c r="Y12" s="234" t="s">
        <v>2202</v>
      </c>
      <c r="Z12" s="234" t="s">
        <v>2203</v>
      </c>
      <c r="AA12" s="234"/>
      <c r="AB12" s="250"/>
      <c r="AC12" s="250"/>
      <c r="AD12" s="250"/>
      <c r="AE12" s="250"/>
      <c r="AF12" s="250"/>
      <c r="AG12" s="250"/>
      <c r="AH12" s="250"/>
      <c r="AI12" s="250"/>
      <c r="AJ12" s="250"/>
      <c r="AK12" s="250"/>
      <c r="AL12" s="250"/>
      <c r="AM12" s="250"/>
      <c r="AN12" s="250"/>
      <c r="AO12" s="250"/>
      <c r="AP12" s="250"/>
      <c r="AQ12" s="349"/>
      <c r="AR12" s="349"/>
      <c r="AS12" s="364"/>
      <c r="AT12" s="359"/>
      <c r="AU12" s="349"/>
      <c r="AV12" s="349"/>
      <c r="AW12" s="349"/>
      <c r="AX12" s="349"/>
      <c r="AY12" s="349"/>
      <c r="AZ12" s="349"/>
      <c r="BA12" s="349"/>
      <c r="BB12" s="250"/>
      <c r="BC12" s="250"/>
      <c r="BD12" s="250"/>
      <c r="BE12" s="250"/>
      <c r="BF12" s="250"/>
      <c r="BG12" s="250"/>
      <c r="BH12" s="250"/>
      <c r="BI12" s="250"/>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row>
    <row r="13" spans="1:158" ht="188.45">
      <c r="A13" s="234">
        <v>106</v>
      </c>
      <c r="B13" s="282"/>
      <c r="C13" s="282"/>
      <c r="D13" s="282"/>
      <c r="E13" s="282"/>
      <c r="F13" s="282" t="s">
        <v>2412</v>
      </c>
      <c r="G13" s="282" t="s">
        <v>2413</v>
      </c>
      <c r="H13" s="282" t="s">
        <v>75</v>
      </c>
      <c r="I13" s="282" t="s">
        <v>159</v>
      </c>
      <c r="J13" s="282" t="s">
        <v>2414</v>
      </c>
      <c r="K13" s="282" t="s">
        <v>572</v>
      </c>
      <c r="L13" s="282" t="s">
        <v>161</v>
      </c>
      <c r="M13" s="282">
        <v>46173</v>
      </c>
      <c r="N13" s="282" t="s">
        <v>1329</v>
      </c>
      <c r="O13" s="282"/>
      <c r="P13" s="282" t="s">
        <v>145</v>
      </c>
      <c r="Q13" s="282" t="s">
        <v>79</v>
      </c>
      <c r="R13" s="282" t="s">
        <v>2415</v>
      </c>
      <c r="S13" s="282"/>
      <c r="T13" s="282" t="s">
        <v>2416</v>
      </c>
      <c r="U13" s="282"/>
      <c r="V13" s="282" t="s">
        <v>165</v>
      </c>
      <c r="W13" s="282"/>
      <c r="X13" s="282" t="s">
        <v>2417</v>
      </c>
      <c r="Y13" s="282" t="s">
        <v>2418</v>
      </c>
      <c r="Z13" s="282" t="s">
        <v>2419</v>
      </c>
      <c r="AA13" s="282"/>
      <c r="AB13" s="374" t="s">
        <v>122</v>
      </c>
      <c r="AC13" s="374" t="s">
        <v>68</v>
      </c>
      <c r="AD13" s="374">
        <v>46135</v>
      </c>
      <c r="AE13" s="374"/>
      <c r="AF13" s="374"/>
      <c r="AG13" s="374"/>
      <c r="AH13" s="374"/>
      <c r="AI13" s="374"/>
      <c r="AJ13" s="374"/>
      <c r="AK13" s="374"/>
      <c r="AL13" s="374"/>
      <c r="AM13" s="374"/>
      <c r="AN13" s="374" t="s">
        <v>191</v>
      </c>
      <c r="AO13" s="374"/>
      <c r="AP13" s="374"/>
      <c r="AQ13" s="349"/>
      <c r="AR13" s="349"/>
      <c r="AS13" s="364"/>
      <c r="AT13" s="359"/>
      <c r="AU13" s="349"/>
      <c r="AV13" s="349"/>
      <c r="AW13" s="349"/>
      <c r="AX13" s="349"/>
      <c r="AY13" s="349"/>
      <c r="AZ13" s="349"/>
      <c r="BA13" s="349"/>
      <c r="BB13" s="374"/>
      <c r="BC13" s="374"/>
      <c r="BD13" s="374"/>
      <c r="BE13" s="374"/>
      <c r="BF13" s="374"/>
      <c r="BG13" s="374"/>
      <c r="BH13" s="374"/>
      <c r="BI13" s="374"/>
    </row>
    <row r="14" spans="1:158" ht="409.5">
      <c r="A14" s="234">
        <v>59</v>
      </c>
      <c r="B14" s="243">
        <v>46083</v>
      </c>
      <c r="C14" s="243">
        <v>46083</v>
      </c>
      <c r="D14" s="234" t="s">
        <v>48</v>
      </c>
      <c r="E14" s="234" t="s">
        <v>49</v>
      </c>
      <c r="F14" s="234" t="s">
        <v>2420</v>
      </c>
      <c r="G14" s="234" t="s">
        <v>2421</v>
      </c>
      <c r="H14" s="234" t="s">
        <v>52</v>
      </c>
      <c r="I14" s="234" t="s">
        <v>2371</v>
      </c>
      <c r="J14" s="234" t="s">
        <v>2422</v>
      </c>
      <c r="K14" s="234"/>
      <c r="L14" s="243" t="s">
        <v>2423</v>
      </c>
      <c r="M14" s="243">
        <v>46203</v>
      </c>
      <c r="N14" s="234" t="s">
        <v>57</v>
      </c>
      <c r="O14" s="234"/>
      <c r="P14" s="234"/>
      <c r="Q14" s="284" t="s">
        <v>269</v>
      </c>
      <c r="R14" s="234" t="s">
        <v>2424</v>
      </c>
      <c r="S14" s="234"/>
      <c r="T14" s="234" t="s">
        <v>867</v>
      </c>
      <c r="U14" s="234" t="s">
        <v>2425</v>
      </c>
      <c r="V14" s="234" t="s">
        <v>623</v>
      </c>
      <c r="W14" s="234"/>
      <c r="X14" s="234" t="s">
        <v>2426</v>
      </c>
      <c r="Y14" s="234" t="s">
        <v>2427</v>
      </c>
      <c r="Z14" s="234" t="s">
        <v>2428</v>
      </c>
      <c r="AA14" s="234"/>
      <c r="AB14" s="250" t="s">
        <v>2429</v>
      </c>
      <c r="AC14" s="250" t="s">
        <v>1649</v>
      </c>
      <c r="AD14" s="250"/>
      <c r="AE14" s="250" t="s">
        <v>2</v>
      </c>
      <c r="AF14" s="254"/>
      <c r="AG14" s="254" t="s">
        <v>525</v>
      </c>
      <c r="AH14" s="250"/>
      <c r="AI14" s="253"/>
      <c r="AJ14" s="252"/>
      <c r="AK14" s="250" t="s">
        <v>2430</v>
      </c>
      <c r="AL14" s="250"/>
      <c r="AM14" s="250"/>
      <c r="AN14" s="250"/>
      <c r="AO14" s="250" t="s">
        <v>253</v>
      </c>
      <c r="AP14" s="250"/>
      <c r="AQ14" s="349"/>
      <c r="AR14" s="349"/>
      <c r="AS14" s="364"/>
      <c r="AT14" s="359"/>
      <c r="AU14" s="349"/>
      <c r="AV14" s="349"/>
      <c r="AW14" s="349"/>
      <c r="AX14" s="349"/>
      <c r="AY14" s="349"/>
      <c r="AZ14" s="349"/>
      <c r="BA14" s="349"/>
      <c r="BB14" s="374"/>
      <c r="BC14" s="374"/>
      <c r="BD14" s="374"/>
      <c r="BE14" s="374"/>
      <c r="BF14" s="374"/>
      <c r="BG14" s="374"/>
      <c r="BH14" s="374"/>
      <c r="BI14" s="374"/>
    </row>
    <row r="15" spans="1:158" s="10" customFormat="1" ht="409.5">
      <c r="A15" s="234">
        <v>43</v>
      </c>
      <c r="B15" s="243">
        <v>46059.399710648097</v>
      </c>
      <c r="C15" s="243">
        <v>46059.404594907399</v>
      </c>
      <c r="D15" s="244" t="s">
        <v>652</v>
      </c>
      <c r="E15" s="244" t="s">
        <v>653</v>
      </c>
      <c r="F15" s="244" t="s">
        <v>1291</v>
      </c>
      <c r="G15" s="244" t="s">
        <v>1302</v>
      </c>
      <c r="H15" s="244" t="s">
        <v>75</v>
      </c>
      <c r="I15" s="234" t="s">
        <v>76</v>
      </c>
      <c r="J15" s="234" t="s">
        <v>1292</v>
      </c>
      <c r="K15" s="234"/>
      <c r="L15" s="234" t="s">
        <v>161</v>
      </c>
      <c r="M15" s="243">
        <v>46188</v>
      </c>
      <c r="N15" s="234" t="s">
        <v>57</v>
      </c>
      <c r="O15" s="234"/>
      <c r="P15" s="234"/>
      <c r="Q15" s="234"/>
      <c r="R15" s="244" t="s">
        <v>1294</v>
      </c>
      <c r="S15" s="244"/>
      <c r="T15" s="244" t="s">
        <v>1295</v>
      </c>
      <c r="U15" s="244" t="s">
        <v>1300</v>
      </c>
      <c r="V15" s="244" t="s">
        <v>905</v>
      </c>
      <c r="W15" s="244"/>
      <c r="X15" s="244" t="s">
        <v>1303</v>
      </c>
      <c r="Y15" s="244" t="s">
        <v>1304</v>
      </c>
      <c r="Z15" s="234" t="s">
        <v>1305</v>
      </c>
      <c r="AA15" s="234"/>
      <c r="AB15" s="250" t="s">
        <v>694</v>
      </c>
      <c r="AC15" s="250"/>
      <c r="AD15" s="254"/>
      <c r="AE15" s="250" t="s">
        <v>2</v>
      </c>
      <c r="AF15" s="254"/>
      <c r="AG15" s="377"/>
      <c r="AH15" s="255">
        <v>2</v>
      </c>
      <c r="AI15" s="251">
        <f>60*75*1.18</f>
        <v>5310</v>
      </c>
      <c r="AJ15" s="252">
        <v>18850.5</v>
      </c>
      <c r="AK15" s="253" t="s">
        <v>2431</v>
      </c>
      <c r="AL15" s="256" t="s">
        <v>207</v>
      </c>
      <c r="AM15" s="250"/>
      <c r="AN15" s="250"/>
      <c r="AO15" s="255" t="s">
        <v>403</v>
      </c>
      <c r="AP15" s="250"/>
      <c r="AQ15" s="349"/>
      <c r="AR15" s="349"/>
      <c r="AS15" s="364"/>
      <c r="AT15" s="359"/>
      <c r="AU15" s="349"/>
      <c r="AV15" s="349"/>
      <c r="AW15" s="349"/>
      <c r="AX15" s="349"/>
      <c r="AY15" s="349"/>
      <c r="AZ15" s="349"/>
      <c r="BA15" s="349"/>
      <c r="BB15" s="255" t="s">
        <v>188</v>
      </c>
      <c r="BC15" s="250" t="s">
        <v>2432</v>
      </c>
      <c r="BD15" s="255"/>
      <c r="BE15" s="255"/>
      <c r="BF15" s="255"/>
      <c r="BG15" s="255"/>
      <c r="BH15" s="255"/>
      <c r="BI15" s="255"/>
    </row>
    <row r="16" spans="1:158" s="10" customFormat="1" ht="409.5">
      <c r="A16" s="234">
        <v>89</v>
      </c>
      <c r="B16" s="243">
        <v>46108.472812499997</v>
      </c>
      <c r="C16" s="243">
        <v>46108.482928240701</v>
      </c>
      <c r="D16" s="244" t="s">
        <v>1180</v>
      </c>
      <c r="E16" s="244" t="s">
        <v>1181</v>
      </c>
      <c r="F16" s="244" t="s">
        <v>2433</v>
      </c>
      <c r="G16" s="244" t="s">
        <v>2434</v>
      </c>
      <c r="H16" s="244" t="s">
        <v>158</v>
      </c>
      <c r="I16" s="234" t="s">
        <v>393</v>
      </c>
      <c r="J16" s="234" t="s">
        <v>2435</v>
      </c>
      <c r="K16" s="234"/>
      <c r="L16" s="234" t="s">
        <v>161</v>
      </c>
      <c r="M16" s="243">
        <v>46188</v>
      </c>
      <c r="N16" s="234" t="s">
        <v>57</v>
      </c>
      <c r="O16" s="234">
        <v>0</v>
      </c>
      <c r="P16" s="234"/>
      <c r="Q16" s="282" t="s">
        <v>79</v>
      </c>
      <c r="R16" s="244" t="s">
        <v>2436</v>
      </c>
      <c r="S16" s="244"/>
      <c r="T16" s="244" t="s">
        <v>2437</v>
      </c>
      <c r="U16" s="244"/>
      <c r="V16" s="244" t="s">
        <v>623</v>
      </c>
      <c r="W16" s="244"/>
      <c r="X16" s="244" t="s">
        <v>2438</v>
      </c>
      <c r="Y16" s="244" t="s">
        <v>2439</v>
      </c>
      <c r="Z16" s="234" t="s">
        <v>2440</v>
      </c>
      <c r="AA16" s="234"/>
      <c r="AB16" s="250" t="s">
        <v>694</v>
      </c>
      <c r="AC16" s="250" t="s">
        <v>1649</v>
      </c>
      <c r="AD16" s="254"/>
      <c r="AE16" s="250"/>
      <c r="AF16" s="254"/>
      <c r="AG16" s="377"/>
      <c r="AH16" s="255"/>
      <c r="AI16" s="251"/>
      <c r="AJ16" s="252">
        <v>0</v>
      </c>
      <c r="AK16" s="253" t="s">
        <v>2441</v>
      </c>
      <c r="AL16" s="256"/>
      <c r="AM16" s="250"/>
      <c r="AN16" s="250"/>
      <c r="AO16" s="255" t="s">
        <v>403</v>
      </c>
      <c r="AP16" s="250"/>
      <c r="AQ16" s="349"/>
      <c r="AR16" s="349"/>
      <c r="AS16" s="364"/>
      <c r="AT16" s="359"/>
      <c r="AU16" s="349"/>
      <c r="AV16" s="349"/>
      <c r="AW16" s="349"/>
      <c r="AX16" s="349"/>
      <c r="AY16" s="349"/>
      <c r="AZ16" s="349"/>
      <c r="BA16" s="349"/>
      <c r="BB16" s="255" t="s">
        <v>188</v>
      </c>
      <c r="BC16" s="250" t="s">
        <v>2442</v>
      </c>
      <c r="BD16" s="255"/>
      <c r="BE16" s="255"/>
      <c r="BF16" s="255"/>
      <c r="BG16" s="255"/>
      <c r="BH16" s="255"/>
      <c r="BI16" s="255"/>
    </row>
    <row r="17" spans="1:16369" ht="217.5">
      <c r="A17" s="282">
        <v>86</v>
      </c>
      <c r="B17" s="286">
        <v>46106.524722222202</v>
      </c>
      <c r="C17" s="286">
        <v>46106.537141203698</v>
      </c>
      <c r="D17" s="282" t="s">
        <v>1180</v>
      </c>
      <c r="E17" s="282" t="s">
        <v>1181</v>
      </c>
      <c r="F17" s="282" t="s">
        <v>2443</v>
      </c>
      <c r="G17" s="282" t="s">
        <v>2444</v>
      </c>
      <c r="H17" s="282" t="s">
        <v>158</v>
      </c>
      <c r="I17" s="282" t="s">
        <v>393</v>
      </c>
      <c r="J17" s="282" t="s">
        <v>2445</v>
      </c>
      <c r="K17" s="282"/>
      <c r="L17" s="282" t="s">
        <v>161</v>
      </c>
      <c r="M17" s="243">
        <v>46218</v>
      </c>
      <c r="N17" s="282" t="s">
        <v>57</v>
      </c>
      <c r="O17" s="282">
        <v>0</v>
      </c>
      <c r="P17" s="282"/>
      <c r="Q17" s="282" t="s">
        <v>79</v>
      </c>
      <c r="R17" s="282" t="s">
        <v>2446</v>
      </c>
      <c r="S17" s="282"/>
      <c r="T17" s="282" t="s">
        <v>2447</v>
      </c>
      <c r="U17" s="282"/>
      <c r="V17" s="282" t="s">
        <v>977</v>
      </c>
      <c r="W17" s="282"/>
      <c r="X17" s="282" t="s">
        <v>57</v>
      </c>
      <c r="Y17" s="282" t="s">
        <v>2448</v>
      </c>
      <c r="Z17" s="282" t="s">
        <v>2449</v>
      </c>
      <c r="AA17" s="282"/>
      <c r="AB17" s="374" t="s">
        <v>2450</v>
      </c>
      <c r="AC17" s="374" t="s">
        <v>2451</v>
      </c>
      <c r="AD17" s="374"/>
      <c r="AE17" s="374"/>
      <c r="AF17" s="374"/>
      <c r="AG17" s="374"/>
      <c r="AH17" s="374"/>
      <c r="AI17" s="374"/>
      <c r="AJ17" s="374"/>
      <c r="AK17" s="374"/>
      <c r="AL17" s="374"/>
      <c r="AM17" s="374"/>
      <c r="AN17" s="374"/>
      <c r="AO17" s="374" t="s">
        <v>69</v>
      </c>
      <c r="AP17" s="250" t="s">
        <v>2452</v>
      </c>
      <c r="AQ17" s="349"/>
      <c r="AR17" s="349"/>
      <c r="AS17" s="364"/>
      <c r="AT17" s="359"/>
      <c r="AU17" s="349"/>
      <c r="AV17" s="349"/>
      <c r="AW17" s="349"/>
      <c r="AX17" s="349"/>
      <c r="AY17" s="349"/>
      <c r="AZ17" s="349"/>
      <c r="BA17" s="349"/>
      <c r="BB17" s="374"/>
      <c r="BC17" s="374" t="s">
        <v>2453</v>
      </c>
      <c r="BD17" s="374"/>
      <c r="BE17" s="374"/>
      <c r="BF17" s="374"/>
      <c r="BG17" s="374"/>
      <c r="BH17" s="374"/>
      <c r="BI17" s="374"/>
    </row>
    <row r="18" spans="1:16369" ht="66.75" customHeight="1">
      <c r="A18" s="282">
        <v>125</v>
      </c>
      <c r="B18" s="286">
        <v>46141.514305555596</v>
      </c>
      <c r="C18" s="286">
        <v>46141.571064814802</v>
      </c>
      <c r="D18" s="282" t="s">
        <v>2454</v>
      </c>
      <c r="E18" s="282" t="s">
        <v>2455</v>
      </c>
      <c r="F18" s="282" t="s">
        <v>2456</v>
      </c>
      <c r="G18" s="282" t="s">
        <v>2457</v>
      </c>
      <c r="H18" s="282" t="s">
        <v>158</v>
      </c>
      <c r="I18" s="282" t="s">
        <v>280</v>
      </c>
      <c r="J18" s="282" t="s">
        <v>2458</v>
      </c>
      <c r="K18" s="282"/>
      <c r="L18" s="282">
        <v>0</v>
      </c>
      <c r="M18" s="243">
        <v>46158</v>
      </c>
      <c r="N18" s="282" t="s">
        <v>57</v>
      </c>
      <c r="O18" s="282">
        <v>0</v>
      </c>
      <c r="P18" s="282"/>
      <c r="Q18" s="282" t="s">
        <v>79</v>
      </c>
      <c r="R18" s="282" t="s">
        <v>2459</v>
      </c>
      <c r="S18" s="282"/>
      <c r="T18" s="282" t="s">
        <v>2460</v>
      </c>
      <c r="U18" s="282"/>
      <c r="V18" s="282" t="s">
        <v>63</v>
      </c>
      <c r="W18" s="282"/>
      <c r="X18" s="282" t="s">
        <v>2461</v>
      </c>
      <c r="Y18" s="282" t="s">
        <v>2462</v>
      </c>
      <c r="Z18" s="282">
        <v>0</v>
      </c>
      <c r="AA18" s="282"/>
      <c r="AB18" s="374"/>
      <c r="AC18" s="374"/>
      <c r="AD18" s="374"/>
      <c r="AE18" s="374"/>
      <c r="AF18" s="374"/>
      <c r="AG18" s="374"/>
      <c r="AH18" s="374"/>
      <c r="AI18" s="374"/>
      <c r="AJ18" s="374"/>
      <c r="AK18" s="374"/>
      <c r="AL18" s="374"/>
      <c r="AM18" s="374"/>
      <c r="AN18" s="374"/>
      <c r="AO18" s="374"/>
      <c r="AP18" s="250" t="s">
        <v>2463</v>
      </c>
      <c r="AQ18" s="349"/>
      <c r="AR18" s="349"/>
      <c r="AS18" s="364"/>
      <c r="AT18" s="359"/>
      <c r="AU18" s="349"/>
      <c r="AV18" s="349"/>
      <c r="AW18" s="349"/>
      <c r="AX18" s="349"/>
      <c r="AY18" s="349"/>
      <c r="AZ18" s="349"/>
      <c r="BA18" s="349"/>
      <c r="BB18" s="374"/>
      <c r="BC18" s="374"/>
      <c r="BD18" s="374"/>
      <c r="BE18" s="374"/>
      <c r="BF18" s="374"/>
      <c r="BG18" s="374"/>
      <c r="BH18" s="374"/>
      <c r="BI18" s="374"/>
    </row>
    <row r="19" spans="1:16369" ht="83.25" customHeight="1">
      <c r="A19" s="282">
        <v>79</v>
      </c>
      <c r="B19" s="286">
        <v>46101.478958333297</v>
      </c>
      <c r="C19" s="286">
        <v>46101.485960648097</v>
      </c>
      <c r="D19" s="282" t="s">
        <v>1445</v>
      </c>
      <c r="E19" s="282" t="s">
        <v>180</v>
      </c>
      <c r="F19" s="282" t="s">
        <v>2464</v>
      </c>
      <c r="G19" s="282" t="s">
        <v>2465</v>
      </c>
      <c r="H19" s="282" t="s">
        <v>75</v>
      </c>
      <c r="I19" s="282" t="s">
        <v>159</v>
      </c>
      <c r="J19" s="282" t="s">
        <v>1069</v>
      </c>
      <c r="K19" s="282"/>
      <c r="L19" s="282" t="s">
        <v>184</v>
      </c>
      <c r="M19" s="243">
        <v>46234</v>
      </c>
      <c r="N19" s="282" t="s">
        <v>57</v>
      </c>
      <c r="O19" s="282">
        <v>0</v>
      </c>
      <c r="P19" s="282"/>
      <c r="Q19" s="282" t="s">
        <v>79</v>
      </c>
      <c r="R19" s="282" t="s">
        <v>2466</v>
      </c>
      <c r="S19" s="282"/>
      <c r="T19" s="282" t="s">
        <v>2467</v>
      </c>
      <c r="U19" s="282"/>
      <c r="V19" s="282" t="s">
        <v>977</v>
      </c>
      <c r="W19" s="282"/>
      <c r="X19" s="282" t="s">
        <v>2468</v>
      </c>
      <c r="Y19" s="282" t="s">
        <v>2469</v>
      </c>
      <c r="Z19" s="282" t="s">
        <v>2470</v>
      </c>
      <c r="AA19" s="282"/>
      <c r="AB19" s="374" t="s">
        <v>2471</v>
      </c>
      <c r="AC19" s="374" t="s">
        <v>2451</v>
      </c>
      <c r="AD19" s="374"/>
      <c r="AE19" s="374" t="s">
        <v>4</v>
      </c>
      <c r="AF19" s="374"/>
      <c r="AG19" s="374"/>
      <c r="AH19" s="374">
        <v>0.75</v>
      </c>
      <c r="AI19" s="374"/>
      <c r="AJ19" s="374">
        <v>22000</v>
      </c>
      <c r="AK19" s="374" t="s">
        <v>2472</v>
      </c>
      <c r="AL19" s="374" t="s">
        <v>223</v>
      </c>
      <c r="AM19" s="374" t="s">
        <v>1974</v>
      </c>
      <c r="AN19" s="374"/>
      <c r="AO19" s="374" t="s">
        <v>403</v>
      </c>
      <c r="AP19" s="250"/>
      <c r="AQ19" s="349"/>
      <c r="AR19" s="349"/>
      <c r="AS19" s="364"/>
      <c r="AT19" s="359"/>
      <c r="AU19" s="349"/>
      <c r="AV19" s="349"/>
      <c r="AW19" s="349"/>
      <c r="AX19" s="349"/>
      <c r="AY19" s="349"/>
      <c r="AZ19" s="349"/>
      <c r="BA19" s="349"/>
      <c r="BB19" s="374" t="s">
        <v>188</v>
      </c>
      <c r="BC19" s="374" t="s">
        <v>2473</v>
      </c>
      <c r="BD19" s="374"/>
      <c r="BE19" s="374"/>
      <c r="BF19" s="374"/>
      <c r="BG19" s="374"/>
      <c r="BH19" s="374"/>
      <c r="BI19" s="374"/>
    </row>
    <row r="20" spans="1:16369" ht="67.5" customHeight="1">
      <c r="A20" s="282">
        <v>88</v>
      </c>
      <c r="B20" s="286">
        <v>46101.486909722204</v>
      </c>
      <c r="C20" s="286">
        <v>46106.567800925899</v>
      </c>
      <c r="D20" s="282" t="s">
        <v>1445</v>
      </c>
      <c r="E20" s="282" t="s">
        <v>180</v>
      </c>
      <c r="F20" s="282" t="s">
        <v>2474</v>
      </c>
      <c r="G20" s="282" t="s">
        <v>2475</v>
      </c>
      <c r="H20" s="282" t="s">
        <v>75</v>
      </c>
      <c r="I20" s="282" t="s">
        <v>76</v>
      </c>
      <c r="J20" s="282" t="s">
        <v>736</v>
      </c>
      <c r="K20" s="282"/>
      <c r="L20" s="282" t="s">
        <v>184</v>
      </c>
      <c r="M20" s="243">
        <v>46129</v>
      </c>
      <c r="N20" s="282" t="s">
        <v>57</v>
      </c>
      <c r="O20" s="282">
        <v>0</v>
      </c>
      <c r="P20" s="282"/>
      <c r="Q20" s="282" t="s">
        <v>79</v>
      </c>
      <c r="R20" s="282" t="s">
        <v>2476</v>
      </c>
      <c r="S20" s="282"/>
      <c r="T20" s="282" t="s">
        <v>2477</v>
      </c>
      <c r="U20" s="282"/>
      <c r="V20" s="282" t="s">
        <v>2478</v>
      </c>
      <c r="W20" s="282"/>
      <c r="X20" s="282" t="s">
        <v>2479</v>
      </c>
      <c r="Y20" s="282" t="s">
        <v>2480</v>
      </c>
      <c r="Z20" s="282" t="s">
        <v>2481</v>
      </c>
      <c r="AA20" s="282"/>
      <c r="AB20" s="374" t="s">
        <v>2471</v>
      </c>
      <c r="AC20" s="374" t="s">
        <v>1649</v>
      </c>
      <c r="AD20" s="374"/>
      <c r="AE20" s="374" t="s">
        <v>2</v>
      </c>
      <c r="AF20" s="374"/>
      <c r="AG20" s="374"/>
      <c r="AH20" s="374">
        <v>4</v>
      </c>
      <c r="AI20" s="374">
        <v>23200</v>
      </c>
      <c r="AJ20" s="374">
        <v>82360</v>
      </c>
      <c r="AK20" s="374" t="s">
        <v>2482</v>
      </c>
      <c r="AL20" s="374" t="s">
        <v>223</v>
      </c>
      <c r="AM20" s="374" t="s">
        <v>208</v>
      </c>
      <c r="AN20" s="374"/>
      <c r="AO20" s="374" t="s">
        <v>403</v>
      </c>
      <c r="AP20" s="250"/>
      <c r="AQ20" s="349"/>
      <c r="AR20" s="349"/>
      <c r="AS20" s="364"/>
      <c r="AT20" s="359"/>
      <c r="AU20" s="349"/>
      <c r="AV20" s="349"/>
      <c r="AW20" s="349"/>
      <c r="AX20" s="349"/>
      <c r="AY20" s="349"/>
      <c r="AZ20" s="349"/>
      <c r="BA20" s="349"/>
      <c r="BB20" s="374" t="s">
        <v>57</v>
      </c>
      <c r="BC20" s="374" t="s">
        <v>2483</v>
      </c>
      <c r="BD20" s="374"/>
      <c r="BE20" s="374"/>
      <c r="BF20" s="374"/>
      <c r="BG20" s="374"/>
      <c r="BH20" s="374"/>
      <c r="BI20" s="374"/>
    </row>
    <row r="21" spans="1:16369" ht="102" customHeight="1">
      <c r="A21" s="282">
        <v>123</v>
      </c>
      <c r="B21" s="286">
        <v>46141.475590277798</v>
      </c>
      <c r="C21" s="286">
        <v>46141.484548611101</v>
      </c>
      <c r="D21" s="282" t="s">
        <v>1752</v>
      </c>
      <c r="E21" s="282" t="s">
        <v>1181</v>
      </c>
      <c r="F21" s="282" t="s">
        <v>2343</v>
      </c>
      <c r="G21" s="282" t="s">
        <v>2484</v>
      </c>
      <c r="H21" s="282" t="s">
        <v>75</v>
      </c>
      <c r="I21" s="282" t="s">
        <v>91</v>
      </c>
      <c r="J21" s="282" t="s">
        <v>2485</v>
      </c>
      <c r="K21" s="282"/>
      <c r="L21" s="282" t="s">
        <v>258</v>
      </c>
      <c r="M21" s="243">
        <v>46150</v>
      </c>
      <c r="N21" s="282" t="s">
        <v>57</v>
      </c>
      <c r="O21" s="282">
        <v>0</v>
      </c>
      <c r="P21" s="282"/>
      <c r="Q21" s="282" t="s">
        <v>79</v>
      </c>
      <c r="R21" s="282" t="s">
        <v>2486</v>
      </c>
      <c r="S21" s="282"/>
      <c r="T21" s="282" t="s">
        <v>2487</v>
      </c>
      <c r="U21" s="282"/>
      <c r="V21" s="282" t="s">
        <v>63</v>
      </c>
      <c r="W21" s="282"/>
      <c r="X21" s="282" t="s">
        <v>2488</v>
      </c>
      <c r="Y21" s="282" t="s">
        <v>2348</v>
      </c>
      <c r="Z21" s="282" t="s">
        <v>2489</v>
      </c>
      <c r="AA21" s="282"/>
      <c r="AB21" s="374" t="s">
        <v>585</v>
      </c>
      <c r="AC21" s="374" t="s">
        <v>68</v>
      </c>
      <c r="AD21" s="374">
        <v>46142</v>
      </c>
      <c r="AE21" s="374"/>
      <c r="AF21" s="374"/>
      <c r="AG21" s="374"/>
      <c r="AH21" s="374"/>
      <c r="AI21" s="374"/>
      <c r="AJ21" s="374"/>
      <c r="AK21" s="374"/>
      <c r="AL21" s="374"/>
      <c r="AM21" s="374"/>
      <c r="AN21" s="374"/>
      <c r="AO21" s="374" t="s">
        <v>253</v>
      </c>
      <c r="AP21" s="250" t="s">
        <v>2490</v>
      </c>
      <c r="AQ21" s="349"/>
      <c r="AR21" s="349"/>
      <c r="AS21" s="364"/>
      <c r="AT21" s="359"/>
      <c r="AU21" s="349"/>
      <c r="AV21" s="349"/>
      <c r="AW21" s="349"/>
      <c r="AX21" s="349"/>
      <c r="AY21" s="349"/>
      <c r="AZ21" s="349"/>
      <c r="BA21" s="349"/>
      <c r="BB21" s="374"/>
      <c r="BC21" s="374"/>
      <c r="BD21" s="374"/>
      <c r="BE21" s="374"/>
      <c r="BF21" s="374"/>
      <c r="BG21" s="374"/>
      <c r="BH21" s="374"/>
      <c r="BI21" s="374"/>
    </row>
    <row r="22" spans="1:16369" ht="85.5" customHeight="1">
      <c r="A22" s="282">
        <v>73</v>
      </c>
      <c r="B22" s="286">
        <v>46097.713333333297</v>
      </c>
      <c r="C22" s="286">
        <v>46097.749722222201</v>
      </c>
      <c r="D22" s="282" t="s">
        <v>713</v>
      </c>
      <c r="E22" s="282" t="s">
        <v>714</v>
      </c>
      <c r="F22" s="282" t="s">
        <v>2491</v>
      </c>
      <c r="G22" s="282" t="s">
        <v>2492</v>
      </c>
      <c r="H22" s="282" t="s">
        <v>75</v>
      </c>
      <c r="I22" s="282" t="s">
        <v>76</v>
      </c>
      <c r="J22" s="282" t="s">
        <v>2493</v>
      </c>
      <c r="K22" s="282"/>
      <c r="L22" s="282" t="s">
        <v>184</v>
      </c>
      <c r="M22" s="243">
        <v>46111</v>
      </c>
      <c r="N22" s="282" t="s">
        <v>57</v>
      </c>
      <c r="O22" s="282">
        <v>0</v>
      </c>
      <c r="P22" s="282"/>
      <c r="Q22" s="282" t="s">
        <v>79</v>
      </c>
      <c r="R22" s="282" t="s">
        <v>2494</v>
      </c>
      <c r="S22" s="282"/>
      <c r="T22" s="282" t="s">
        <v>2495</v>
      </c>
      <c r="U22" s="282"/>
      <c r="V22" s="282" t="s">
        <v>2496</v>
      </c>
      <c r="W22" s="282"/>
      <c r="X22" s="282" t="s">
        <v>2497</v>
      </c>
      <c r="Y22" s="282" t="s">
        <v>2498</v>
      </c>
      <c r="Z22" s="282" t="s">
        <v>2499</v>
      </c>
      <c r="AA22" s="282"/>
      <c r="AB22" s="374" t="s">
        <v>2500</v>
      </c>
      <c r="AC22" s="374" t="s">
        <v>1649</v>
      </c>
      <c r="AD22" s="374"/>
      <c r="AE22" s="374" t="s">
        <v>3</v>
      </c>
      <c r="AF22" s="374"/>
      <c r="AG22" s="374"/>
      <c r="AH22" s="374">
        <v>2</v>
      </c>
      <c r="AI22" s="374">
        <v>3400</v>
      </c>
      <c r="AJ22" s="374">
        <v>12070</v>
      </c>
      <c r="AK22" s="374" t="s">
        <v>2501</v>
      </c>
      <c r="AL22" s="374" t="s">
        <v>207</v>
      </c>
      <c r="AM22" s="374" t="s">
        <v>1665</v>
      </c>
      <c r="AN22" s="374"/>
      <c r="AO22" s="374" t="s">
        <v>403</v>
      </c>
      <c r="AP22" s="250"/>
      <c r="AQ22" s="349"/>
      <c r="AR22" s="349"/>
      <c r="AS22" s="364"/>
      <c r="AT22" s="359"/>
      <c r="AU22" s="349"/>
      <c r="AV22" s="349"/>
      <c r="AW22" s="349"/>
      <c r="AX22" s="349"/>
      <c r="AY22" s="349"/>
      <c r="AZ22" s="349"/>
      <c r="BA22" s="349"/>
      <c r="BB22" s="374" t="s">
        <v>188</v>
      </c>
      <c r="BC22" s="374" t="s">
        <v>2502</v>
      </c>
      <c r="BD22" s="374"/>
      <c r="BE22" s="374"/>
      <c r="BF22" s="374"/>
      <c r="BG22" s="374"/>
      <c r="BH22" s="374"/>
      <c r="BI22" s="374"/>
    </row>
    <row r="23" spans="1:16369" ht="87" customHeight="1">
      <c r="A23" s="282">
        <v>85</v>
      </c>
      <c r="B23" s="286">
        <v>46105.588715277801</v>
      </c>
      <c r="C23" s="286">
        <v>46106.476041666698</v>
      </c>
      <c r="D23" s="282" t="s">
        <v>1180</v>
      </c>
      <c r="E23" s="282" t="s">
        <v>1181</v>
      </c>
      <c r="F23" s="282" t="s">
        <v>2503</v>
      </c>
      <c r="G23" s="282" t="s">
        <v>2504</v>
      </c>
      <c r="H23" s="282" t="s">
        <v>158</v>
      </c>
      <c r="I23" s="282" t="s">
        <v>159</v>
      </c>
      <c r="J23" s="282" t="s">
        <v>2505</v>
      </c>
      <c r="K23" s="282"/>
      <c r="L23" s="282" t="s">
        <v>184</v>
      </c>
      <c r="M23" s="243">
        <v>46142</v>
      </c>
      <c r="N23" s="282" t="s">
        <v>57</v>
      </c>
      <c r="O23" s="282">
        <v>0</v>
      </c>
      <c r="P23" s="282"/>
      <c r="Q23" s="282" t="s">
        <v>79</v>
      </c>
      <c r="R23" s="282" t="s">
        <v>2506</v>
      </c>
      <c r="S23" s="282"/>
      <c r="T23" s="282" t="s">
        <v>2507</v>
      </c>
      <c r="U23" s="282"/>
      <c r="V23" s="282" t="s">
        <v>623</v>
      </c>
      <c r="W23" s="282"/>
      <c r="X23" s="282" t="s">
        <v>2508</v>
      </c>
      <c r="Y23" s="282" t="s">
        <v>2509</v>
      </c>
      <c r="Z23" s="282" t="s">
        <v>2510</v>
      </c>
      <c r="AA23" s="282"/>
      <c r="AB23" s="374" t="s">
        <v>1701</v>
      </c>
      <c r="AC23" s="374" t="s">
        <v>2451</v>
      </c>
      <c r="AD23" s="374"/>
      <c r="AE23" s="374" t="s">
        <v>2145</v>
      </c>
      <c r="AF23" s="374"/>
      <c r="AG23" s="374"/>
      <c r="AH23" s="374">
        <v>1</v>
      </c>
      <c r="AI23" s="374">
        <v>3000</v>
      </c>
      <c r="AJ23" s="374">
        <v>10650</v>
      </c>
      <c r="AK23" s="374" t="s">
        <v>2511</v>
      </c>
      <c r="AL23" s="374" t="s">
        <v>223</v>
      </c>
      <c r="AM23" s="374" t="s">
        <v>1651</v>
      </c>
      <c r="AN23" s="374"/>
      <c r="AO23" s="374" t="s">
        <v>403</v>
      </c>
      <c r="AP23" s="250"/>
      <c r="AQ23" s="349"/>
      <c r="AR23" s="349"/>
      <c r="AS23" s="364"/>
      <c r="AT23" s="359"/>
      <c r="AU23" s="349"/>
      <c r="AV23" s="349"/>
      <c r="AW23" s="349"/>
      <c r="AX23" s="349"/>
      <c r="AY23" s="349"/>
      <c r="AZ23" s="349"/>
      <c r="BA23" s="349"/>
      <c r="BB23" s="374" t="s">
        <v>188</v>
      </c>
      <c r="BC23" s="374" t="s">
        <v>2512</v>
      </c>
      <c r="BD23" s="374"/>
      <c r="BE23" s="374"/>
      <c r="BF23" s="374"/>
      <c r="BG23" s="374"/>
      <c r="BH23" s="374"/>
      <c r="BI23" s="374"/>
    </row>
    <row r="24" spans="1:16369" ht="72" customHeight="1">
      <c r="A24" s="282">
        <v>39</v>
      </c>
      <c r="B24" s="286">
        <v>46057.3828125</v>
      </c>
      <c r="C24" s="286">
        <v>46057.402731481503</v>
      </c>
      <c r="D24" s="282" t="s">
        <v>652</v>
      </c>
      <c r="E24" s="282" t="s">
        <v>653</v>
      </c>
      <c r="F24" s="282" t="s">
        <v>654</v>
      </c>
      <c r="G24" s="282" t="s">
        <v>655</v>
      </c>
      <c r="H24" s="282" t="s">
        <v>75</v>
      </c>
      <c r="I24" s="282" t="s">
        <v>76</v>
      </c>
      <c r="J24" s="282" t="s">
        <v>656</v>
      </c>
      <c r="K24" s="282"/>
      <c r="L24" s="282" t="s">
        <v>161</v>
      </c>
      <c r="M24" s="243">
        <v>46094</v>
      </c>
      <c r="N24" s="282" t="s">
        <v>57</v>
      </c>
      <c r="O24" s="282"/>
      <c r="P24" s="282"/>
      <c r="Q24" s="282" t="s">
        <v>79</v>
      </c>
      <c r="R24" s="282" t="s">
        <v>660</v>
      </c>
      <c r="S24" s="282"/>
      <c r="T24" s="282" t="s">
        <v>661</v>
      </c>
      <c r="U24" s="282"/>
      <c r="V24" s="282" t="s">
        <v>503</v>
      </c>
      <c r="W24" s="282"/>
      <c r="X24" s="282" t="s">
        <v>668</v>
      </c>
      <c r="Y24" s="282" t="s">
        <v>669</v>
      </c>
      <c r="Z24" s="282" t="s">
        <v>670</v>
      </c>
      <c r="AA24" s="282"/>
      <c r="AB24" s="374" t="s">
        <v>2513</v>
      </c>
      <c r="AC24" s="374" t="s">
        <v>205</v>
      </c>
      <c r="AD24" s="374"/>
      <c r="AE24" s="374" t="s">
        <v>3</v>
      </c>
      <c r="AF24" s="374"/>
      <c r="AG24" s="374">
        <v>46136</v>
      </c>
      <c r="AH24" s="374">
        <v>2.5</v>
      </c>
      <c r="AI24" s="374">
        <v>25515</v>
      </c>
      <c r="AJ24" s="374">
        <v>90571.15</v>
      </c>
      <c r="AK24" s="374" t="s">
        <v>2514</v>
      </c>
      <c r="AL24" s="374" t="s">
        <v>207</v>
      </c>
      <c r="AM24" s="374" t="s">
        <v>1665</v>
      </c>
      <c r="AN24" s="374"/>
      <c r="AO24" s="374" t="s">
        <v>403</v>
      </c>
      <c r="AP24" s="250" t="s">
        <v>2515</v>
      </c>
      <c r="AQ24" s="349"/>
      <c r="AR24" s="349"/>
      <c r="AS24" s="364"/>
      <c r="AT24" s="359"/>
      <c r="AU24" s="349"/>
      <c r="AV24" s="349"/>
      <c r="AW24" s="349"/>
      <c r="AX24" s="349"/>
      <c r="AY24" s="349"/>
      <c r="AZ24" s="349"/>
      <c r="BA24" s="349"/>
      <c r="BB24" s="374" t="s">
        <v>188</v>
      </c>
      <c r="BC24" s="374" t="s">
        <v>2516</v>
      </c>
      <c r="BD24" s="374"/>
      <c r="BE24" s="374"/>
      <c r="BF24" s="374"/>
      <c r="BG24" s="374"/>
      <c r="BH24" s="374"/>
      <c r="BI24" s="374"/>
    </row>
    <row r="25" spans="1:16369" ht="63" customHeight="1">
      <c r="A25" s="282">
        <v>81</v>
      </c>
      <c r="B25" s="286">
        <v>46105.575358796297</v>
      </c>
      <c r="C25" s="286">
        <v>46105.606215277803</v>
      </c>
      <c r="D25" s="282" t="s">
        <v>824</v>
      </c>
      <c r="E25" s="282" t="s">
        <v>125</v>
      </c>
      <c r="F25" s="282" t="s">
        <v>2517</v>
      </c>
      <c r="G25" s="282" t="s">
        <v>2518</v>
      </c>
      <c r="H25" s="282" t="s">
        <v>158</v>
      </c>
      <c r="I25" s="282" t="s">
        <v>393</v>
      </c>
      <c r="J25" s="282" t="s">
        <v>2519</v>
      </c>
      <c r="K25" s="282"/>
      <c r="L25" s="282" t="s">
        <v>161</v>
      </c>
      <c r="M25" s="243">
        <v>46356</v>
      </c>
      <c r="N25" s="282" t="s">
        <v>83</v>
      </c>
      <c r="O25" s="282" t="s">
        <v>1709</v>
      </c>
      <c r="P25" s="282"/>
      <c r="Q25" s="282" t="s">
        <v>79</v>
      </c>
      <c r="R25" s="282" t="s">
        <v>2520</v>
      </c>
      <c r="S25" s="282"/>
      <c r="T25" s="282" t="s">
        <v>2521</v>
      </c>
      <c r="U25" s="282"/>
      <c r="V25" s="282" t="s">
        <v>1081</v>
      </c>
      <c r="W25" s="282"/>
      <c r="X25" s="282" t="s">
        <v>2522</v>
      </c>
      <c r="Y25" s="282" t="s">
        <v>2523</v>
      </c>
      <c r="Z25" s="282" t="s">
        <v>2524</v>
      </c>
      <c r="AA25" s="282"/>
      <c r="AB25" s="374" t="s">
        <v>2500</v>
      </c>
      <c r="AC25" s="374" t="s">
        <v>205</v>
      </c>
      <c r="AD25" s="374"/>
      <c r="AE25" s="374" t="s">
        <v>2</v>
      </c>
      <c r="AF25" s="374"/>
      <c r="AG25" s="374"/>
      <c r="AH25" s="374">
        <v>7</v>
      </c>
      <c r="AI25" s="374">
        <v>395723.62</v>
      </c>
      <c r="AJ25" s="374">
        <v>1404818.851</v>
      </c>
      <c r="AK25" s="374" t="s">
        <v>2525</v>
      </c>
      <c r="AL25" s="374" t="s">
        <v>207</v>
      </c>
      <c r="AM25" s="374" t="s">
        <v>208</v>
      </c>
      <c r="AN25" s="374"/>
      <c r="AO25" s="374" t="s">
        <v>403</v>
      </c>
      <c r="AP25" s="250"/>
      <c r="AQ25" s="349"/>
      <c r="AR25" s="349"/>
      <c r="AS25" s="364"/>
      <c r="AT25" s="359"/>
      <c r="AU25" s="349"/>
      <c r="AV25" s="349"/>
      <c r="AW25" s="349"/>
      <c r="AX25" s="349"/>
      <c r="AY25" s="349"/>
      <c r="AZ25" s="349"/>
      <c r="BA25" s="349"/>
      <c r="BB25" s="374" t="s">
        <v>188</v>
      </c>
      <c r="BC25" s="374" t="s">
        <v>2526</v>
      </c>
      <c r="BD25" s="374"/>
      <c r="BE25" s="374"/>
      <c r="BF25" s="374"/>
      <c r="BG25" s="374"/>
      <c r="BH25" s="374"/>
      <c r="BI25" s="374"/>
    </row>
    <row r="26" spans="1:16369" ht="64.5" customHeight="1">
      <c r="A26" s="282">
        <v>76</v>
      </c>
      <c r="B26" s="286">
        <v>46099.400451388901</v>
      </c>
      <c r="C26" s="286">
        <v>46099.413530092599</v>
      </c>
      <c r="D26" s="282" t="s">
        <v>652</v>
      </c>
      <c r="E26" s="282" t="s">
        <v>653</v>
      </c>
      <c r="F26" s="282" t="s">
        <v>2527</v>
      </c>
      <c r="G26" s="282" t="s">
        <v>2528</v>
      </c>
      <c r="H26" s="282" t="s">
        <v>75</v>
      </c>
      <c r="I26" s="282" t="s">
        <v>76</v>
      </c>
      <c r="J26" s="282" t="s">
        <v>2529</v>
      </c>
      <c r="K26" s="282"/>
      <c r="L26" s="282" t="s">
        <v>184</v>
      </c>
      <c r="M26" s="243">
        <v>46238</v>
      </c>
      <c r="N26" s="282" t="s">
        <v>57</v>
      </c>
      <c r="O26" s="282">
        <v>0</v>
      </c>
      <c r="P26" s="282"/>
      <c r="Q26" s="282" t="s">
        <v>79</v>
      </c>
      <c r="R26" s="282" t="s">
        <v>2530</v>
      </c>
      <c r="S26" s="282"/>
      <c r="T26" s="282" t="s">
        <v>2531</v>
      </c>
      <c r="U26" s="282" t="s">
        <v>82</v>
      </c>
      <c r="V26" s="282" t="s">
        <v>623</v>
      </c>
      <c r="W26" s="282"/>
      <c r="X26" s="282" t="s">
        <v>188</v>
      </c>
      <c r="Y26" s="282" t="s">
        <v>2532</v>
      </c>
      <c r="Z26" s="374" t="s">
        <v>2533</v>
      </c>
      <c r="AA26" s="282"/>
      <c r="AB26" s="374" t="s">
        <v>67</v>
      </c>
      <c r="AC26" s="374" t="s">
        <v>1649</v>
      </c>
      <c r="AD26" s="374"/>
      <c r="AE26" s="374" t="s">
        <v>2</v>
      </c>
      <c r="AF26" s="374"/>
      <c r="AG26" s="374">
        <v>6</v>
      </c>
      <c r="AH26" s="374"/>
      <c r="AI26" s="374">
        <v>165863.04000000001</v>
      </c>
      <c r="AJ26" s="374" t="s">
        <v>2534</v>
      </c>
      <c r="AK26" s="374" t="s">
        <v>207</v>
      </c>
      <c r="AL26" s="374"/>
      <c r="AM26" s="374"/>
      <c r="AN26" s="374" t="s">
        <v>403</v>
      </c>
      <c r="AO26" s="250" t="s">
        <v>2535</v>
      </c>
      <c r="AP26" s="374" t="s">
        <v>188</v>
      </c>
      <c r="AQ26" s="349"/>
      <c r="AR26" s="349"/>
      <c r="AS26" s="364"/>
      <c r="AT26" s="359"/>
      <c r="AU26" s="349"/>
      <c r="AV26" s="349"/>
      <c r="AW26" s="349"/>
      <c r="AX26" s="349"/>
      <c r="AY26" s="349"/>
      <c r="AZ26" s="349"/>
      <c r="BA26" s="349"/>
      <c r="BB26" s="374" t="s">
        <v>2536</v>
      </c>
      <c r="BC26" s="374"/>
      <c r="BD26" s="374"/>
      <c r="BE26" s="374"/>
      <c r="BF26" s="374"/>
      <c r="BG26" s="374"/>
      <c r="BH26" s="374"/>
    </row>
    <row r="27" spans="1:16369" ht="55.5" customHeight="1">
      <c r="A27" s="282">
        <v>91</v>
      </c>
      <c r="B27" s="286">
        <v>46111.738842592596</v>
      </c>
      <c r="C27" s="286">
        <v>46111.8370138889</v>
      </c>
      <c r="D27" s="282" t="s">
        <v>1445</v>
      </c>
      <c r="E27" s="282" t="s">
        <v>180</v>
      </c>
      <c r="F27" s="282" t="s">
        <v>2537</v>
      </c>
      <c r="G27" s="282" t="s">
        <v>2538</v>
      </c>
      <c r="H27" s="282" t="s">
        <v>75</v>
      </c>
      <c r="I27" s="282" t="s">
        <v>76</v>
      </c>
      <c r="J27" s="282" t="s">
        <v>2539</v>
      </c>
      <c r="K27" s="282"/>
      <c r="L27" s="282" t="s">
        <v>161</v>
      </c>
      <c r="M27" s="243">
        <v>46387</v>
      </c>
      <c r="N27" s="282" t="s">
        <v>57</v>
      </c>
      <c r="O27" s="282">
        <v>0</v>
      </c>
      <c r="P27" s="282"/>
      <c r="Q27" s="282" t="s">
        <v>79</v>
      </c>
      <c r="R27" s="282" t="s">
        <v>2540</v>
      </c>
      <c r="S27" s="282"/>
      <c r="T27" s="282" t="s">
        <v>2541</v>
      </c>
      <c r="U27" s="282" t="s">
        <v>82</v>
      </c>
      <c r="V27" s="282" t="s">
        <v>2496</v>
      </c>
      <c r="W27" s="282" t="s">
        <v>224</v>
      </c>
      <c r="X27" s="282" t="s">
        <v>166</v>
      </c>
      <c r="Y27" s="282" t="s">
        <v>378</v>
      </c>
      <c r="Z27" s="282" t="s">
        <v>2542</v>
      </c>
      <c r="AA27" s="282"/>
      <c r="AB27" s="374" t="s">
        <v>122</v>
      </c>
      <c r="AC27" s="374" t="s">
        <v>1649</v>
      </c>
      <c r="AD27" s="378">
        <v>46142</v>
      </c>
      <c r="AE27" s="374" t="s">
        <v>3</v>
      </c>
      <c r="AF27" s="374">
        <v>46128</v>
      </c>
      <c r="AG27" s="374">
        <v>46129</v>
      </c>
      <c r="AH27" s="374">
        <v>4</v>
      </c>
      <c r="AI27" s="374">
        <v>16851</v>
      </c>
      <c r="AJ27" s="374">
        <v>59821.049999999996</v>
      </c>
      <c r="AK27" s="374"/>
      <c r="AL27" s="374" t="s">
        <v>207</v>
      </c>
      <c r="AM27" s="374" t="s">
        <v>208</v>
      </c>
      <c r="AN27" s="374"/>
      <c r="AO27" s="250" t="s">
        <v>403</v>
      </c>
      <c r="AP27" s="374"/>
      <c r="AQ27" s="349"/>
      <c r="AR27" s="349"/>
      <c r="AS27" s="364"/>
      <c r="AT27" s="359"/>
      <c r="AU27" s="349"/>
      <c r="AV27" s="349"/>
      <c r="AW27" s="349"/>
      <c r="AX27" s="349"/>
      <c r="AY27" s="349"/>
      <c r="AZ27" s="349"/>
      <c r="BA27" s="349"/>
      <c r="BB27" s="374" t="s">
        <v>224</v>
      </c>
      <c r="BC27" s="374"/>
      <c r="BD27" s="374" t="s">
        <v>224</v>
      </c>
      <c r="BE27" s="374"/>
      <c r="BF27" s="374"/>
      <c r="BG27" s="374"/>
      <c r="BH27" s="374"/>
    </row>
    <row r="28" spans="1:16369" ht="125.25" customHeight="1">
      <c r="A28" s="282">
        <v>41</v>
      </c>
      <c r="B28" s="286">
        <v>46055.481724537</v>
      </c>
      <c r="C28" s="286">
        <v>46057.623043981497</v>
      </c>
      <c r="D28" s="282" t="s">
        <v>824</v>
      </c>
      <c r="E28" s="282" t="s">
        <v>125</v>
      </c>
      <c r="F28" s="282" t="s">
        <v>1257</v>
      </c>
      <c r="G28" s="282" t="s">
        <v>1267</v>
      </c>
      <c r="H28" s="282" t="s">
        <v>158</v>
      </c>
      <c r="I28" s="282" t="s">
        <v>570</v>
      </c>
      <c r="J28" s="282" t="s">
        <v>2543</v>
      </c>
      <c r="K28" s="282"/>
      <c r="L28" s="282" t="s">
        <v>258</v>
      </c>
      <c r="M28" s="243">
        <v>46108</v>
      </c>
      <c r="N28" s="282" t="s">
        <v>57</v>
      </c>
      <c r="O28" s="282"/>
      <c r="P28" s="282"/>
      <c r="Q28" s="282" t="s">
        <v>396</v>
      </c>
      <c r="R28" s="282" t="s">
        <v>1260</v>
      </c>
      <c r="S28" s="282"/>
      <c r="T28" s="282" t="s">
        <v>1261</v>
      </c>
      <c r="U28" s="282" t="s">
        <v>56</v>
      </c>
      <c r="V28" s="282" t="s">
        <v>761</v>
      </c>
      <c r="W28" s="282" t="s">
        <v>188</v>
      </c>
      <c r="X28" s="282" t="s">
        <v>149</v>
      </c>
      <c r="Y28" s="282" t="s">
        <v>1269</v>
      </c>
      <c r="Z28" s="282" t="s">
        <v>1270</v>
      </c>
      <c r="AA28" s="282"/>
      <c r="AB28" s="374" t="s">
        <v>390</v>
      </c>
      <c r="AC28" s="374"/>
      <c r="AD28" s="374"/>
      <c r="AE28" s="374" t="s">
        <v>3</v>
      </c>
      <c r="AF28" s="374"/>
      <c r="AG28" s="374"/>
      <c r="AH28" s="374" t="s">
        <v>627</v>
      </c>
      <c r="AI28" s="374"/>
      <c r="AJ28" s="374">
        <v>15500</v>
      </c>
      <c r="AK28" s="374" t="s">
        <v>2544</v>
      </c>
      <c r="AL28" s="374" t="s">
        <v>631</v>
      </c>
      <c r="AM28" s="374"/>
      <c r="AN28" s="374"/>
      <c r="AO28" s="250" t="s">
        <v>403</v>
      </c>
      <c r="AP28" s="374"/>
      <c r="AQ28" s="349"/>
      <c r="AR28" s="349"/>
      <c r="AS28" s="364"/>
      <c r="AT28" s="359"/>
      <c r="AU28" s="349"/>
      <c r="AV28" s="349"/>
      <c r="AW28" s="349"/>
      <c r="AX28" s="349"/>
      <c r="AY28" s="349"/>
      <c r="AZ28" s="349"/>
      <c r="BA28" s="349"/>
      <c r="BB28" s="374" t="s">
        <v>224</v>
      </c>
      <c r="BC28" s="374" t="s">
        <v>188</v>
      </c>
      <c r="BD28" s="374" t="s">
        <v>2545</v>
      </c>
      <c r="BF28" s="374"/>
      <c r="BG28" s="374"/>
      <c r="BH28" s="374"/>
    </row>
    <row r="29" spans="1:16369" ht="51.75" customHeight="1">
      <c r="A29" s="234">
        <v>62</v>
      </c>
      <c r="B29" s="243">
        <v>46083.709027777775</v>
      </c>
      <c r="C29" s="243">
        <v>46083.711805555555</v>
      </c>
      <c r="D29" s="244" t="s">
        <v>48</v>
      </c>
      <c r="E29" s="244" t="s">
        <v>49</v>
      </c>
      <c r="F29" s="244" t="s">
        <v>2546</v>
      </c>
      <c r="G29" s="244" t="s">
        <v>2547</v>
      </c>
      <c r="H29" s="244" t="s">
        <v>52</v>
      </c>
      <c r="I29" s="234" t="s">
        <v>2371</v>
      </c>
      <c r="J29" s="234" t="s">
        <v>49</v>
      </c>
      <c r="K29" s="234"/>
      <c r="L29" s="234" t="s">
        <v>2423</v>
      </c>
      <c r="M29" s="243">
        <v>46326</v>
      </c>
      <c r="N29" s="234" t="s">
        <v>57</v>
      </c>
      <c r="O29" s="234"/>
      <c r="P29" s="234"/>
      <c r="Q29" s="238" t="s">
        <v>269</v>
      </c>
      <c r="R29" s="244" t="s">
        <v>2548</v>
      </c>
      <c r="S29" s="342" t="s">
        <v>2549</v>
      </c>
      <c r="T29" s="244" t="s">
        <v>2373</v>
      </c>
      <c r="U29" s="239" t="s">
        <v>56</v>
      </c>
      <c r="V29" s="244" t="s">
        <v>623</v>
      </c>
      <c r="W29" s="244" t="s">
        <v>188</v>
      </c>
      <c r="X29" s="232" t="s">
        <v>84</v>
      </c>
      <c r="Y29" s="244" t="s">
        <v>2550</v>
      </c>
      <c r="Z29" s="234" t="s">
        <v>2551</v>
      </c>
      <c r="AA29" s="379">
        <v>1.35</v>
      </c>
      <c r="AB29" s="322" t="s">
        <v>320</v>
      </c>
      <c r="AC29" s="323" t="s">
        <v>1649</v>
      </c>
      <c r="AD29" s="324">
        <v>46106</v>
      </c>
      <c r="AE29" s="380" t="s">
        <v>4</v>
      </c>
      <c r="AF29" s="381"/>
      <c r="AG29" s="318" t="str">
        <f>IF(AD29="","Pendiente fecha de asignación de LD",IF(AF29="","",WORKDAY(AF29,IF(AE29="Alta",20,IF(AE29="Media",10,5)))))</f>
        <v/>
      </c>
      <c r="AH29" s="380"/>
      <c r="AI29" s="382"/>
      <c r="AJ29" s="383"/>
      <c r="AK29" s="384"/>
      <c r="AL29" s="380"/>
      <c r="AM29" s="380"/>
      <c r="AN29" s="380"/>
      <c r="AO29" s="380" t="s">
        <v>253</v>
      </c>
      <c r="AP29" s="380"/>
      <c r="AQ29" s="349"/>
      <c r="AR29" s="349"/>
      <c r="AS29" s="364"/>
      <c r="AT29" s="359"/>
      <c r="AU29" s="349"/>
      <c r="AV29" s="349"/>
      <c r="AW29" s="349"/>
      <c r="AX29" s="349"/>
      <c r="AY29" s="349"/>
      <c r="AZ29" s="349"/>
      <c r="BA29" s="349"/>
    </row>
    <row r="30" spans="1:16369" ht="60" customHeight="1">
      <c r="A30" s="234">
        <v>63</v>
      </c>
      <c r="B30" s="240">
        <v>46083.711805555555</v>
      </c>
      <c r="C30" s="240">
        <v>46083.714583333334</v>
      </c>
      <c r="D30" s="234" t="s">
        <v>48</v>
      </c>
      <c r="E30" s="234" t="s">
        <v>49</v>
      </c>
      <c r="F30" s="234" t="s">
        <v>2552</v>
      </c>
      <c r="G30" s="234" t="s">
        <v>2553</v>
      </c>
      <c r="H30" s="234" t="s">
        <v>52</v>
      </c>
      <c r="I30" s="234" t="s">
        <v>2371</v>
      </c>
      <c r="J30" s="234" t="s">
        <v>49</v>
      </c>
      <c r="K30" s="234"/>
      <c r="L30" s="240" t="s">
        <v>2423</v>
      </c>
      <c r="M30" s="240">
        <v>46356</v>
      </c>
      <c r="N30" s="234" t="s">
        <v>57</v>
      </c>
      <c r="O30" s="234"/>
      <c r="P30" s="234"/>
      <c r="Q30" s="239" t="s">
        <v>269</v>
      </c>
      <c r="R30" s="234" t="s">
        <v>2554</v>
      </c>
      <c r="S30" s="342" t="s">
        <v>2555</v>
      </c>
      <c r="T30" s="234" t="s">
        <v>2556</v>
      </c>
      <c r="U30" s="238" t="s">
        <v>56</v>
      </c>
      <c r="V30" s="234" t="s">
        <v>623</v>
      </c>
      <c r="W30" s="234" t="s">
        <v>188</v>
      </c>
      <c r="X30" s="241" t="s">
        <v>84</v>
      </c>
      <c r="Y30" s="234" t="s">
        <v>2557</v>
      </c>
      <c r="Z30" s="234" t="s">
        <v>2558</v>
      </c>
      <c r="AA30" s="379">
        <v>1.35</v>
      </c>
      <c r="AB30" s="322" t="s">
        <v>320</v>
      </c>
      <c r="AC30" s="323" t="s">
        <v>1649</v>
      </c>
      <c r="AD30" s="324">
        <v>46106</v>
      </c>
      <c r="AE30" s="384" t="s">
        <v>3</v>
      </c>
      <c r="AF30" s="385"/>
      <c r="AG30" s="318" t="str">
        <f>IF(AD30="","Pendiente fecha de asignación de LD",IF(AF30="","",WORKDAY(AF30,IF(AE30="Alta",20,IF(AE30="Media",10,5)))))</f>
        <v/>
      </c>
      <c r="AH30" s="384"/>
      <c r="AI30" s="386"/>
      <c r="AJ30" s="387"/>
      <c r="AK30" s="384"/>
      <c r="AL30" s="384"/>
      <c r="AM30" s="384"/>
      <c r="AN30" s="384"/>
      <c r="AO30" s="384" t="s">
        <v>253</v>
      </c>
      <c r="AP30" s="384"/>
      <c r="AQ30" s="349"/>
      <c r="AR30" s="349"/>
      <c r="AS30" s="364"/>
      <c r="AT30" s="359"/>
      <c r="AU30" s="349"/>
      <c r="AV30" s="349"/>
      <c r="AW30" s="349"/>
      <c r="AX30" s="349"/>
      <c r="AY30" s="349"/>
      <c r="AZ30" s="349"/>
      <c r="BA30" s="349"/>
    </row>
    <row r="31" spans="1:16369" ht="81" customHeight="1">
      <c r="A31" s="234">
        <v>29</v>
      </c>
      <c r="B31" s="243">
        <v>46048.633969907401</v>
      </c>
      <c r="C31" s="243">
        <v>46048.662210648203</v>
      </c>
      <c r="D31" s="234" t="s">
        <v>566</v>
      </c>
      <c r="E31" s="234" t="s">
        <v>567</v>
      </c>
      <c r="F31" s="234" t="s">
        <v>2559</v>
      </c>
      <c r="G31" s="234" t="s">
        <v>1176</v>
      </c>
      <c r="H31" s="234" t="s">
        <v>158</v>
      </c>
      <c r="I31" s="234" t="s">
        <v>570</v>
      </c>
      <c r="J31" s="260" t="s">
        <v>2157</v>
      </c>
      <c r="K31" s="234"/>
      <c r="L31" s="243" t="s">
        <v>161</v>
      </c>
      <c r="M31" s="243">
        <v>46113</v>
      </c>
      <c r="N31" s="234" t="s">
        <v>57</v>
      </c>
      <c r="O31" s="234">
        <v>76553</v>
      </c>
      <c r="P31" s="234"/>
      <c r="Q31" s="260" t="s">
        <v>79</v>
      </c>
      <c r="R31" s="234" t="s">
        <v>1169</v>
      </c>
      <c r="S31" s="234"/>
      <c r="T31" s="234" t="s">
        <v>1170</v>
      </c>
      <c r="U31" s="260" t="s">
        <v>82</v>
      </c>
      <c r="V31" s="234" t="s">
        <v>581</v>
      </c>
      <c r="W31" s="234" t="s">
        <v>188</v>
      </c>
      <c r="X31" s="262" t="s">
        <v>84</v>
      </c>
      <c r="Y31" s="234" t="s">
        <v>1177</v>
      </c>
      <c r="Z31" s="234" t="s">
        <v>1178</v>
      </c>
      <c r="AA31" s="234"/>
      <c r="AB31" s="250" t="s">
        <v>694</v>
      </c>
      <c r="AC31" s="250"/>
      <c r="AD31" s="250"/>
      <c r="AE31" s="250"/>
      <c r="AF31" s="250"/>
      <c r="AG31" s="250"/>
      <c r="AH31" s="250">
        <v>1</v>
      </c>
      <c r="AI31" s="251">
        <v>8500</v>
      </c>
      <c r="AJ31" s="252">
        <f>AI31*3.55</f>
        <v>30175</v>
      </c>
      <c r="AK31" s="253" t="s">
        <v>1000</v>
      </c>
      <c r="AL31" s="252"/>
      <c r="AM31" s="250"/>
      <c r="AN31" s="250"/>
      <c r="AO31" s="250" t="s">
        <v>403</v>
      </c>
      <c r="AP31" s="250"/>
      <c r="AQ31" s="349"/>
      <c r="AR31" s="349"/>
      <c r="AS31" s="364"/>
      <c r="AT31" s="359"/>
      <c r="AU31" s="349"/>
      <c r="AV31" s="349"/>
      <c r="AW31" s="349"/>
      <c r="AX31" s="349"/>
      <c r="AY31" s="349"/>
      <c r="AZ31" s="349"/>
      <c r="BA31" s="349"/>
      <c r="BB31" s="254"/>
      <c r="BC31" s="250"/>
      <c r="BD31" s="388"/>
      <c r="BE31" s="389"/>
      <c r="BF31" s="390"/>
      <c r="BG31" s="161"/>
      <c r="BH31" s="161"/>
      <c r="BI31" s="194"/>
      <c r="BJ31" s="194"/>
      <c r="BK31" s="194"/>
      <c r="BL31" s="161"/>
      <c r="BM31" s="195"/>
      <c r="BN31" s="195"/>
      <c r="BO31" s="161"/>
      <c r="BP31" s="161"/>
      <c r="BQ31" s="161"/>
      <c r="BR31" s="161"/>
      <c r="BS31" s="196"/>
      <c r="BT31" s="196"/>
      <c r="BU31" s="192"/>
      <c r="BV31" s="181"/>
      <c r="BW31" s="180"/>
      <c r="BX31" s="197"/>
      <c r="BY31" s="179"/>
      <c r="BZ31" s="196"/>
      <c r="CA31" s="179"/>
      <c r="CB31" s="196"/>
      <c r="CC31" s="196"/>
      <c r="CD31" s="161"/>
      <c r="CE31" s="193"/>
      <c r="CF31" s="193"/>
      <c r="CG31" s="194"/>
      <c r="CH31" s="194"/>
      <c r="CI31" s="194"/>
      <c r="CJ31" s="194"/>
      <c r="CK31" s="194"/>
      <c r="CL31" s="161"/>
      <c r="CM31" s="161"/>
      <c r="CN31" s="194"/>
      <c r="CO31" s="161"/>
      <c r="CP31" s="193"/>
      <c r="CQ31" s="194"/>
      <c r="CR31" s="161"/>
      <c r="CS31" s="161"/>
      <c r="CT31" s="161"/>
      <c r="CU31" s="194"/>
      <c r="CV31" s="194"/>
      <c r="CW31" s="194"/>
      <c r="CX31" s="161"/>
      <c r="CY31" s="194"/>
      <c r="CZ31" s="194"/>
      <c r="DA31" s="161"/>
      <c r="DB31" s="194"/>
      <c r="DC31" s="194"/>
      <c r="DD31" s="194"/>
      <c r="DE31" s="194"/>
      <c r="DF31" s="194"/>
      <c r="DG31" s="194"/>
      <c r="DH31" s="161"/>
      <c r="DI31" s="195"/>
      <c r="DJ31" s="195"/>
      <c r="DK31" s="161"/>
      <c r="DL31" s="161"/>
      <c r="DM31" s="161"/>
      <c r="DN31" s="161"/>
      <c r="DO31" s="196"/>
      <c r="DP31" s="196"/>
      <c r="DQ31" s="192"/>
      <c r="DR31" s="181"/>
      <c r="DS31" s="180"/>
      <c r="DT31" s="197"/>
      <c r="DU31" s="179"/>
      <c r="DV31" s="196"/>
      <c r="DW31" s="179"/>
      <c r="DX31" s="196"/>
      <c r="DY31" s="196"/>
      <c r="DZ31" s="161"/>
      <c r="EA31" s="193"/>
      <c r="EB31" s="193"/>
      <c r="EC31" s="194"/>
      <c r="ED31" s="194"/>
      <c r="EE31" s="194"/>
      <c r="EF31" s="194"/>
      <c r="EG31" s="194"/>
      <c r="EH31" s="161"/>
      <c r="EI31" s="161"/>
      <c r="EJ31" s="194"/>
      <c r="EK31" s="161"/>
      <c r="EL31" s="193"/>
      <c r="EM31" s="194"/>
      <c r="EN31" s="161"/>
      <c r="EO31" s="161"/>
      <c r="EP31" s="161"/>
      <c r="EQ31" s="194"/>
      <c r="ER31" s="194"/>
      <c r="ES31" s="194"/>
      <c r="ET31" s="161"/>
      <c r="EU31" s="194"/>
      <c r="EV31" s="194"/>
      <c r="EW31" s="161"/>
      <c r="EX31" s="194"/>
      <c r="EY31" s="194"/>
      <c r="EZ31" s="194"/>
      <c r="FA31" s="194"/>
      <c r="FB31" s="194"/>
      <c r="FC31" s="194"/>
      <c r="FD31" s="161"/>
      <c r="FE31" s="195"/>
      <c r="FF31" s="195"/>
      <c r="FG31" s="161"/>
      <c r="FH31" s="161"/>
      <c r="FI31" s="161"/>
      <c r="FJ31" s="161"/>
      <c r="FK31" s="196"/>
      <c r="FL31" s="196"/>
      <c r="FM31" s="192"/>
      <c r="FN31" s="181"/>
      <c r="FO31" s="180"/>
      <c r="FP31" s="197"/>
      <c r="FQ31" s="179"/>
      <c r="FR31" s="196"/>
      <c r="FS31" s="179"/>
      <c r="FT31" s="196"/>
      <c r="FU31" s="196"/>
      <c r="FV31" s="161"/>
      <c r="FW31" s="193"/>
      <c r="FX31" s="193"/>
      <c r="FY31" s="194"/>
      <c r="FZ31" s="194"/>
      <c r="GA31" s="194"/>
      <c r="GB31" s="194"/>
      <c r="GC31" s="194"/>
      <c r="GD31" s="161"/>
      <c r="GE31" s="161"/>
      <c r="GF31" s="194"/>
      <c r="GG31" s="161"/>
      <c r="GH31" s="193"/>
      <c r="GI31" s="194"/>
      <c r="GJ31" s="161"/>
      <c r="GK31" s="161"/>
      <c r="GL31" s="161"/>
      <c r="GM31" s="194"/>
      <c r="GN31" s="194"/>
      <c r="GO31" s="194"/>
      <c r="GP31" s="161"/>
      <c r="GQ31" s="194"/>
      <c r="GR31" s="194"/>
      <c r="GS31" s="161"/>
      <c r="GT31" s="194"/>
      <c r="GU31" s="194"/>
      <c r="GV31" s="194"/>
      <c r="GW31" s="194"/>
      <c r="GX31" s="194"/>
      <c r="GY31" s="194"/>
      <c r="GZ31" s="161"/>
      <c r="HA31" s="195"/>
      <c r="HB31" s="195"/>
      <c r="HC31" s="161"/>
      <c r="HD31" s="161"/>
      <c r="HE31" s="161"/>
      <c r="HF31" s="161"/>
      <c r="HG31" s="196"/>
      <c r="HH31" s="196"/>
      <c r="HI31" s="192"/>
      <c r="HJ31" s="181"/>
      <c r="HK31" s="180"/>
      <c r="HL31" s="197"/>
      <c r="HM31" s="179"/>
      <c r="HN31" s="196"/>
      <c r="HO31" s="179"/>
      <c r="HP31" s="196"/>
      <c r="HQ31" s="196"/>
      <c r="HR31" s="161"/>
      <c r="HS31" s="193"/>
      <c r="HT31" s="193"/>
      <c r="HU31" s="194"/>
      <c r="HV31" s="194"/>
      <c r="HW31" s="194"/>
      <c r="HX31" s="194"/>
      <c r="HY31" s="194"/>
      <c r="HZ31" s="161"/>
      <c r="IA31" s="161"/>
      <c r="IB31" s="194"/>
      <c r="IC31" s="161"/>
      <c r="ID31" s="193"/>
      <c r="IE31" s="194"/>
      <c r="IF31" s="161"/>
      <c r="IG31" s="161"/>
      <c r="IH31" s="161"/>
      <c r="II31" s="194"/>
      <c r="IJ31" s="194"/>
      <c r="IK31" s="194"/>
      <c r="IL31" s="161"/>
      <c r="IM31" s="194"/>
      <c r="IN31" s="194"/>
      <c r="IO31" s="161"/>
      <c r="IP31" s="194"/>
      <c r="IQ31" s="194"/>
      <c r="IR31" s="194"/>
      <c r="IS31" s="194"/>
      <c r="IT31" s="194"/>
      <c r="IU31" s="194"/>
      <c r="IV31" s="161"/>
      <c r="IW31" s="195"/>
      <c r="IX31" s="195"/>
      <c r="IY31" s="161"/>
      <c r="IZ31" s="161"/>
      <c r="JA31" s="161"/>
      <c r="JB31" s="161"/>
      <c r="JC31" s="196"/>
      <c r="JD31" s="196"/>
      <c r="JE31" s="192"/>
      <c r="JF31" s="181"/>
      <c r="JG31" s="180"/>
      <c r="JH31" s="197"/>
      <c r="JI31" s="179"/>
      <c r="JJ31" s="196"/>
      <c r="JK31" s="179"/>
      <c r="JL31" s="196"/>
      <c r="JM31" s="196"/>
      <c r="JN31" s="161"/>
      <c r="JO31" s="193"/>
      <c r="JP31" s="193"/>
      <c r="JQ31" s="194"/>
      <c r="JR31" s="194"/>
      <c r="JS31" s="194"/>
      <c r="JT31" s="194"/>
      <c r="JU31" s="194"/>
      <c r="JV31" s="161"/>
      <c r="JW31" s="161"/>
      <c r="JX31" s="194"/>
      <c r="JY31" s="161"/>
      <c r="JZ31" s="193"/>
      <c r="KA31" s="194"/>
      <c r="KB31" s="161"/>
      <c r="KC31" s="161"/>
      <c r="KD31" s="161"/>
      <c r="KE31" s="194"/>
      <c r="KF31" s="194"/>
      <c r="KG31" s="194"/>
      <c r="KH31" s="161"/>
      <c r="KI31" s="194"/>
      <c r="KJ31" s="194"/>
      <c r="KK31" s="161"/>
      <c r="KL31" s="194"/>
      <c r="KM31" s="194"/>
      <c r="KN31" s="194"/>
      <c r="KO31" s="194"/>
      <c r="KP31" s="194"/>
      <c r="KQ31" s="194"/>
      <c r="KR31" s="161"/>
      <c r="KS31" s="195"/>
      <c r="KT31" s="195"/>
      <c r="KU31" s="161"/>
      <c r="KV31" s="161"/>
      <c r="KW31" s="161"/>
      <c r="KX31" s="161"/>
      <c r="KY31" s="196"/>
      <c r="KZ31" s="196"/>
      <c r="LA31" s="192"/>
      <c r="LB31" s="181"/>
      <c r="LC31" s="180"/>
      <c r="LD31" s="197"/>
      <c r="LE31" s="179"/>
      <c r="LF31" s="196"/>
      <c r="LG31" s="179"/>
      <c r="LH31" s="196"/>
      <c r="LI31" s="196"/>
      <c r="LJ31" s="161"/>
      <c r="LK31" s="193"/>
      <c r="LL31" s="193"/>
      <c r="LM31" s="194"/>
      <c r="LN31" s="194"/>
      <c r="LO31" s="194"/>
      <c r="LP31" s="194"/>
      <c r="LQ31" s="194"/>
      <c r="LR31" s="161"/>
      <c r="LS31" s="161"/>
      <c r="LT31" s="194"/>
      <c r="LU31" s="161"/>
      <c r="LV31" s="193"/>
      <c r="LW31" s="194"/>
      <c r="LX31" s="161"/>
      <c r="LY31" s="161"/>
      <c r="LZ31" s="161"/>
      <c r="MA31" s="194"/>
      <c r="MB31" s="194"/>
      <c r="MC31" s="194"/>
      <c r="MD31" s="161"/>
      <c r="ME31" s="194"/>
      <c r="MF31" s="194"/>
      <c r="MG31" s="161"/>
      <c r="MH31" s="194"/>
      <c r="MI31" s="194"/>
      <c r="MJ31" s="194"/>
      <c r="MK31" s="194"/>
      <c r="ML31" s="194"/>
      <c r="MM31" s="194"/>
      <c r="MN31" s="161"/>
      <c r="MO31" s="195"/>
      <c r="MP31" s="195"/>
      <c r="MQ31" s="161"/>
      <c r="MR31" s="161"/>
      <c r="MS31" s="161"/>
      <c r="MT31" s="161"/>
      <c r="MU31" s="196"/>
      <c r="MV31" s="196"/>
      <c r="MW31" s="192"/>
      <c r="MX31" s="181"/>
      <c r="MY31" s="180"/>
      <c r="MZ31" s="197"/>
      <c r="NA31" s="179"/>
      <c r="NB31" s="196"/>
      <c r="NC31" s="179"/>
      <c r="ND31" s="196"/>
      <c r="NE31" s="196"/>
      <c r="NF31" s="161"/>
      <c r="NG31" s="193"/>
      <c r="NH31" s="193"/>
      <c r="NI31" s="194"/>
      <c r="NJ31" s="194"/>
      <c r="NK31" s="194"/>
      <c r="NL31" s="194"/>
      <c r="NM31" s="194"/>
      <c r="NN31" s="161"/>
      <c r="NO31" s="161"/>
      <c r="NP31" s="194"/>
      <c r="NQ31" s="161"/>
      <c r="NR31" s="193"/>
      <c r="NS31" s="194"/>
      <c r="NT31" s="161"/>
      <c r="NU31" s="161"/>
      <c r="NV31" s="161"/>
      <c r="NW31" s="194"/>
      <c r="NX31" s="194"/>
      <c r="NY31" s="194"/>
      <c r="NZ31" s="161"/>
      <c r="OA31" s="194"/>
      <c r="OB31" s="194"/>
      <c r="OC31" s="161"/>
      <c r="OD31" s="194"/>
      <c r="OE31" s="194"/>
      <c r="OF31" s="194"/>
      <c r="OG31" s="194"/>
      <c r="OH31" s="194"/>
      <c r="OI31" s="194"/>
      <c r="OJ31" s="161"/>
      <c r="OK31" s="195"/>
      <c r="OL31" s="195"/>
      <c r="OM31" s="161"/>
      <c r="ON31" s="161"/>
      <c r="OO31" s="161"/>
      <c r="OP31" s="161"/>
      <c r="OQ31" s="196"/>
      <c r="OR31" s="196"/>
      <c r="OS31" s="192"/>
      <c r="OT31" s="181"/>
      <c r="OU31" s="180"/>
      <c r="OV31" s="197"/>
      <c r="OW31" s="179"/>
      <c r="OX31" s="196"/>
      <c r="OY31" s="179"/>
      <c r="OZ31" s="196"/>
      <c r="PA31" s="196"/>
      <c r="PB31" s="161"/>
      <c r="PC31" s="193"/>
      <c r="PD31" s="193"/>
      <c r="PE31" s="194"/>
      <c r="PF31" s="194"/>
      <c r="PG31" s="194"/>
      <c r="PH31" s="194"/>
      <c r="PI31" s="194"/>
      <c r="PJ31" s="161"/>
      <c r="PK31" s="161"/>
      <c r="PL31" s="194"/>
      <c r="PM31" s="161"/>
      <c r="PN31" s="193"/>
      <c r="PO31" s="194"/>
      <c r="PP31" s="161"/>
      <c r="PQ31" s="161"/>
      <c r="PR31" s="161"/>
      <c r="PS31" s="194"/>
      <c r="PT31" s="194"/>
      <c r="PU31" s="194"/>
      <c r="PV31" s="161"/>
      <c r="PW31" s="194"/>
      <c r="PX31" s="194"/>
      <c r="PY31" s="161"/>
      <c r="PZ31" s="194"/>
      <c r="QA31" s="194"/>
      <c r="QB31" s="194"/>
      <c r="QC31" s="194"/>
      <c r="QD31" s="194"/>
      <c r="QE31" s="194"/>
      <c r="QF31" s="161"/>
      <c r="QG31" s="195"/>
      <c r="QH31" s="195"/>
      <c r="QI31" s="161"/>
      <c r="QJ31" s="161"/>
      <c r="QK31" s="161"/>
      <c r="QL31" s="161"/>
      <c r="QM31" s="196"/>
      <c r="QN31" s="196"/>
      <c r="QO31" s="192"/>
      <c r="QP31" s="181"/>
      <c r="QQ31" s="180"/>
      <c r="QR31" s="197"/>
      <c r="QS31" s="179"/>
      <c r="QT31" s="196"/>
      <c r="QU31" s="179"/>
      <c r="QV31" s="196"/>
      <c r="QW31" s="196"/>
      <c r="QX31" s="161"/>
      <c r="QY31" s="193"/>
      <c r="QZ31" s="193"/>
      <c r="RA31" s="194"/>
      <c r="RB31" s="194"/>
      <c r="RC31" s="194"/>
      <c r="RD31" s="194"/>
      <c r="RE31" s="194"/>
      <c r="RF31" s="161"/>
      <c r="RG31" s="161"/>
      <c r="RH31" s="194"/>
      <c r="RI31" s="161"/>
      <c r="RJ31" s="193"/>
      <c r="RK31" s="194"/>
      <c r="RL31" s="161"/>
      <c r="RM31" s="161"/>
      <c r="RN31" s="161"/>
      <c r="RO31" s="194"/>
      <c r="RP31" s="194"/>
      <c r="RQ31" s="194"/>
      <c r="RR31" s="161"/>
      <c r="RS31" s="194"/>
      <c r="RT31" s="194"/>
      <c r="RU31" s="161"/>
      <c r="RV31" s="194"/>
      <c r="RW31" s="194"/>
      <c r="RX31" s="194"/>
      <c r="RY31" s="194"/>
      <c r="RZ31" s="194"/>
      <c r="SA31" s="194"/>
      <c r="SB31" s="161"/>
      <c r="SC31" s="195"/>
      <c r="SD31" s="195"/>
      <c r="SE31" s="161"/>
      <c r="SF31" s="161"/>
      <c r="SG31" s="161"/>
      <c r="SH31" s="161"/>
      <c r="SI31" s="196"/>
      <c r="SJ31" s="196"/>
      <c r="SK31" s="192"/>
      <c r="SL31" s="181"/>
      <c r="SM31" s="180"/>
      <c r="SN31" s="197"/>
      <c r="SO31" s="179"/>
      <c r="SP31" s="196"/>
      <c r="SQ31" s="179"/>
      <c r="SR31" s="196"/>
      <c r="SS31" s="196"/>
      <c r="ST31" s="161"/>
      <c r="SU31" s="193"/>
      <c r="SV31" s="193"/>
      <c r="SW31" s="194"/>
      <c r="SX31" s="194"/>
      <c r="SY31" s="194"/>
      <c r="SZ31" s="194"/>
      <c r="TA31" s="194"/>
      <c r="TB31" s="161"/>
      <c r="TC31" s="161"/>
      <c r="TD31" s="194"/>
      <c r="TE31" s="161"/>
      <c r="TF31" s="193"/>
      <c r="TG31" s="194"/>
      <c r="TH31" s="161"/>
      <c r="TI31" s="161"/>
      <c r="TJ31" s="161"/>
      <c r="TK31" s="194"/>
      <c r="TL31" s="194"/>
      <c r="TM31" s="194"/>
      <c r="TN31" s="161"/>
      <c r="TO31" s="194"/>
      <c r="TP31" s="194"/>
      <c r="TQ31" s="161"/>
      <c r="TR31" s="194"/>
      <c r="TS31" s="194"/>
      <c r="TT31" s="194"/>
      <c r="TU31" s="194"/>
      <c r="TV31" s="194"/>
      <c r="TW31" s="194"/>
      <c r="TX31" s="161"/>
      <c r="TY31" s="195"/>
      <c r="TZ31" s="195"/>
      <c r="UA31" s="161"/>
      <c r="UB31" s="161"/>
      <c r="UC31" s="161"/>
      <c r="UD31" s="161"/>
      <c r="UE31" s="196"/>
      <c r="UF31" s="196"/>
      <c r="UG31" s="192"/>
      <c r="UH31" s="181"/>
      <c r="UI31" s="180"/>
      <c r="UJ31" s="197"/>
      <c r="UK31" s="179"/>
      <c r="UL31" s="196"/>
      <c r="UM31" s="179"/>
      <c r="UN31" s="196"/>
      <c r="UO31" s="196"/>
      <c r="UP31" s="161"/>
      <c r="UQ31" s="193"/>
      <c r="UR31" s="193"/>
      <c r="US31" s="194"/>
      <c r="UT31" s="194"/>
      <c r="UU31" s="194"/>
      <c r="UV31" s="194"/>
      <c r="UW31" s="194"/>
      <c r="UX31" s="161"/>
      <c r="UY31" s="161"/>
      <c r="UZ31" s="194"/>
      <c r="VA31" s="161"/>
      <c r="VB31" s="193"/>
      <c r="VC31" s="194"/>
      <c r="VD31" s="161"/>
      <c r="VE31" s="161"/>
      <c r="VF31" s="161"/>
      <c r="VG31" s="194"/>
      <c r="VH31" s="194"/>
      <c r="VI31" s="194"/>
      <c r="VJ31" s="161"/>
      <c r="VK31" s="194"/>
      <c r="VL31" s="194"/>
      <c r="VM31" s="161"/>
      <c r="VN31" s="194"/>
      <c r="VO31" s="194"/>
      <c r="VP31" s="194"/>
      <c r="VQ31" s="194"/>
      <c r="VR31" s="194"/>
      <c r="VS31" s="194"/>
      <c r="VT31" s="161"/>
      <c r="VU31" s="195"/>
      <c r="VV31" s="195"/>
      <c r="VW31" s="161"/>
      <c r="VX31" s="161"/>
      <c r="VY31" s="161"/>
      <c r="VZ31" s="161"/>
      <c r="WA31" s="196"/>
      <c r="WB31" s="196"/>
      <c r="WC31" s="192"/>
      <c r="WD31" s="181"/>
      <c r="WE31" s="180"/>
      <c r="WF31" s="197"/>
      <c r="WG31" s="179"/>
      <c r="WH31" s="196"/>
      <c r="WI31" s="179"/>
      <c r="WJ31" s="196"/>
      <c r="WK31" s="196"/>
      <c r="WL31" s="161"/>
      <c r="WM31" s="193"/>
      <c r="WN31" s="193"/>
      <c r="WO31" s="194"/>
      <c r="WP31" s="194"/>
      <c r="WQ31" s="194"/>
      <c r="WR31" s="194"/>
      <c r="WS31" s="194"/>
      <c r="WT31" s="161"/>
      <c r="WU31" s="161"/>
      <c r="WV31" s="194"/>
      <c r="WW31" s="161"/>
      <c r="WX31" s="193"/>
      <c r="WY31" s="194"/>
      <c r="WZ31" s="161"/>
      <c r="XA31" s="161"/>
      <c r="XB31" s="161"/>
      <c r="XC31" s="194"/>
      <c r="XD31" s="194"/>
      <c r="XE31" s="194"/>
      <c r="XF31" s="161"/>
      <c r="XG31" s="194"/>
      <c r="XH31" s="194"/>
      <c r="XI31" s="161"/>
      <c r="XJ31" s="194"/>
      <c r="XK31" s="194"/>
      <c r="XL31" s="194"/>
      <c r="XM31" s="194"/>
      <c r="XN31" s="194"/>
      <c r="XO31" s="194"/>
      <c r="XP31" s="161"/>
      <c r="XQ31" s="195"/>
      <c r="XR31" s="195"/>
      <c r="XS31" s="161"/>
      <c r="XT31" s="161"/>
      <c r="XU31" s="161"/>
      <c r="XV31" s="161"/>
      <c r="XW31" s="196"/>
      <c r="XX31" s="196"/>
      <c r="XY31" s="192"/>
      <c r="XZ31" s="181"/>
      <c r="YA31" s="180"/>
      <c r="YB31" s="197"/>
      <c r="YC31" s="179"/>
      <c r="YD31" s="196"/>
      <c r="YE31" s="179"/>
      <c r="YF31" s="196"/>
      <c r="YG31" s="196"/>
      <c r="YH31" s="161"/>
      <c r="YI31" s="193"/>
      <c r="YJ31" s="193"/>
      <c r="YK31" s="194"/>
      <c r="YL31" s="194"/>
      <c r="YM31" s="194"/>
      <c r="YN31" s="194"/>
      <c r="YO31" s="194"/>
      <c r="YP31" s="161"/>
      <c r="YQ31" s="161"/>
      <c r="YR31" s="194"/>
      <c r="YS31" s="161"/>
      <c r="YT31" s="193"/>
      <c r="YU31" s="194"/>
      <c r="YV31" s="161"/>
      <c r="YW31" s="161"/>
      <c r="YX31" s="161"/>
      <c r="YY31" s="194"/>
      <c r="YZ31" s="194"/>
      <c r="ZA31" s="194"/>
      <c r="ZB31" s="161"/>
      <c r="ZC31" s="194"/>
      <c r="ZD31" s="194"/>
      <c r="ZE31" s="161"/>
      <c r="ZF31" s="194"/>
      <c r="ZG31" s="194"/>
      <c r="ZH31" s="194"/>
      <c r="ZI31" s="194"/>
      <c r="ZJ31" s="194"/>
      <c r="ZK31" s="194"/>
      <c r="ZL31" s="161"/>
      <c r="ZM31" s="195"/>
      <c r="ZN31" s="195"/>
      <c r="ZO31" s="161"/>
      <c r="ZP31" s="161"/>
      <c r="ZQ31" s="161"/>
      <c r="ZR31" s="161"/>
      <c r="ZS31" s="196"/>
      <c r="ZT31" s="196"/>
      <c r="ZU31" s="192"/>
      <c r="ZV31" s="181"/>
      <c r="ZW31" s="180"/>
      <c r="ZX31" s="197"/>
      <c r="ZY31" s="179"/>
      <c r="ZZ31" s="196"/>
      <c r="AAA31" s="179"/>
      <c r="AAB31" s="196"/>
      <c r="AAC31" s="196"/>
      <c r="AAD31" s="161"/>
      <c r="AAE31" s="193"/>
      <c r="AAF31" s="193"/>
      <c r="AAG31" s="194"/>
      <c r="AAH31" s="194"/>
      <c r="AAI31" s="194"/>
      <c r="AAJ31" s="194"/>
      <c r="AAK31" s="194"/>
      <c r="AAL31" s="161"/>
      <c r="AAM31" s="161"/>
      <c r="AAN31" s="194"/>
      <c r="AAO31" s="161"/>
      <c r="AAP31" s="193"/>
      <c r="AAQ31" s="194"/>
      <c r="AAR31" s="161"/>
      <c r="AAS31" s="161"/>
      <c r="AAT31" s="161"/>
      <c r="AAU31" s="194"/>
      <c r="AAV31" s="194"/>
      <c r="AAW31" s="194"/>
      <c r="AAX31" s="161"/>
      <c r="AAY31" s="194"/>
      <c r="AAZ31" s="194"/>
      <c r="ABA31" s="161"/>
      <c r="ABB31" s="194"/>
      <c r="ABC31" s="194"/>
      <c r="ABD31" s="194"/>
      <c r="ABE31" s="194"/>
      <c r="ABF31" s="194"/>
      <c r="ABG31" s="194"/>
      <c r="ABH31" s="161"/>
      <c r="ABI31" s="195"/>
      <c r="ABJ31" s="195"/>
      <c r="ABK31" s="161"/>
      <c r="ABL31" s="161"/>
      <c r="ABM31" s="161"/>
      <c r="ABN31" s="161"/>
      <c r="ABO31" s="196"/>
      <c r="ABP31" s="196"/>
      <c r="ABQ31" s="192"/>
      <c r="ABR31" s="181"/>
      <c r="ABS31" s="180"/>
      <c r="ABT31" s="197"/>
      <c r="ABU31" s="179"/>
      <c r="ABV31" s="196"/>
      <c r="ABW31" s="179"/>
      <c r="ABX31" s="196"/>
      <c r="ABY31" s="196"/>
      <c r="ABZ31" s="161"/>
      <c r="ACA31" s="193"/>
      <c r="ACB31" s="193"/>
      <c r="ACC31" s="194"/>
      <c r="ACD31" s="194"/>
      <c r="ACE31" s="194"/>
      <c r="ACF31" s="194"/>
      <c r="ACG31" s="194"/>
      <c r="ACH31" s="161"/>
      <c r="ACI31" s="161"/>
      <c r="ACJ31" s="194"/>
      <c r="ACK31" s="161"/>
      <c r="ACL31" s="193"/>
      <c r="ACM31" s="194"/>
      <c r="ACN31" s="161"/>
      <c r="ACO31" s="161"/>
      <c r="ACP31" s="161"/>
      <c r="ACQ31" s="194"/>
      <c r="ACR31" s="194"/>
      <c r="ACS31" s="194"/>
      <c r="ACT31" s="161"/>
      <c r="ACU31" s="194"/>
      <c r="ACV31" s="194"/>
      <c r="ACW31" s="161"/>
      <c r="ACX31" s="194"/>
      <c r="ACY31" s="194"/>
      <c r="ACZ31" s="194"/>
      <c r="ADA31" s="194"/>
      <c r="ADB31" s="194"/>
      <c r="ADC31" s="194"/>
      <c r="ADD31" s="161"/>
      <c r="ADE31" s="195"/>
      <c r="ADF31" s="195"/>
      <c r="ADG31" s="161"/>
      <c r="ADH31" s="161"/>
      <c r="ADI31" s="161"/>
      <c r="ADJ31" s="161"/>
      <c r="ADK31" s="196"/>
      <c r="ADL31" s="196"/>
      <c r="ADM31" s="192"/>
      <c r="ADN31" s="181"/>
      <c r="ADO31" s="180"/>
      <c r="ADP31" s="197"/>
      <c r="ADQ31" s="179"/>
      <c r="ADR31" s="196"/>
      <c r="ADS31" s="179"/>
      <c r="ADT31" s="196"/>
      <c r="ADU31" s="196"/>
      <c r="ADV31" s="161"/>
      <c r="ADW31" s="193"/>
      <c r="ADX31" s="193"/>
      <c r="ADY31" s="194"/>
      <c r="ADZ31" s="194"/>
      <c r="AEA31" s="194"/>
      <c r="AEB31" s="194"/>
      <c r="AEC31" s="194"/>
      <c r="AED31" s="161"/>
      <c r="AEE31" s="161"/>
      <c r="AEF31" s="194"/>
      <c r="AEG31" s="161"/>
      <c r="AEH31" s="193"/>
      <c r="AEI31" s="194"/>
      <c r="AEJ31" s="161"/>
      <c r="AEK31" s="161"/>
      <c r="AEL31" s="161"/>
      <c r="AEM31" s="194"/>
      <c r="AEN31" s="194"/>
      <c r="AEO31" s="194"/>
      <c r="AEP31" s="161"/>
      <c r="AEQ31" s="194"/>
      <c r="AER31" s="194"/>
      <c r="AES31" s="161"/>
      <c r="AET31" s="194"/>
      <c r="AEU31" s="194"/>
      <c r="AEV31" s="194"/>
      <c r="AEW31" s="194"/>
      <c r="AEX31" s="194"/>
      <c r="AEY31" s="194"/>
      <c r="AEZ31" s="161"/>
      <c r="AFA31" s="195"/>
      <c r="AFB31" s="195"/>
      <c r="AFC31" s="161"/>
      <c r="AFD31" s="161"/>
      <c r="AFE31" s="161"/>
      <c r="AFF31" s="161"/>
      <c r="AFG31" s="196"/>
      <c r="AFH31" s="196"/>
      <c r="AFI31" s="192"/>
      <c r="AFJ31" s="181"/>
      <c r="AFK31" s="180"/>
      <c r="AFL31" s="197"/>
      <c r="AFM31" s="179"/>
      <c r="AFN31" s="196"/>
      <c r="AFO31" s="179"/>
      <c r="AFP31" s="196"/>
      <c r="AFQ31" s="196"/>
      <c r="AFR31" s="161"/>
      <c r="AFS31" s="193"/>
      <c r="AFT31" s="193"/>
      <c r="AFU31" s="194"/>
      <c r="AFV31" s="194"/>
      <c r="AFW31" s="194"/>
      <c r="AFX31" s="194"/>
      <c r="AFY31" s="194"/>
      <c r="AFZ31" s="161"/>
      <c r="AGA31" s="161"/>
      <c r="AGB31" s="194"/>
      <c r="AGC31" s="161"/>
      <c r="AGD31" s="193"/>
      <c r="AGE31" s="194"/>
      <c r="AGF31" s="161"/>
      <c r="AGG31" s="161"/>
      <c r="AGH31" s="161"/>
      <c r="AGI31" s="194"/>
      <c r="AGJ31" s="194"/>
      <c r="AGK31" s="194"/>
      <c r="AGL31" s="161"/>
      <c r="AGM31" s="194"/>
      <c r="AGN31" s="194"/>
      <c r="AGO31" s="161"/>
      <c r="AGP31" s="194"/>
      <c r="AGQ31" s="194"/>
      <c r="AGR31" s="194"/>
      <c r="AGS31" s="194"/>
      <c r="AGT31" s="194"/>
      <c r="AGU31" s="194"/>
      <c r="AGV31" s="161"/>
      <c r="AGW31" s="195"/>
      <c r="AGX31" s="195"/>
      <c r="AGY31" s="161"/>
      <c r="AGZ31" s="161"/>
      <c r="AHA31" s="161"/>
      <c r="AHB31" s="161"/>
      <c r="AHC31" s="196"/>
      <c r="AHD31" s="196"/>
      <c r="AHE31" s="192"/>
      <c r="AHF31" s="181"/>
      <c r="AHG31" s="180"/>
      <c r="AHH31" s="197"/>
      <c r="AHI31" s="179"/>
      <c r="AHJ31" s="196"/>
      <c r="AHK31" s="179"/>
      <c r="AHL31" s="196"/>
      <c r="AHM31" s="196"/>
      <c r="AHN31" s="161"/>
      <c r="AHO31" s="193"/>
      <c r="AHP31" s="193"/>
      <c r="AHQ31" s="194"/>
      <c r="AHR31" s="194"/>
      <c r="AHS31" s="194"/>
      <c r="AHT31" s="194"/>
      <c r="AHU31" s="194"/>
      <c r="AHV31" s="161"/>
      <c r="AHW31" s="161"/>
      <c r="AHX31" s="194"/>
      <c r="AHY31" s="161"/>
      <c r="AHZ31" s="193"/>
      <c r="AIA31" s="194"/>
      <c r="AIB31" s="161"/>
      <c r="AIC31" s="161"/>
      <c r="AID31" s="161"/>
      <c r="AIE31" s="194"/>
      <c r="AIF31" s="194"/>
      <c r="AIG31" s="194"/>
      <c r="AIH31" s="161"/>
      <c r="AII31" s="194"/>
      <c r="AIJ31" s="194"/>
      <c r="AIK31" s="161"/>
      <c r="AIL31" s="194"/>
      <c r="AIM31" s="194"/>
      <c r="AIN31" s="194"/>
      <c r="AIO31" s="194"/>
      <c r="AIP31" s="194"/>
      <c r="AIQ31" s="194"/>
      <c r="AIR31" s="161"/>
      <c r="AIS31" s="195"/>
      <c r="AIT31" s="195"/>
      <c r="AIU31" s="161"/>
      <c r="AIV31" s="161"/>
      <c r="AIW31" s="161"/>
      <c r="AIX31" s="161"/>
      <c r="AIY31" s="196"/>
      <c r="AIZ31" s="196"/>
      <c r="AJA31" s="192"/>
      <c r="AJB31" s="181"/>
      <c r="AJC31" s="180"/>
      <c r="AJD31" s="197"/>
      <c r="AJE31" s="179"/>
      <c r="AJF31" s="196"/>
      <c r="AJG31" s="179"/>
      <c r="AJH31" s="196"/>
      <c r="AJI31" s="196"/>
      <c r="AJJ31" s="161"/>
      <c r="AJK31" s="193"/>
      <c r="AJL31" s="193"/>
      <c r="AJM31" s="194"/>
      <c r="AJN31" s="194"/>
      <c r="AJO31" s="194"/>
      <c r="AJP31" s="194"/>
      <c r="AJQ31" s="194"/>
      <c r="AJR31" s="161"/>
      <c r="AJS31" s="161"/>
      <c r="AJT31" s="194"/>
      <c r="AJU31" s="161"/>
      <c r="AJV31" s="193"/>
      <c r="AJW31" s="194"/>
      <c r="AJX31" s="161"/>
      <c r="AJY31" s="161"/>
      <c r="AJZ31" s="161"/>
      <c r="AKA31" s="194"/>
      <c r="AKB31" s="194"/>
      <c r="AKC31" s="194"/>
      <c r="AKD31" s="161"/>
      <c r="AKE31" s="194"/>
      <c r="AKF31" s="194"/>
      <c r="AKG31" s="161"/>
      <c r="AKH31" s="194"/>
      <c r="AKI31" s="194"/>
      <c r="AKJ31" s="194"/>
      <c r="AKK31" s="194"/>
      <c r="AKL31" s="194"/>
      <c r="AKM31" s="194"/>
      <c r="AKN31" s="161"/>
      <c r="AKO31" s="195"/>
      <c r="AKP31" s="195"/>
      <c r="AKQ31" s="161"/>
      <c r="AKR31" s="161"/>
      <c r="AKS31" s="161"/>
      <c r="AKT31" s="161"/>
      <c r="AKU31" s="196"/>
      <c r="AKV31" s="196"/>
      <c r="AKW31" s="192"/>
      <c r="AKX31" s="181"/>
      <c r="AKY31" s="180"/>
      <c r="AKZ31" s="197"/>
      <c r="ALA31" s="179"/>
      <c r="ALB31" s="196"/>
      <c r="ALC31" s="179"/>
      <c r="ALD31" s="196"/>
      <c r="ALE31" s="196"/>
      <c r="ALF31" s="161"/>
      <c r="ALG31" s="193"/>
      <c r="ALH31" s="193"/>
      <c r="ALI31" s="194"/>
      <c r="ALJ31" s="194"/>
      <c r="ALK31" s="194"/>
      <c r="ALL31" s="194"/>
      <c r="ALM31" s="194"/>
      <c r="ALN31" s="161"/>
      <c r="ALO31" s="161"/>
      <c r="ALP31" s="194"/>
      <c r="ALQ31" s="161"/>
      <c r="ALR31" s="193"/>
      <c r="ALS31" s="194"/>
      <c r="ALT31" s="161"/>
      <c r="ALU31" s="161"/>
      <c r="ALV31" s="161"/>
      <c r="ALW31" s="194"/>
      <c r="ALX31" s="194"/>
      <c r="ALY31" s="194"/>
      <c r="ALZ31" s="161"/>
      <c r="AMA31" s="194"/>
      <c r="AMB31" s="194"/>
      <c r="AMC31" s="161"/>
      <c r="AMD31" s="194"/>
      <c r="AME31" s="194"/>
      <c r="AMF31" s="194"/>
      <c r="AMG31" s="194"/>
      <c r="AMH31" s="194"/>
      <c r="AMI31" s="194"/>
      <c r="AMJ31" s="161"/>
      <c r="AMK31" s="195"/>
      <c r="AML31" s="195"/>
      <c r="AMM31" s="161"/>
      <c r="AMN31" s="161"/>
      <c r="AMO31" s="161"/>
      <c r="AMP31" s="161"/>
      <c r="AMQ31" s="196"/>
      <c r="AMR31" s="196"/>
      <c r="AMS31" s="192"/>
      <c r="AMT31" s="181"/>
      <c r="AMU31" s="180"/>
      <c r="AMV31" s="197"/>
      <c r="AMW31" s="179"/>
      <c r="AMX31" s="196"/>
      <c r="AMY31" s="179"/>
      <c r="AMZ31" s="196"/>
      <c r="ANA31" s="196"/>
      <c r="ANB31" s="161"/>
      <c r="ANC31" s="193"/>
      <c r="AND31" s="193"/>
      <c r="ANE31" s="194"/>
      <c r="ANF31" s="194"/>
      <c r="ANG31" s="194"/>
      <c r="ANH31" s="194"/>
      <c r="ANI31" s="194"/>
      <c r="ANJ31" s="161"/>
      <c r="ANK31" s="161"/>
      <c r="ANL31" s="194"/>
      <c r="ANM31" s="161"/>
      <c r="ANN31" s="193"/>
      <c r="ANO31" s="194"/>
      <c r="ANP31" s="161"/>
      <c r="ANQ31" s="161"/>
      <c r="ANR31" s="161"/>
      <c r="ANS31" s="194"/>
      <c r="ANT31" s="194"/>
      <c r="ANU31" s="194"/>
      <c r="ANV31" s="161"/>
      <c r="ANW31" s="194"/>
      <c r="ANX31" s="194"/>
      <c r="ANY31" s="161"/>
      <c r="ANZ31" s="194"/>
      <c r="AOA31" s="194"/>
      <c r="AOB31" s="194"/>
      <c r="AOC31" s="194"/>
      <c r="AOD31" s="194"/>
      <c r="AOE31" s="194"/>
      <c r="AOF31" s="161"/>
      <c r="AOG31" s="195"/>
      <c r="AOH31" s="195"/>
      <c r="AOI31" s="161"/>
      <c r="AOJ31" s="161"/>
      <c r="AOK31" s="161"/>
      <c r="AOL31" s="161"/>
      <c r="AOM31" s="196"/>
      <c r="AON31" s="196"/>
      <c r="AOO31" s="192"/>
      <c r="AOP31" s="181"/>
      <c r="AOQ31" s="180"/>
      <c r="AOR31" s="197"/>
      <c r="AOS31" s="179"/>
      <c r="AOT31" s="196"/>
      <c r="AOU31" s="179"/>
      <c r="AOV31" s="196"/>
      <c r="AOW31" s="196"/>
      <c r="AOX31" s="161"/>
      <c r="AOY31" s="193"/>
      <c r="AOZ31" s="193"/>
      <c r="APA31" s="194"/>
      <c r="APB31" s="194"/>
      <c r="APC31" s="194"/>
      <c r="APD31" s="194"/>
      <c r="APE31" s="194"/>
      <c r="APF31" s="161"/>
      <c r="APG31" s="161"/>
      <c r="APH31" s="194"/>
      <c r="API31" s="161"/>
      <c r="APJ31" s="193"/>
      <c r="APK31" s="194"/>
      <c r="APL31" s="161"/>
      <c r="APM31" s="161"/>
      <c r="APN31" s="161"/>
      <c r="APO31" s="194"/>
      <c r="APP31" s="194"/>
      <c r="APQ31" s="194"/>
      <c r="APR31" s="161"/>
      <c r="APS31" s="194"/>
      <c r="APT31" s="194"/>
      <c r="APU31" s="161"/>
      <c r="APV31" s="194"/>
      <c r="APW31" s="194"/>
      <c r="APX31" s="194"/>
      <c r="APY31" s="194"/>
      <c r="APZ31" s="194"/>
      <c r="AQA31" s="194"/>
      <c r="AQB31" s="161"/>
      <c r="AQC31" s="195"/>
      <c r="AQD31" s="195"/>
      <c r="AQE31" s="161"/>
      <c r="AQF31" s="161"/>
      <c r="AQG31" s="161"/>
      <c r="AQH31" s="161"/>
      <c r="AQI31" s="196"/>
      <c r="AQJ31" s="196"/>
      <c r="AQK31" s="192"/>
      <c r="AQL31" s="181"/>
      <c r="AQM31" s="180"/>
      <c r="AQN31" s="197"/>
      <c r="AQO31" s="179"/>
      <c r="AQP31" s="196"/>
      <c r="AQQ31" s="179"/>
      <c r="AQR31" s="196"/>
      <c r="AQS31" s="196"/>
      <c r="AQT31" s="161"/>
      <c r="AQU31" s="193"/>
      <c r="AQV31" s="193"/>
      <c r="AQW31" s="194"/>
      <c r="AQX31" s="194"/>
      <c r="AQY31" s="194"/>
      <c r="AQZ31" s="194"/>
      <c r="ARA31" s="194"/>
      <c r="ARB31" s="161"/>
      <c r="ARC31" s="161"/>
      <c r="ARD31" s="194"/>
      <c r="ARE31" s="161"/>
      <c r="ARF31" s="193"/>
      <c r="ARG31" s="194"/>
      <c r="ARH31" s="161"/>
      <c r="ARI31" s="161"/>
      <c r="ARJ31" s="161"/>
      <c r="ARK31" s="194"/>
      <c r="ARL31" s="194"/>
      <c r="ARM31" s="194"/>
      <c r="ARN31" s="161"/>
      <c r="ARO31" s="194"/>
      <c r="ARP31" s="194"/>
      <c r="ARQ31" s="161"/>
      <c r="ARR31" s="194"/>
      <c r="ARS31" s="194"/>
      <c r="ART31" s="194"/>
      <c r="ARU31" s="194"/>
      <c r="ARV31" s="194"/>
      <c r="ARW31" s="194"/>
      <c r="ARX31" s="161"/>
      <c r="ARY31" s="195"/>
      <c r="ARZ31" s="195"/>
      <c r="ASA31" s="161"/>
      <c r="ASB31" s="161"/>
      <c r="ASC31" s="161"/>
      <c r="ASD31" s="161"/>
      <c r="ASE31" s="196"/>
      <c r="ASF31" s="196"/>
      <c r="ASG31" s="192"/>
      <c r="ASH31" s="181"/>
      <c r="ASI31" s="180"/>
      <c r="ASJ31" s="197"/>
      <c r="ASK31" s="179"/>
      <c r="ASL31" s="196"/>
      <c r="ASM31" s="179"/>
      <c r="ASN31" s="196"/>
      <c r="ASO31" s="196"/>
      <c r="ASP31" s="161"/>
      <c r="ASQ31" s="193"/>
      <c r="ASR31" s="193"/>
      <c r="ASS31" s="194"/>
      <c r="AST31" s="194"/>
      <c r="ASU31" s="194"/>
      <c r="ASV31" s="194"/>
      <c r="ASW31" s="194"/>
      <c r="ASX31" s="161"/>
      <c r="ASY31" s="161"/>
      <c r="ASZ31" s="194"/>
      <c r="ATA31" s="161"/>
      <c r="ATB31" s="193"/>
      <c r="ATC31" s="194"/>
      <c r="ATD31" s="161"/>
      <c r="ATE31" s="161"/>
      <c r="ATF31" s="161"/>
      <c r="ATG31" s="194"/>
      <c r="ATH31" s="194"/>
      <c r="ATI31" s="194"/>
      <c r="ATJ31" s="161"/>
      <c r="ATK31" s="194"/>
      <c r="ATL31" s="194"/>
      <c r="ATM31" s="161"/>
      <c r="ATN31" s="194"/>
      <c r="ATO31" s="194"/>
      <c r="ATP31" s="194"/>
      <c r="ATQ31" s="194"/>
      <c r="ATR31" s="194"/>
      <c r="ATS31" s="194"/>
      <c r="ATT31" s="161"/>
      <c r="ATU31" s="195"/>
      <c r="ATV31" s="195"/>
      <c r="ATW31" s="161"/>
      <c r="ATX31" s="161"/>
      <c r="ATY31" s="161"/>
      <c r="ATZ31" s="161"/>
      <c r="AUA31" s="196"/>
      <c r="AUB31" s="196"/>
      <c r="AUC31" s="192"/>
      <c r="AUD31" s="181"/>
      <c r="AUE31" s="180"/>
      <c r="AUF31" s="197"/>
      <c r="AUG31" s="179"/>
      <c r="AUH31" s="196"/>
      <c r="AUI31" s="179"/>
      <c r="AUJ31" s="196"/>
      <c r="AUK31" s="196"/>
      <c r="AUL31" s="161"/>
      <c r="AUM31" s="193"/>
      <c r="AUN31" s="193"/>
      <c r="AUO31" s="194"/>
      <c r="AUP31" s="194"/>
      <c r="AUQ31" s="194"/>
      <c r="AUR31" s="194"/>
      <c r="AUS31" s="194"/>
      <c r="AUT31" s="161"/>
      <c r="AUU31" s="161"/>
      <c r="AUV31" s="194"/>
      <c r="AUW31" s="161"/>
      <c r="AUX31" s="193"/>
      <c r="AUY31" s="194"/>
      <c r="AUZ31" s="161"/>
      <c r="AVA31" s="161"/>
      <c r="AVB31" s="161"/>
      <c r="AVC31" s="194"/>
      <c r="AVD31" s="194"/>
      <c r="AVE31" s="194"/>
      <c r="AVF31" s="161"/>
      <c r="AVG31" s="194"/>
      <c r="AVH31" s="194"/>
      <c r="AVI31" s="161"/>
      <c r="AVJ31" s="194"/>
      <c r="AVK31" s="194"/>
      <c r="AVL31" s="194"/>
      <c r="AVM31" s="194"/>
      <c r="AVN31" s="194"/>
      <c r="AVO31" s="194"/>
      <c r="AVP31" s="161"/>
      <c r="AVQ31" s="195"/>
      <c r="AVR31" s="195"/>
      <c r="AVS31" s="161"/>
      <c r="AVT31" s="161"/>
      <c r="AVU31" s="161"/>
      <c r="AVV31" s="161"/>
      <c r="AVW31" s="196"/>
      <c r="AVX31" s="196"/>
      <c r="AVY31" s="192"/>
      <c r="AVZ31" s="181"/>
      <c r="AWA31" s="180"/>
      <c r="AWB31" s="197"/>
      <c r="AWC31" s="179"/>
      <c r="AWD31" s="196"/>
      <c r="AWE31" s="179"/>
      <c r="AWF31" s="196"/>
      <c r="AWG31" s="196"/>
      <c r="AWH31" s="161"/>
      <c r="AWI31" s="193"/>
      <c r="AWJ31" s="193"/>
      <c r="AWK31" s="194"/>
      <c r="AWL31" s="194"/>
      <c r="AWM31" s="194"/>
      <c r="AWN31" s="194"/>
      <c r="AWO31" s="194"/>
      <c r="AWP31" s="161"/>
      <c r="AWQ31" s="161"/>
      <c r="AWR31" s="194"/>
      <c r="AWS31" s="161"/>
      <c r="AWT31" s="193"/>
      <c r="AWU31" s="194"/>
      <c r="AWV31" s="161"/>
      <c r="AWW31" s="161"/>
      <c r="AWX31" s="161"/>
      <c r="AWY31" s="194"/>
      <c r="AWZ31" s="194"/>
      <c r="AXA31" s="194"/>
      <c r="AXB31" s="161"/>
      <c r="AXC31" s="194"/>
      <c r="AXD31" s="194"/>
      <c r="AXE31" s="161"/>
      <c r="AXF31" s="194"/>
      <c r="AXG31" s="194"/>
      <c r="AXH31" s="194"/>
      <c r="AXI31" s="194"/>
      <c r="AXJ31" s="194"/>
      <c r="AXK31" s="194"/>
      <c r="AXL31" s="161"/>
      <c r="AXM31" s="195"/>
      <c r="AXN31" s="195"/>
      <c r="AXO31" s="161"/>
      <c r="AXP31" s="161"/>
      <c r="AXQ31" s="161"/>
      <c r="AXR31" s="161"/>
      <c r="AXS31" s="196"/>
      <c r="AXT31" s="196"/>
      <c r="AXU31" s="192"/>
      <c r="AXV31" s="181"/>
      <c r="AXW31" s="180"/>
      <c r="AXX31" s="197"/>
      <c r="AXY31" s="179"/>
      <c r="AXZ31" s="196"/>
      <c r="AYA31" s="179"/>
      <c r="AYB31" s="196"/>
      <c r="AYC31" s="196"/>
      <c r="AYD31" s="161"/>
      <c r="AYE31" s="193"/>
      <c r="AYF31" s="193"/>
      <c r="AYG31" s="194"/>
      <c r="AYH31" s="194"/>
      <c r="AYI31" s="194"/>
      <c r="AYJ31" s="194"/>
      <c r="AYK31" s="194"/>
      <c r="AYL31" s="161"/>
      <c r="AYM31" s="161"/>
      <c r="AYN31" s="194"/>
      <c r="AYO31" s="161"/>
      <c r="AYP31" s="193"/>
      <c r="AYQ31" s="194"/>
      <c r="AYR31" s="161"/>
      <c r="AYS31" s="161"/>
      <c r="AYT31" s="161"/>
      <c r="AYU31" s="194"/>
      <c r="AYV31" s="194"/>
      <c r="AYW31" s="194"/>
      <c r="AYX31" s="161"/>
      <c r="AYY31" s="194"/>
      <c r="AYZ31" s="194"/>
      <c r="AZA31" s="161"/>
      <c r="AZB31" s="194"/>
      <c r="AZC31" s="194"/>
      <c r="AZD31" s="194"/>
      <c r="AZE31" s="194"/>
      <c r="AZF31" s="194"/>
      <c r="AZG31" s="194"/>
      <c r="AZH31" s="161"/>
      <c r="AZI31" s="195"/>
      <c r="AZJ31" s="195"/>
      <c r="AZK31" s="161"/>
      <c r="AZL31" s="161"/>
      <c r="AZM31" s="161"/>
      <c r="AZN31" s="161"/>
      <c r="AZO31" s="196"/>
      <c r="AZP31" s="196"/>
      <c r="AZQ31" s="192"/>
      <c r="AZR31" s="181"/>
      <c r="AZS31" s="180"/>
      <c r="AZT31" s="197"/>
      <c r="AZU31" s="179"/>
      <c r="AZV31" s="196"/>
      <c r="AZW31" s="179"/>
      <c r="AZX31" s="196"/>
      <c r="AZY31" s="196"/>
      <c r="AZZ31" s="161"/>
      <c r="BAA31" s="193"/>
      <c r="BAB31" s="193"/>
      <c r="BAC31" s="194"/>
      <c r="BAD31" s="194"/>
      <c r="BAE31" s="194"/>
      <c r="BAF31" s="194"/>
      <c r="BAG31" s="194"/>
      <c r="BAH31" s="161"/>
      <c r="BAI31" s="161"/>
      <c r="BAJ31" s="194"/>
      <c r="BAK31" s="161"/>
      <c r="BAL31" s="193"/>
      <c r="BAM31" s="194"/>
      <c r="BAN31" s="161"/>
      <c r="BAO31" s="161"/>
      <c r="BAP31" s="161"/>
      <c r="BAQ31" s="194"/>
      <c r="BAR31" s="194"/>
      <c r="BAS31" s="194"/>
      <c r="BAT31" s="161"/>
      <c r="BAU31" s="194"/>
      <c r="BAV31" s="194"/>
      <c r="BAW31" s="161"/>
      <c r="BAX31" s="194"/>
      <c r="BAY31" s="194"/>
      <c r="BAZ31" s="194"/>
      <c r="BBA31" s="194"/>
      <c r="BBB31" s="194"/>
      <c r="BBC31" s="194"/>
      <c r="BBD31" s="161"/>
      <c r="BBE31" s="195"/>
      <c r="BBF31" s="195"/>
      <c r="BBG31" s="161"/>
      <c r="BBH31" s="161"/>
      <c r="BBI31" s="161"/>
      <c r="BBJ31" s="161"/>
      <c r="BBK31" s="196"/>
      <c r="BBL31" s="196"/>
      <c r="BBM31" s="192"/>
      <c r="BBN31" s="181"/>
      <c r="BBO31" s="180"/>
      <c r="BBP31" s="197"/>
      <c r="BBQ31" s="179"/>
      <c r="BBR31" s="196"/>
      <c r="BBS31" s="179"/>
      <c r="BBT31" s="196"/>
      <c r="BBU31" s="196"/>
      <c r="BBV31" s="161"/>
      <c r="BBW31" s="193"/>
      <c r="BBX31" s="193"/>
      <c r="BBY31" s="194"/>
      <c r="BBZ31" s="194"/>
      <c r="BCA31" s="194"/>
      <c r="BCB31" s="194"/>
      <c r="BCC31" s="194"/>
      <c r="BCD31" s="161"/>
      <c r="BCE31" s="161"/>
      <c r="BCF31" s="194"/>
      <c r="BCG31" s="161"/>
      <c r="BCH31" s="193"/>
      <c r="BCI31" s="194"/>
      <c r="BCJ31" s="161"/>
      <c r="BCK31" s="161"/>
      <c r="BCL31" s="161"/>
      <c r="BCM31" s="194"/>
      <c r="BCN31" s="194"/>
      <c r="BCO31" s="194"/>
      <c r="BCP31" s="161"/>
      <c r="BCQ31" s="194"/>
      <c r="BCR31" s="194"/>
      <c r="BCS31" s="161"/>
      <c r="BCT31" s="194"/>
      <c r="BCU31" s="194"/>
      <c r="BCV31" s="194"/>
      <c r="BCW31" s="194"/>
      <c r="BCX31" s="194"/>
      <c r="BCY31" s="194"/>
      <c r="BCZ31" s="161"/>
      <c r="BDA31" s="195"/>
      <c r="BDB31" s="195"/>
      <c r="BDC31" s="161"/>
      <c r="BDD31" s="161"/>
      <c r="BDE31" s="161"/>
      <c r="BDF31" s="161"/>
      <c r="BDG31" s="196"/>
      <c r="BDH31" s="196"/>
      <c r="BDI31" s="192"/>
      <c r="BDJ31" s="181"/>
      <c r="BDK31" s="180"/>
      <c r="BDL31" s="197"/>
      <c r="BDM31" s="179"/>
      <c r="BDN31" s="196"/>
      <c r="BDO31" s="179"/>
      <c r="BDP31" s="196"/>
      <c r="BDQ31" s="196"/>
      <c r="BDR31" s="161"/>
      <c r="BDS31" s="193"/>
      <c r="BDT31" s="193"/>
      <c r="BDU31" s="194"/>
      <c r="BDV31" s="194"/>
      <c r="BDW31" s="194"/>
      <c r="BDX31" s="194"/>
      <c r="BDY31" s="194"/>
      <c r="BDZ31" s="161"/>
      <c r="BEA31" s="161"/>
      <c r="BEB31" s="194"/>
      <c r="BEC31" s="161"/>
      <c r="BED31" s="193"/>
      <c r="BEE31" s="194"/>
      <c r="BEF31" s="161"/>
      <c r="BEG31" s="161"/>
      <c r="BEH31" s="161"/>
      <c r="BEI31" s="194"/>
      <c r="BEJ31" s="194"/>
      <c r="BEK31" s="194"/>
      <c r="BEL31" s="161"/>
      <c r="BEM31" s="194"/>
      <c r="BEN31" s="194"/>
      <c r="BEO31" s="161"/>
      <c r="BEP31" s="194"/>
      <c r="BEQ31" s="194"/>
      <c r="BER31" s="194"/>
      <c r="BES31" s="194"/>
      <c r="BET31" s="194"/>
      <c r="BEU31" s="194"/>
      <c r="BEV31" s="161"/>
      <c r="BEW31" s="195"/>
      <c r="BEX31" s="195"/>
      <c r="BEY31" s="161"/>
      <c r="BEZ31" s="161"/>
      <c r="BFA31" s="161"/>
      <c r="BFB31" s="161"/>
      <c r="BFC31" s="196"/>
      <c r="BFD31" s="196"/>
      <c r="BFE31" s="192"/>
      <c r="BFF31" s="181"/>
      <c r="BFG31" s="180"/>
      <c r="BFH31" s="197"/>
      <c r="BFI31" s="179"/>
      <c r="BFJ31" s="196"/>
      <c r="BFK31" s="179"/>
      <c r="BFL31" s="196"/>
      <c r="BFM31" s="196"/>
      <c r="BFN31" s="161"/>
      <c r="BFO31" s="193"/>
      <c r="BFP31" s="193"/>
      <c r="BFQ31" s="194"/>
      <c r="BFR31" s="194"/>
      <c r="BFS31" s="194"/>
      <c r="BFT31" s="194"/>
      <c r="BFU31" s="194"/>
      <c r="BFV31" s="161"/>
      <c r="BFW31" s="161"/>
      <c r="BFX31" s="194"/>
      <c r="BFY31" s="161"/>
      <c r="BFZ31" s="193"/>
      <c r="BGA31" s="194"/>
      <c r="BGB31" s="161"/>
      <c r="BGC31" s="161"/>
      <c r="BGD31" s="161"/>
      <c r="BGE31" s="194"/>
      <c r="BGF31" s="194"/>
      <c r="BGG31" s="194"/>
      <c r="BGH31" s="161"/>
      <c r="BGI31" s="194"/>
      <c r="BGJ31" s="194"/>
      <c r="BGK31" s="161"/>
      <c r="BGL31" s="194"/>
      <c r="BGM31" s="194"/>
      <c r="BGN31" s="194"/>
      <c r="BGO31" s="194"/>
      <c r="BGP31" s="194"/>
      <c r="BGQ31" s="194"/>
      <c r="BGR31" s="161"/>
      <c r="BGS31" s="195"/>
      <c r="BGT31" s="195"/>
      <c r="BGU31" s="161"/>
      <c r="BGV31" s="161"/>
      <c r="BGW31" s="161"/>
      <c r="BGX31" s="161"/>
      <c r="BGY31" s="196"/>
      <c r="BGZ31" s="196"/>
      <c r="BHA31" s="192"/>
      <c r="BHB31" s="181"/>
      <c r="BHC31" s="180"/>
      <c r="BHD31" s="197"/>
      <c r="BHE31" s="179"/>
      <c r="BHF31" s="196"/>
      <c r="BHG31" s="179"/>
      <c r="BHH31" s="196"/>
      <c r="BHI31" s="196"/>
      <c r="BHJ31" s="161"/>
      <c r="BHK31" s="193"/>
      <c r="BHL31" s="193"/>
      <c r="BHM31" s="194"/>
      <c r="BHN31" s="194"/>
      <c r="BHO31" s="194"/>
      <c r="BHP31" s="194"/>
      <c r="BHQ31" s="194"/>
      <c r="BHR31" s="161"/>
      <c r="BHS31" s="161"/>
      <c r="BHT31" s="194"/>
      <c r="BHU31" s="161"/>
      <c r="BHV31" s="193"/>
      <c r="BHW31" s="194"/>
      <c r="BHX31" s="161"/>
      <c r="BHY31" s="161"/>
      <c r="BHZ31" s="161"/>
      <c r="BIA31" s="194"/>
      <c r="BIB31" s="194"/>
      <c r="BIC31" s="194"/>
      <c r="BID31" s="161"/>
      <c r="BIE31" s="194"/>
      <c r="BIF31" s="194"/>
      <c r="BIG31" s="161"/>
      <c r="BIH31" s="194"/>
      <c r="BII31" s="194"/>
      <c r="BIJ31" s="194"/>
      <c r="BIK31" s="194"/>
      <c r="BIL31" s="194"/>
      <c r="BIM31" s="194"/>
      <c r="BIN31" s="161"/>
      <c r="BIO31" s="195"/>
      <c r="BIP31" s="195"/>
      <c r="BIQ31" s="161"/>
      <c r="BIR31" s="161"/>
      <c r="BIS31" s="161"/>
      <c r="BIT31" s="161"/>
      <c r="BIU31" s="196"/>
      <c r="BIV31" s="196"/>
      <c r="BIW31" s="192"/>
      <c r="BIX31" s="181"/>
      <c r="BIY31" s="180"/>
      <c r="BIZ31" s="197"/>
      <c r="BJA31" s="179"/>
      <c r="BJB31" s="196"/>
      <c r="BJC31" s="179"/>
      <c r="BJD31" s="196"/>
      <c r="BJE31" s="196"/>
      <c r="BJF31" s="161"/>
      <c r="BJG31" s="193"/>
      <c r="BJH31" s="193"/>
      <c r="BJI31" s="194"/>
      <c r="BJJ31" s="194"/>
      <c r="BJK31" s="194"/>
      <c r="BJL31" s="194"/>
      <c r="BJM31" s="194"/>
      <c r="BJN31" s="161"/>
      <c r="BJO31" s="161"/>
      <c r="BJP31" s="194"/>
      <c r="BJQ31" s="161"/>
      <c r="BJR31" s="193"/>
      <c r="BJS31" s="194"/>
      <c r="BJT31" s="161"/>
      <c r="BJU31" s="161"/>
      <c r="BJV31" s="161"/>
      <c r="BJW31" s="194"/>
      <c r="BJX31" s="194"/>
      <c r="BJY31" s="194"/>
      <c r="BJZ31" s="161"/>
      <c r="BKA31" s="194"/>
      <c r="BKB31" s="194"/>
      <c r="BKC31" s="161"/>
      <c r="BKD31" s="194"/>
      <c r="BKE31" s="194"/>
      <c r="BKF31" s="194"/>
      <c r="BKG31" s="194"/>
      <c r="BKH31" s="194"/>
      <c r="BKI31" s="194"/>
      <c r="BKJ31" s="161"/>
      <c r="BKK31" s="195"/>
      <c r="BKL31" s="195"/>
      <c r="BKM31" s="161"/>
      <c r="BKN31" s="161"/>
      <c r="BKO31" s="161"/>
      <c r="BKP31" s="161"/>
      <c r="BKQ31" s="196"/>
      <c r="BKR31" s="196"/>
      <c r="BKS31" s="192"/>
      <c r="BKT31" s="181"/>
      <c r="BKU31" s="180"/>
      <c r="BKV31" s="197"/>
      <c r="BKW31" s="179"/>
      <c r="BKX31" s="196"/>
      <c r="BKY31" s="179"/>
      <c r="BKZ31" s="196"/>
      <c r="BLA31" s="196"/>
      <c r="BLB31" s="161"/>
      <c r="BLC31" s="193"/>
      <c r="BLD31" s="193"/>
      <c r="BLE31" s="194"/>
      <c r="BLF31" s="194"/>
      <c r="BLG31" s="194"/>
      <c r="BLH31" s="194"/>
      <c r="BLI31" s="194"/>
      <c r="BLJ31" s="161"/>
      <c r="BLK31" s="161"/>
      <c r="BLL31" s="194"/>
      <c r="BLM31" s="161"/>
      <c r="BLN31" s="193"/>
      <c r="BLO31" s="194"/>
      <c r="BLP31" s="161"/>
      <c r="BLQ31" s="161"/>
      <c r="BLR31" s="161"/>
      <c r="BLS31" s="194"/>
      <c r="BLT31" s="194"/>
      <c r="BLU31" s="194"/>
      <c r="BLV31" s="161"/>
      <c r="BLW31" s="194"/>
      <c r="BLX31" s="194"/>
      <c r="BLY31" s="161"/>
      <c r="BLZ31" s="194"/>
      <c r="BMA31" s="194"/>
      <c r="BMB31" s="194"/>
      <c r="BMC31" s="194"/>
      <c r="BMD31" s="194"/>
      <c r="BME31" s="194"/>
      <c r="BMF31" s="161"/>
      <c r="BMG31" s="195"/>
      <c r="BMH31" s="195"/>
      <c r="BMI31" s="161"/>
      <c r="BMJ31" s="161"/>
      <c r="BMK31" s="161"/>
      <c r="BML31" s="161"/>
      <c r="BMM31" s="196"/>
      <c r="BMN31" s="196"/>
      <c r="BMO31" s="192"/>
      <c r="BMP31" s="181"/>
      <c r="BMQ31" s="180"/>
      <c r="BMR31" s="197"/>
      <c r="BMS31" s="179"/>
      <c r="BMT31" s="196"/>
      <c r="BMU31" s="179"/>
      <c r="BMV31" s="196"/>
      <c r="BMW31" s="196"/>
      <c r="BMX31" s="161"/>
      <c r="BMY31" s="193"/>
      <c r="BMZ31" s="193"/>
      <c r="BNA31" s="194"/>
      <c r="BNB31" s="194"/>
      <c r="BNC31" s="194"/>
      <c r="BND31" s="194"/>
      <c r="BNE31" s="194"/>
      <c r="BNF31" s="161"/>
      <c r="BNG31" s="161"/>
      <c r="BNH31" s="194"/>
      <c r="BNI31" s="161"/>
      <c r="BNJ31" s="193"/>
      <c r="BNK31" s="194"/>
      <c r="BNL31" s="161"/>
      <c r="BNM31" s="161"/>
      <c r="BNN31" s="161"/>
      <c r="BNO31" s="194"/>
      <c r="BNP31" s="194"/>
      <c r="BNQ31" s="194"/>
      <c r="BNR31" s="161"/>
      <c r="BNS31" s="194"/>
      <c r="BNT31" s="194"/>
      <c r="BNU31" s="161"/>
      <c r="BNV31" s="194"/>
      <c r="BNW31" s="194"/>
      <c r="BNX31" s="194"/>
      <c r="BNY31" s="194"/>
      <c r="BNZ31" s="194"/>
      <c r="BOA31" s="194"/>
      <c r="BOB31" s="161"/>
      <c r="BOC31" s="195"/>
      <c r="BOD31" s="195"/>
      <c r="BOE31" s="161"/>
      <c r="BOF31" s="161"/>
      <c r="BOG31" s="161"/>
      <c r="BOH31" s="161"/>
      <c r="BOI31" s="196"/>
      <c r="BOJ31" s="196"/>
      <c r="BOK31" s="192"/>
      <c r="BOL31" s="181"/>
      <c r="BOM31" s="180"/>
      <c r="BON31" s="197"/>
      <c r="BOO31" s="179"/>
      <c r="BOP31" s="196"/>
      <c r="BOQ31" s="179"/>
      <c r="BOR31" s="196"/>
      <c r="BOS31" s="196"/>
      <c r="BOT31" s="161"/>
      <c r="BOU31" s="193"/>
      <c r="BOV31" s="193"/>
      <c r="BOW31" s="194"/>
      <c r="BOX31" s="194"/>
      <c r="BOY31" s="194"/>
      <c r="BOZ31" s="194"/>
      <c r="BPA31" s="194"/>
      <c r="BPB31" s="161"/>
      <c r="BPC31" s="161"/>
      <c r="BPD31" s="194"/>
      <c r="BPE31" s="161"/>
      <c r="BPF31" s="193"/>
      <c r="BPG31" s="194"/>
      <c r="BPH31" s="161"/>
      <c r="BPI31" s="161"/>
      <c r="BPJ31" s="161"/>
      <c r="BPK31" s="194"/>
      <c r="BPL31" s="194"/>
      <c r="BPM31" s="194"/>
      <c r="BPN31" s="161"/>
      <c r="BPO31" s="194"/>
      <c r="BPP31" s="194"/>
      <c r="BPQ31" s="161"/>
      <c r="BPR31" s="194"/>
      <c r="BPS31" s="194"/>
      <c r="BPT31" s="194"/>
      <c r="BPU31" s="194"/>
      <c r="BPV31" s="194"/>
      <c r="BPW31" s="194"/>
      <c r="BPX31" s="161"/>
      <c r="BPY31" s="195"/>
      <c r="BPZ31" s="195"/>
      <c r="BQA31" s="161"/>
      <c r="BQB31" s="161"/>
      <c r="BQC31" s="161"/>
      <c r="BQD31" s="161"/>
      <c r="BQE31" s="196"/>
      <c r="BQF31" s="196"/>
      <c r="BQG31" s="192"/>
      <c r="BQH31" s="181"/>
      <c r="BQI31" s="180"/>
      <c r="BQJ31" s="197"/>
      <c r="BQK31" s="179"/>
      <c r="BQL31" s="196"/>
      <c r="BQM31" s="179"/>
      <c r="BQN31" s="196"/>
      <c r="BQO31" s="196"/>
      <c r="BQP31" s="161"/>
      <c r="BQQ31" s="193"/>
      <c r="BQR31" s="193"/>
      <c r="BQS31" s="194"/>
      <c r="BQT31" s="194"/>
      <c r="BQU31" s="194"/>
      <c r="BQV31" s="194"/>
      <c r="BQW31" s="194"/>
      <c r="BQX31" s="161"/>
      <c r="BQY31" s="161"/>
      <c r="BQZ31" s="194"/>
      <c r="BRA31" s="161"/>
      <c r="BRB31" s="193"/>
      <c r="BRC31" s="194"/>
      <c r="BRD31" s="161"/>
      <c r="BRE31" s="161"/>
      <c r="BRF31" s="161"/>
      <c r="BRG31" s="194"/>
      <c r="BRH31" s="194"/>
      <c r="BRI31" s="194"/>
      <c r="BRJ31" s="161"/>
      <c r="BRK31" s="194"/>
      <c r="BRL31" s="194"/>
      <c r="BRM31" s="161"/>
      <c r="BRN31" s="194"/>
      <c r="BRO31" s="194"/>
      <c r="BRP31" s="194"/>
      <c r="BRQ31" s="194"/>
      <c r="BRR31" s="194"/>
      <c r="BRS31" s="194"/>
      <c r="BRT31" s="161"/>
      <c r="BRU31" s="195"/>
      <c r="BRV31" s="195"/>
      <c r="BRW31" s="161"/>
      <c r="BRX31" s="161"/>
      <c r="BRY31" s="161"/>
      <c r="BRZ31" s="161"/>
      <c r="BSA31" s="196"/>
      <c r="BSB31" s="196"/>
      <c r="BSC31" s="192"/>
      <c r="BSD31" s="181"/>
      <c r="BSE31" s="180"/>
      <c r="BSF31" s="197"/>
      <c r="BSG31" s="179"/>
      <c r="BSH31" s="196"/>
      <c r="BSI31" s="179"/>
      <c r="BSJ31" s="196"/>
      <c r="BSK31" s="196"/>
      <c r="BSL31" s="161"/>
      <c r="BSM31" s="193"/>
      <c r="BSN31" s="193"/>
      <c r="BSO31" s="194"/>
      <c r="BSP31" s="194"/>
      <c r="BSQ31" s="194"/>
      <c r="BSR31" s="194"/>
      <c r="BSS31" s="194"/>
      <c r="BST31" s="161"/>
      <c r="BSU31" s="161"/>
      <c r="BSV31" s="194"/>
      <c r="BSW31" s="161"/>
      <c r="BSX31" s="193"/>
      <c r="BSY31" s="194"/>
      <c r="BSZ31" s="161"/>
      <c r="BTA31" s="161"/>
      <c r="BTB31" s="161"/>
      <c r="BTC31" s="194"/>
      <c r="BTD31" s="194"/>
      <c r="BTE31" s="194"/>
      <c r="BTF31" s="161"/>
      <c r="BTG31" s="194"/>
      <c r="BTH31" s="194"/>
      <c r="BTI31" s="161"/>
      <c r="BTJ31" s="194"/>
      <c r="BTK31" s="194"/>
      <c r="BTL31" s="194"/>
      <c r="BTM31" s="194"/>
      <c r="BTN31" s="194"/>
      <c r="BTO31" s="194"/>
      <c r="BTP31" s="161"/>
      <c r="BTQ31" s="195"/>
      <c r="BTR31" s="195"/>
      <c r="BTS31" s="161"/>
      <c r="BTT31" s="161"/>
      <c r="BTU31" s="161"/>
      <c r="BTV31" s="161"/>
      <c r="BTW31" s="196"/>
      <c r="BTX31" s="196"/>
      <c r="BTY31" s="192"/>
      <c r="BTZ31" s="181"/>
      <c r="BUA31" s="180"/>
      <c r="BUB31" s="197"/>
      <c r="BUC31" s="179"/>
      <c r="BUD31" s="196"/>
      <c r="BUE31" s="179"/>
      <c r="BUF31" s="196"/>
      <c r="BUG31" s="196"/>
      <c r="BUH31" s="161"/>
      <c r="BUI31" s="193"/>
      <c r="BUJ31" s="193"/>
      <c r="BUK31" s="194"/>
      <c r="BUL31" s="194"/>
      <c r="BUM31" s="194"/>
      <c r="BUN31" s="194"/>
      <c r="BUO31" s="194"/>
      <c r="BUP31" s="161"/>
      <c r="BUQ31" s="161"/>
      <c r="BUR31" s="194"/>
      <c r="BUS31" s="161"/>
      <c r="BUT31" s="193"/>
      <c r="BUU31" s="194"/>
      <c r="BUV31" s="161"/>
      <c r="BUW31" s="161"/>
      <c r="BUX31" s="161"/>
      <c r="BUY31" s="194"/>
      <c r="BUZ31" s="194"/>
      <c r="BVA31" s="194"/>
      <c r="BVB31" s="161"/>
      <c r="BVC31" s="194"/>
      <c r="BVD31" s="194"/>
      <c r="BVE31" s="161"/>
      <c r="BVF31" s="194"/>
      <c r="BVG31" s="194"/>
      <c r="BVH31" s="194"/>
      <c r="BVI31" s="194"/>
      <c r="BVJ31" s="194"/>
      <c r="BVK31" s="194"/>
      <c r="BVL31" s="161"/>
      <c r="BVM31" s="195"/>
      <c r="BVN31" s="195"/>
      <c r="BVO31" s="161"/>
      <c r="BVP31" s="161"/>
      <c r="BVQ31" s="161"/>
      <c r="BVR31" s="161"/>
      <c r="BVS31" s="196"/>
      <c r="BVT31" s="196"/>
      <c r="BVU31" s="192"/>
      <c r="BVV31" s="181"/>
      <c r="BVW31" s="180"/>
      <c r="BVX31" s="197"/>
      <c r="BVY31" s="179"/>
      <c r="BVZ31" s="196"/>
      <c r="BWA31" s="179"/>
      <c r="BWB31" s="196"/>
      <c r="BWC31" s="196"/>
      <c r="BWD31" s="161"/>
      <c r="BWE31" s="193"/>
      <c r="BWF31" s="193"/>
      <c r="BWG31" s="194"/>
      <c r="BWH31" s="194"/>
      <c r="BWI31" s="194"/>
      <c r="BWJ31" s="194"/>
      <c r="BWK31" s="194"/>
      <c r="BWL31" s="161"/>
      <c r="BWM31" s="161"/>
      <c r="BWN31" s="194"/>
      <c r="BWO31" s="161"/>
      <c r="BWP31" s="193"/>
      <c r="BWQ31" s="194"/>
      <c r="BWR31" s="161"/>
      <c r="BWS31" s="161"/>
      <c r="BWT31" s="161"/>
      <c r="BWU31" s="194"/>
      <c r="BWV31" s="194"/>
      <c r="BWW31" s="194"/>
      <c r="BWX31" s="161"/>
      <c r="BWY31" s="194"/>
      <c r="BWZ31" s="194"/>
      <c r="BXA31" s="161"/>
      <c r="BXB31" s="194"/>
      <c r="BXC31" s="194"/>
      <c r="BXD31" s="194"/>
      <c r="BXE31" s="194"/>
      <c r="BXF31" s="194"/>
      <c r="BXG31" s="194"/>
      <c r="BXH31" s="161"/>
      <c r="BXI31" s="195"/>
      <c r="BXJ31" s="195"/>
      <c r="BXK31" s="161"/>
      <c r="BXL31" s="161"/>
      <c r="BXM31" s="161"/>
      <c r="BXN31" s="161"/>
      <c r="BXO31" s="196"/>
      <c r="BXP31" s="196"/>
      <c r="BXQ31" s="192"/>
      <c r="BXR31" s="181"/>
      <c r="BXS31" s="180"/>
      <c r="BXT31" s="197"/>
      <c r="BXU31" s="179"/>
      <c r="BXV31" s="196"/>
      <c r="BXW31" s="179"/>
      <c r="BXX31" s="196"/>
      <c r="BXY31" s="196"/>
      <c r="BXZ31" s="161"/>
      <c r="BYA31" s="193"/>
      <c r="BYB31" s="193"/>
      <c r="BYC31" s="194"/>
      <c r="BYD31" s="194"/>
      <c r="BYE31" s="194"/>
      <c r="BYF31" s="194"/>
      <c r="BYG31" s="194"/>
      <c r="BYH31" s="161"/>
      <c r="BYI31" s="161"/>
      <c r="BYJ31" s="194"/>
      <c r="BYK31" s="161"/>
      <c r="BYL31" s="193"/>
      <c r="BYM31" s="194"/>
      <c r="BYN31" s="161"/>
      <c r="BYO31" s="161"/>
      <c r="BYP31" s="161"/>
      <c r="BYQ31" s="194"/>
      <c r="BYR31" s="194"/>
      <c r="BYS31" s="194"/>
      <c r="BYT31" s="161"/>
      <c r="BYU31" s="194"/>
      <c r="BYV31" s="194"/>
      <c r="BYW31" s="161"/>
      <c r="BYX31" s="194"/>
      <c r="BYY31" s="194"/>
      <c r="BYZ31" s="194"/>
      <c r="BZA31" s="194"/>
      <c r="BZB31" s="194"/>
      <c r="BZC31" s="194"/>
      <c r="BZD31" s="161"/>
      <c r="BZE31" s="195"/>
      <c r="BZF31" s="195"/>
      <c r="BZG31" s="161"/>
      <c r="BZH31" s="161"/>
      <c r="BZI31" s="161"/>
      <c r="BZJ31" s="161"/>
      <c r="BZK31" s="196"/>
      <c r="BZL31" s="196"/>
      <c r="BZM31" s="192"/>
      <c r="BZN31" s="181"/>
      <c r="BZO31" s="180"/>
      <c r="BZP31" s="197"/>
      <c r="BZQ31" s="179"/>
      <c r="BZR31" s="196"/>
      <c r="BZS31" s="179"/>
      <c r="BZT31" s="196"/>
      <c r="BZU31" s="196"/>
      <c r="BZV31" s="161"/>
      <c r="BZW31" s="193"/>
      <c r="BZX31" s="193"/>
      <c r="BZY31" s="194"/>
      <c r="BZZ31" s="194"/>
      <c r="CAA31" s="194"/>
      <c r="CAB31" s="194"/>
      <c r="CAC31" s="194"/>
      <c r="CAD31" s="161"/>
      <c r="CAE31" s="161"/>
      <c r="CAF31" s="194"/>
      <c r="CAG31" s="161"/>
      <c r="CAH31" s="193"/>
      <c r="CAI31" s="194"/>
      <c r="CAJ31" s="161"/>
      <c r="CAK31" s="161"/>
      <c r="CAL31" s="161"/>
      <c r="CAM31" s="194"/>
      <c r="CAN31" s="194"/>
      <c r="CAO31" s="194"/>
      <c r="CAP31" s="161"/>
      <c r="CAQ31" s="194"/>
      <c r="CAR31" s="194"/>
      <c r="CAS31" s="161"/>
      <c r="CAT31" s="194"/>
      <c r="CAU31" s="194"/>
      <c r="CAV31" s="194"/>
      <c r="CAW31" s="194"/>
      <c r="CAX31" s="194"/>
      <c r="CAY31" s="194"/>
      <c r="CAZ31" s="161"/>
      <c r="CBA31" s="195"/>
      <c r="CBB31" s="195"/>
      <c r="CBC31" s="161"/>
      <c r="CBD31" s="161"/>
      <c r="CBE31" s="161"/>
      <c r="CBF31" s="161"/>
      <c r="CBG31" s="196"/>
      <c r="CBH31" s="196"/>
      <c r="CBI31" s="192"/>
      <c r="CBJ31" s="181"/>
      <c r="CBK31" s="180"/>
      <c r="CBL31" s="197"/>
      <c r="CBM31" s="179"/>
      <c r="CBN31" s="196"/>
      <c r="CBO31" s="179"/>
      <c r="CBP31" s="196"/>
      <c r="CBQ31" s="196"/>
      <c r="CBR31" s="161"/>
      <c r="CBS31" s="193"/>
      <c r="CBT31" s="193"/>
      <c r="CBU31" s="194"/>
      <c r="CBV31" s="194"/>
      <c r="CBW31" s="194"/>
      <c r="CBX31" s="194"/>
      <c r="CBY31" s="194"/>
      <c r="CBZ31" s="161"/>
      <c r="CCA31" s="161"/>
      <c r="CCB31" s="194"/>
      <c r="CCC31" s="161"/>
      <c r="CCD31" s="193"/>
      <c r="CCE31" s="194"/>
      <c r="CCF31" s="161"/>
      <c r="CCG31" s="161"/>
      <c r="CCH31" s="161"/>
      <c r="CCI31" s="194"/>
      <c r="CCJ31" s="194"/>
      <c r="CCK31" s="194"/>
      <c r="CCL31" s="161"/>
      <c r="CCM31" s="194"/>
      <c r="CCN31" s="194"/>
      <c r="CCO31" s="161"/>
      <c r="CCP31" s="194"/>
      <c r="CCQ31" s="194"/>
      <c r="CCR31" s="194"/>
      <c r="CCS31" s="194"/>
      <c r="CCT31" s="194"/>
      <c r="CCU31" s="194"/>
      <c r="CCV31" s="161"/>
      <c r="CCW31" s="195"/>
      <c r="CCX31" s="195"/>
      <c r="CCY31" s="161"/>
      <c r="CCZ31" s="161"/>
      <c r="CDA31" s="161"/>
      <c r="CDB31" s="161"/>
      <c r="CDC31" s="196"/>
      <c r="CDD31" s="196"/>
      <c r="CDE31" s="192"/>
      <c r="CDF31" s="181"/>
      <c r="CDG31" s="180"/>
      <c r="CDH31" s="197"/>
      <c r="CDI31" s="179"/>
      <c r="CDJ31" s="196"/>
      <c r="CDK31" s="179"/>
      <c r="CDL31" s="196"/>
      <c r="CDM31" s="196"/>
      <c r="CDN31" s="161"/>
      <c r="CDO31" s="193"/>
      <c r="CDP31" s="193"/>
      <c r="CDQ31" s="194"/>
      <c r="CDR31" s="194"/>
      <c r="CDS31" s="194"/>
      <c r="CDT31" s="194"/>
      <c r="CDU31" s="194"/>
      <c r="CDV31" s="161"/>
      <c r="CDW31" s="161"/>
      <c r="CDX31" s="194"/>
      <c r="CDY31" s="161"/>
      <c r="CDZ31" s="193"/>
      <c r="CEA31" s="194"/>
      <c r="CEB31" s="161"/>
      <c r="CEC31" s="161"/>
      <c r="CED31" s="161"/>
      <c r="CEE31" s="194"/>
      <c r="CEF31" s="194"/>
      <c r="CEG31" s="194"/>
      <c r="CEH31" s="161"/>
      <c r="CEI31" s="194"/>
      <c r="CEJ31" s="194"/>
      <c r="CEK31" s="161"/>
      <c r="CEL31" s="194"/>
      <c r="CEM31" s="194"/>
      <c r="CEN31" s="194"/>
      <c r="CEO31" s="194"/>
      <c r="CEP31" s="194"/>
      <c r="CEQ31" s="194"/>
      <c r="CER31" s="161"/>
      <c r="CES31" s="195"/>
      <c r="CET31" s="195"/>
      <c r="CEU31" s="161"/>
      <c r="CEV31" s="161"/>
      <c r="CEW31" s="161"/>
      <c r="CEX31" s="161"/>
      <c r="CEY31" s="196"/>
      <c r="CEZ31" s="196"/>
      <c r="CFA31" s="192"/>
      <c r="CFB31" s="181"/>
      <c r="CFC31" s="180"/>
      <c r="CFD31" s="197"/>
      <c r="CFE31" s="179"/>
      <c r="CFF31" s="196"/>
      <c r="CFG31" s="179"/>
      <c r="CFH31" s="196"/>
      <c r="CFI31" s="196"/>
      <c r="CFJ31" s="161"/>
      <c r="CFK31" s="193"/>
      <c r="CFL31" s="193"/>
      <c r="CFM31" s="194"/>
      <c r="CFN31" s="194"/>
      <c r="CFO31" s="194"/>
      <c r="CFP31" s="194"/>
      <c r="CFQ31" s="194"/>
      <c r="CFR31" s="161"/>
      <c r="CFS31" s="161"/>
      <c r="CFT31" s="194"/>
      <c r="CFU31" s="161"/>
      <c r="CFV31" s="193"/>
      <c r="CFW31" s="194"/>
      <c r="CFX31" s="161"/>
      <c r="CFY31" s="161"/>
      <c r="CFZ31" s="161"/>
      <c r="CGA31" s="194"/>
      <c r="CGB31" s="194"/>
      <c r="CGC31" s="194"/>
      <c r="CGD31" s="161"/>
      <c r="CGE31" s="194"/>
      <c r="CGF31" s="194"/>
      <c r="CGG31" s="161"/>
      <c r="CGH31" s="194"/>
      <c r="CGI31" s="194"/>
      <c r="CGJ31" s="194"/>
      <c r="CGK31" s="194"/>
      <c r="CGL31" s="194"/>
      <c r="CGM31" s="194"/>
      <c r="CGN31" s="161"/>
      <c r="CGO31" s="195"/>
      <c r="CGP31" s="195"/>
      <c r="CGQ31" s="161"/>
      <c r="CGR31" s="161"/>
      <c r="CGS31" s="161"/>
      <c r="CGT31" s="161"/>
      <c r="CGU31" s="196"/>
      <c r="CGV31" s="196"/>
      <c r="CGW31" s="192"/>
      <c r="CGX31" s="181"/>
      <c r="CGY31" s="180"/>
      <c r="CGZ31" s="197"/>
      <c r="CHA31" s="179"/>
      <c r="CHB31" s="196"/>
      <c r="CHC31" s="179"/>
      <c r="CHD31" s="196"/>
      <c r="CHE31" s="196"/>
      <c r="CHF31" s="161"/>
      <c r="CHG31" s="193"/>
      <c r="CHH31" s="193"/>
      <c r="CHI31" s="194"/>
      <c r="CHJ31" s="194"/>
      <c r="CHK31" s="194"/>
      <c r="CHL31" s="194"/>
      <c r="CHM31" s="194"/>
      <c r="CHN31" s="161"/>
      <c r="CHO31" s="161"/>
      <c r="CHP31" s="194"/>
      <c r="CHQ31" s="161"/>
      <c r="CHR31" s="193"/>
      <c r="CHS31" s="194"/>
      <c r="CHT31" s="161"/>
      <c r="CHU31" s="161"/>
      <c r="CHV31" s="161"/>
      <c r="CHW31" s="194"/>
      <c r="CHX31" s="194"/>
      <c r="CHY31" s="194"/>
      <c r="CHZ31" s="161"/>
      <c r="CIA31" s="194"/>
      <c r="CIB31" s="194"/>
      <c r="CIC31" s="161"/>
      <c r="CID31" s="194"/>
      <c r="CIE31" s="194"/>
      <c r="CIF31" s="194"/>
      <c r="CIG31" s="194"/>
      <c r="CIH31" s="194"/>
      <c r="CII31" s="194"/>
      <c r="CIJ31" s="161"/>
      <c r="CIK31" s="195"/>
      <c r="CIL31" s="195"/>
      <c r="CIM31" s="161"/>
      <c r="CIN31" s="161"/>
      <c r="CIO31" s="161"/>
      <c r="CIP31" s="161"/>
      <c r="CIQ31" s="196"/>
      <c r="CIR31" s="196"/>
      <c r="CIS31" s="192"/>
      <c r="CIT31" s="181"/>
      <c r="CIU31" s="180"/>
      <c r="CIV31" s="197"/>
      <c r="CIW31" s="179"/>
      <c r="CIX31" s="196"/>
      <c r="CIY31" s="179"/>
      <c r="CIZ31" s="196"/>
      <c r="CJA31" s="196"/>
      <c r="CJB31" s="161"/>
      <c r="CJC31" s="193"/>
      <c r="CJD31" s="193"/>
      <c r="CJE31" s="194"/>
      <c r="CJF31" s="194"/>
      <c r="CJG31" s="194"/>
      <c r="CJH31" s="194"/>
      <c r="CJI31" s="194"/>
      <c r="CJJ31" s="161"/>
      <c r="CJK31" s="161"/>
      <c r="CJL31" s="194"/>
      <c r="CJM31" s="161"/>
      <c r="CJN31" s="193"/>
      <c r="CJO31" s="194"/>
      <c r="CJP31" s="161"/>
      <c r="CJQ31" s="161"/>
      <c r="CJR31" s="161"/>
      <c r="CJS31" s="194"/>
      <c r="CJT31" s="194"/>
      <c r="CJU31" s="194"/>
      <c r="CJV31" s="161"/>
      <c r="CJW31" s="194"/>
      <c r="CJX31" s="194"/>
      <c r="CJY31" s="161"/>
      <c r="CJZ31" s="194"/>
      <c r="CKA31" s="194"/>
      <c r="CKB31" s="194"/>
      <c r="CKC31" s="194"/>
      <c r="CKD31" s="194"/>
      <c r="CKE31" s="194"/>
      <c r="CKF31" s="161"/>
      <c r="CKG31" s="195"/>
      <c r="CKH31" s="195"/>
      <c r="CKI31" s="161"/>
      <c r="CKJ31" s="161"/>
      <c r="CKK31" s="161"/>
      <c r="CKL31" s="161"/>
      <c r="CKM31" s="196"/>
      <c r="CKN31" s="196"/>
      <c r="CKO31" s="192"/>
      <c r="CKP31" s="181"/>
      <c r="CKQ31" s="180"/>
      <c r="CKR31" s="197"/>
      <c r="CKS31" s="179"/>
      <c r="CKT31" s="196"/>
      <c r="CKU31" s="179"/>
      <c r="CKV31" s="196"/>
      <c r="CKW31" s="196"/>
      <c r="CKX31" s="161"/>
      <c r="CKY31" s="193"/>
      <c r="CKZ31" s="193"/>
      <c r="CLA31" s="194"/>
      <c r="CLB31" s="194"/>
      <c r="CLC31" s="194"/>
      <c r="CLD31" s="194"/>
      <c r="CLE31" s="194"/>
      <c r="CLF31" s="161"/>
      <c r="CLG31" s="161"/>
      <c r="CLH31" s="194"/>
      <c r="CLI31" s="161"/>
      <c r="CLJ31" s="193"/>
      <c r="CLK31" s="194"/>
      <c r="CLL31" s="161"/>
      <c r="CLM31" s="161"/>
      <c r="CLN31" s="161"/>
      <c r="CLO31" s="194"/>
      <c r="CLP31" s="194"/>
      <c r="CLQ31" s="194"/>
      <c r="CLR31" s="161"/>
      <c r="CLS31" s="194"/>
      <c r="CLT31" s="194"/>
      <c r="CLU31" s="161"/>
      <c r="CLV31" s="194"/>
      <c r="CLW31" s="194"/>
      <c r="CLX31" s="194"/>
      <c r="CLY31" s="194"/>
      <c r="CLZ31" s="194"/>
      <c r="CMA31" s="194"/>
      <c r="CMB31" s="161"/>
      <c r="CMC31" s="195"/>
      <c r="CMD31" s="195"/>
      <c r="CME31" s="161"/>
      <c r="CMF31" s="161"/>
      <c r="CMG31" s="161"/>
      <c r="CMH31" s="161"/>
      <c r="CMI31" s="196"/>
      <c r="CMJ31" s="196"/>
      <c r="CMK31" s="192"/>
      <c r="CML31" s="181"/>
      <c r="CMM31" s="180"/>
      <c r="CMN31" s="197"/>
      <c r="CMO31" s="179"/>
      <c r="CMP31" s="196"/>
      <c r="CMQ31" s="179"/>
      <c r="CMR31" s="196"/>
      <c r="CMS31" s="196"/>
      <c r="CMT31" s="161"/>
      <c r="CMU31" s="193"/>
      <c r="CMV31" s="193"/>
      <c r="CMW31" s="194"/>
      <c r="CMX31" s="194"/>
      <c r="CMY31" s="194"/>
      <c r="CMZ31" s="194"/>
      <c r="CNA31" s="194"/>
      <c r="CNB31" s="161"/>
      <c r="CNC31" s="161"/>
      <c r="CND31" s="194"/>
      <c r="CNE31" s="161"/>
      <c r="CNF31" s="193"/>
      <c r="CNG31" s="194"/>
      <c r="CNH31" s="161"/>
      <c r="CNI31" s="161"/>
      <c r="CNJ31" s="161"/>
      <c r="CNK31" s="194"/>
      <c r="CNL31" s="194"/>
      <c r="CNM31" s="194"/>
      <c r="CNN31" s="161"/>
      <c r="CNO31" s="194"/>
      <c r="CNP31" s="194"/>
      <c r="CNQ31" s="161"/>
      <c r="CNR31" s="194"/>
      <c r="CNS31" s="194"/>
      <c r="CNT31" s="194"/>
      <c r="CNU31" s="194"/>
      <c r="CNV31" s="194"/>
      <c r="CNW31" s="194"/>
      <c r="CNX31" s="161"/>
      <c r="CNY31" s="195"/>
      <c r="CNZ31" s="195"/>
      <c r="COA31" s="161"/>
      <c r="COB31" s="161"/>
      <c r="COC31" s="161"/>
      <c r="COD31" s="161"/>
      <c r="COE31" s="196"/>
      <c r="COF31" s="196"/>
      <c r="COG31" s="192"/>
      <c r="COH31" s="181"/>
      <c r="COI31" s="180"/>
      <c r="COJ31" s="197"/>
      <c r="COK31" s="179"/>
      <c r="COL31" s="196"/>
      <c r="COM31" s="179"/>
      <c r="CON31" s="196"/>
      <c r="COO31" s="196"/>
      <c r="COP31" s="161"/>
      <c r="COQ31" s="193"/>
      <c r="COR31" s="193"/>
      <c r="COS31" s="194"/>
      <c r="COT31" s="194"/>
      <c r="COU31" s="194"/>
      <c r="COV31" s="194"/>
      <c r="COW31" s="194"/>
      <c r="COX31" s="161"/>
      <c r="COY31" s="161"/>
      <c r="COZ31" s="194"/>
      <c r="CPA31" s="161"/>
      <c r="CPB31" s="193"/>
      <c r="CPC31" s="194"/>
      <c r="CPD31" s="161"/>
      <c r="CPE31" s="161"/>
      <c r="CPF31" s="161"/>
      <c r="CPG31" s="194"/>
      <c r="CPH31" s="194"/>
      <c r="CPI31" s="194"/>
      <c r="CPJ31" s="161"/>
      <c r="CPK31" s="194"/>
      <c r="CPL31" s="194"/>
      <c r="CPM31" s="161"/>
      <c r="CPN31" s="194"/>
      <c r="CPO31" s="194"/>
      <c r="CPP31" s="194"/>
      <c r="CPQ31" s="194"/>
      <c r="CPR31" s="194"/>
      <c r="CPS31" s="194"/>
      <c r="CPT31" s="161"/>
      <c r="CPU31" s="195"/>
      <c r="CPV31" s="195"/>
      <c r="CPW31" s="161"/>
      <c r="CPX31" s="161"/>
      <c r="CPY31" s="161"/>
      <c r="CPZ31" s="161"/>
      <c r="CQA31" s="196"/>
      <c r="CQB31" s="196"/>
      <c r="CQC31" s="192"/>
      <c r="CQD31" s="181"/>
      <c r="CQE31" s="180"/>
      <c r="CQF31" s="197"/>
      <c r="CQG31" s="179"/>
      <c r="CQH31" s="196"/>
      <c r="CQI31" s="179"/>
      <c r="CQJ31" s="196"/>
      <c r="CQK31" s="196"/>
      <c r="CQL31" s="161"/>
      <c r="CQM31" s="193"/>
      <c r="CQN31" s="193"/>
      <c r="CQO31" s="194"/>
      <c r="CQP31" s="194"/>
      <c r="CQQ31" s="194"/>
      <c r="CQR31" s="194"/>
      <c r="CQS31" s="194"/>
      <c r="CQT31" s="161"/>
      <c r="CQU31" s="161"/>
      <c r="CQV31" s="194"/>
      <c r="CQW31" s="161"/>
      <c r="CQX31" s="193"/>
      <c r="CQY31" s="194"/>
      <c r="CQZ31" s="161"/>
      <c r="CRA31" s="161"/>
      <c r="CRB31" s="161"/>
      <c r="CRC31" s="194"/>
      <c r="CRD31" s="194"/>
      <c r="CRE31" s="194"/>
      <c r="CRF31" s="161"/>
      <c r="CRG31" s="194"/>
      <c r="CRH31" s="194"/>
      <c r="CRI31" s="161"/>
      <c r="CRJ31" s="194"/>
      <c r="CRK31" s="194"/>
      <c r="CRL31" s="194"/>
      <c r="CRM31" s="194"/>
      <c r="CRN31" s="194"/>
      <c r="CRO31" s="194"/>
      <c r="CRP31" s="161"/>
      <c r="CRQ31" s="195"/>
      <c r="CRR31" s="195"/>
      <c r="CRS31" s="161"/>
      <c r="CRT31" s="161"/>
      <c r="CRU31" s="161"/>
      <c r="CRV31" s="161"/>
      <c r="CRW31" s="196"/>
      <c r="CRX31" s="196"/>
      <c r="CRY31" s="192"/>
      <c r="CRZ31" s="181"/>
      <c r="CSA31" s="180"/>
      <c r="CSB31" s="197"/>
      <c r="CSC31" s="179"/>
      <c r="CSD31" s="196"/>
      <c r="CSE31" s="179"/>
      <c r="CSF31" s="196"/>
      <c r="CSG31" s="196"/>
      <c r="CSH31" s="161"/>
      <c r="CSI31" s="193"/>
      <c r="CSJ31" s="193"/>
      <c r="CSK31" s="194"/>
      <c r="CSL31" s="194"/>
      <c r="CSM31" s="194"/>
      <c r="CSN31" s="194"/>
      <c r="CSO31" s="194"/>
      <c r="CSP31" s="161"/>
      <c r="CSQ31" s="161"/>
      <c r="CSR31" s="194"/>
      <c r="CSS31" s="161"/>
      <c r="CST31" s="193"/>
      <c r="CSU31" s="194"/>
      <c r="CSV31" s="161"/>
      <c r="CSW31" s="161"/>
      <c r="CSX31" s="161"/>
      <c r="CSY31" s="194"/>
      <c r="CSZ31" s="194"/>
      <c r="CTA31" s="194"/>
      <c r="CTB31" s="161"/>
      <c r="CTC31" s="194"/>
      <c r="CTD31" s="194"/>
      <c r="CTE31" s="161"/>
      <c r="CTF31" s="194"/>
      <c r="CTG31" s="194"/>
      <c r="CTH31" s="194"/>
      <c r="CTI31" s="194"/>
      <c r="CTJ31" s="194"/>
      <c r="CTK31" s="194"/>
      <c r="CTL31" s="161"/>
      <c r="CTM31" s="195"/>
      <c r="CTN31" s="195"/>
      <c r="CTO31" s="161"/>
      <c r="CTP31" s="161"/>
      <c r="CTQ31" s="161"/>
      <c r="CTR31" s="161"/>
      <c r="CTS31" s="196"/>
      <c r="CTT31" s="196"/>
      <c r="CTU31" s="192"/>
      <c r="CTV31" s="181"/>
      <c r="CTW31" s="180"/>
      <c r="CTX31" s="197"/>
      <c r="CTY31" s="179"/>
      <c r="CTZ31" s="196"/>
      <c r="CUA31" s="179"/>
      <c r="CUB31" s="196"/>
      <c r="CUC31" s="196"/>
      <c r="CUD31" s="161"/>
      <c r="CUE31" s="193"/>
      <c r="CUF31" s="193"/>
      <c r="CUG31" s="194"/>
      <c r="CUH31" s="194"/>
      <c r="CUI31" s="194"/>
      <c r="CUJ31" s="194"/>
      <c r="CUK31" s="194"/>
      <c r="CUL31" s="161"/>
      <c r="CUM31" s="161"/>
      <c r="CUN31" s="194"/>
      <c r="CUO31" s="161"/>
      <c r="CUP31" s="193"/>
      <c r="CUQ31" s="194"/>
      <c r="CUR31" s="161"/>
      <c r="CUS31" s="161"/>
      <c r="CUT31" s="161"/>
      <c r="CUU31" s="194"/>
      <c r="CUV31" s="194"/>
      <c r="CUW31" s="194"/>
      <c r="CUX31" s="161"/>
      <c r="CUY31" s="194"/>
      <c r="CUZ31" s="194"/>
      <c r="CVA31" s="161"/>
      <c r="CVB31" s="194"/>
      <c r="CVC31" s="194"/>
      <c r="CVD31" s="194"/>
      <c r="CVE31" s="194"/>
      <c r="CVF31" s="194"/>
      <c r="CVG31" s="194"/>
      <c r="CVH31" s="161"/>
      <c r="CVI31" s="195"/>
      <c r="CVJ31" s="195"/>
      <c r="CVK31" s="161"/>
      <c r="CVL31" s="161"/>
      <c r="CVM31" s="161"/>
      <c r="CVN31" s="161"/>
      <c r="CVO31" s="196"/>
      <c r="CVP31" s="196"/>
      <c r="CVQ31" s="192"/>
      <c r="CVR31" s="181"/>
      <c r="CVS31" s="180"/>
      <c r="CVT31" s="197"/>
      <c r="CVU31" s="179"/>
      <c r="CVV31" s="196"/>
      <c r="CVW31" s="179"/>
      <c r="CVX31" s="196"/>
      <c r="CVY31" s="196"/>
      <c r="CVZ31" s="161"/>
      <c r="CWA31" s="193"/>
      <c r="CWB31" s="193"/>
      <c r="CWC31" s="194"/>
      <c r="CWD31" s="194"/>
      <c r="CWE31" s="194"/>
      <c r="CWF31" s="194"/>
      <c r="CWG31" s="194"/>
      <c r="CWH31" s="161"/>
      <c r="CWI31" s="161"/>
      <c r="CWJ31" s="194"/>
      <c r="CWK31" s="161"/>
      <c r="CWL31" s="193"/>
      <c r="CWM31" s="194"/>
      <c r="CWN31" s="161"/>
      <c r="CWO31" s="161"/>
      <c r="CWP31" s="161"/>
      <c r="CWQ31" s="194"/>
      <c r="CWR31" s="194"/>
      <c r="CWS31" s="194"/>
      <c r="CWT31" s="161"/>
      <c r="CWU31" s="194"/>
      <c r="CWV31" s="194"/>
      <c r="CWW31" s="161"/>
      <c r="CWX31" s="194"/>
      <c r="CWY31" s="194"/>
      <c r="CWZ31" s="194"/>
      <c r="CXA31" s="194"/>
      <c r="CXB31" s="194"/>
      <c r="CXC31" s="194"/>
      <c r="CXD31" s="161"/>
      <c r="CXE31" s="195"/>
      <c r="CXF31" s="195"/>
      <c r="CXG31" s="161"/>
      <c r="CXH31" s="161"/>
      <c r="CXI31" s="161"/>
      <c r="CXJ31" s="161"/>
      <c r="CXK31" s="196"/>
      <c r="CXL31" s="196"/>
      <c r="CXM31" s="192"/>
      <c r="CXN31" s="181"/>
      <c r="CXO31" s="180"/>
      <c r="CXP31" s="197"/>
      <c r="CXQ31" s="179"/>
      <c r="CXR31" s="196"/>
      <c r="CXS31" s="179"/>
      <c r="CXT31" s="196"/>
      <c r="CXU31" s="196"/>
      <c r="CXV31" s="161"/>
      <c r="CXW31" s="193"/>
      <c r="CXX31" s="193"/>
      <c r="CXY31" s="194"/>
      <c r="CXZ31" s="194"/>
      <c r="CYA31" s="194"/>
      <c r="CYB31" s="194"/>
      <c r="CYC31" s="194"/>
      <c r="CYD31" s="161"/>
      <c r="CYE31" s="161"/>
      <c r="CYF31" s="194"/>
      <c r="CYG31" s="161"/>
      <c r="CYH31" s="193"/>
      <c r="CYI31" s="194"/>
      <c r="CYJ31" s="161"/>
      <c r="CYK31" s="161"/>
      <c r="CYL31" s="161"/>
      <c r="CYM31" s="194"/>
      <c r="CYN31" s="194"/>
      <c r="CYO31" s="194"/>
      <c r="CYP31" s="161"/>
      <c r="CYQ31" s="194"/>
      <c r="CYR31" s="194"/>
      <c r="CYS31" s="161"/>
      <c r="CYT31" s="194"/>
      <c r="CYU31" s="194"/>
      <c r="CYV31" s="194"/>
      <c r="CYW31" s="194"/>
      <c r="CYX31" s="194"/>
      <c r="CYY31" s="194"/>
      <c r="CYZ31" s="161"/>
      <c r="CZA31" s="195"/>
      <c r="CZB31" s="195"/>
      <c r="CZC31" s="161"/>
      <c r="CZD31" s="161"/>
      <c r="CZE31" s="161"/>
      <c r="CZF31" s="161"/>
      <c r="CZG31" s="196"/>
      <c r="CZH31" s="196"/>
      <c r="CZI31" s="192"/>
      <c r="CZJ31" s="181"/>
      <c r="CZK31" s="180"/>
      <c r="CZL31" s="197"/>
      <c r="CZM31" s="179"/>
      <c r="CZN31" s="196"/>
      <c r="CZO31" s="179"/>
      <c r="CZP31" s="196"/>
      <c r="CZQ31" s="196"/>
      <c r="CZR31" s="161"/>
      <c r="CZS31" s="193"/>
      <c r="CZT31" s="193"/>
      <c r="CZU31" s="194"/>
      <c r="CZV31" s="194"/>
      <c r="CZW31" s="194"/>
      <c r="CZX31" s="194"/>
      <c r="CZY31" s="194"/>
      <c r="CZZ31" s="161"/>
      <c r="DAA31" s="161"/>
      <c r="DAB31" s="194"/>
      <c r="DAC31" s="161"/>
      <c r="DAD31" s="193"/>
      <c r="DAE31" s="194"/>
      <c r="DAF31" s="161"/>
      <c r="DAG31" s="161"/>
      <c r="DAH31" s="161"/>
      <c r="DAI31" s="194"/>
      <c r="DAJ31" s="194"/>
      <c r="DAK31" s="194"/>
      <c r="DAL31" s="161"/>
      <c r="DAM31" s="194"/>
      <c r="DAN31" s="194"/>
      <c r="DAO31" s="161"/>
      <c r="DAP31" s="194"/>
      <c r="DAQ31" s="194"/>
      <c r="DAR31" s="194"/>
      <c r="DAS31" s="194"/>
      <c r="DAT31" s="194"/>
      <c r="DAU31" s="194"/>
      <c r="DAV31" s="161"/>
      <c r="DAW31" s="195"/>
      <c r="DAX31" s="195"/>
      <c r="DAY31" s="161"/>
      <c r="DAZ31" s="161"/>
      <c r="DBA31" s="161"/>
      <c r="DBB31" s="161"/>
      <c r="DBC31" s="196"/>
      <c r="DBD31" s="196"/>
      <c r="DBE31" s="192"/>
      <c r="DBF31" s="181"/>
      <c r="DBG31" s="180"/>
      <c r="DBH31" s="197"/>
      <c r="DBI31" s="179"/>
      <c r="DBJ31" s="196"/>
      <c r="DBK31" s="179"/>
      <c r="DBL31" s="196"/>
      <c r="DBM31" s="196"/>
      <c r="DBN31" s="161"/>
      <c r="DBO31" s="193"/>
      <c r="DBP31" s="193"/>
      <c r="DBQ31" s="194"/>
      <c r="DBR31" s="194"/>
      <c r="DBS31" s="194"/>
      <c r="DBT31" s="194"/>
      <c r="DBU31" s="194"/>
      <c r="DBV31" s="161"/>
      <c r="DBW31" s="161"/>
      <c r="DBX31" s="194"/>
      <c r="DBY31" s="161"/>
      <c r="DBZ31" s="193"/>
      <c r="DCA31" s="194"/>
      <c r="DCB31" s="161"/>
      <c r="DCC31" s="161"/>
      <c r="DCD31" s="161"/>
      <c r="DCE31" s="194"/>
      <c r="DCF31" s="194"/>
      <c r="DCG31" s="194"/>
      <c r="DCH31" s="161"/>
      <c r="DCI31" s="194"/>
      <c r="DCJ31" s="194"/>
      <c r="DCK31" s="161"/>
      <c r="DCL31" s="194"/>
      <c r="DCM31" s="194"/>
      <c r="DCN31" s="194"/>
      <c r="DCO31" s="194"/>
      <c r="DCP31" s="194"/>
      <c r="DCQ31" s="194"/>
      <c r="DCR31" s="161"/>
      <c r="DCS31" s="195"/>
      <c r="DCT31" s="195"/>
      <c r="DCU31" s="161"/>
      <c r="DCV31" s="161"/>
      <c r="DCW31" s="161"/>
      <c r="DCX31" s="161"/>
      <c r="DCY31" s="196"/>
      <c r="DCZ31" s="196"/>
      <c r="DDA31" s="192"/>
      <c r="DDB31" s="181"/>
      <c r="DDC31" s="180"/>
      <c r="DDD31" s="197"/>
      <c r="DDE31" s="179"/>
      <c r="DDF31" s="196"/>
      <c r="DDG31" s="179"/>
      <c r="DDH31" s="196"/>
      <c r="DDI31" s="196"/>
      <c r="DDJ31" s="161"/>
      <c r="DDK31" s="193"/>
      <c r="DDL31" s="193"/>
      <c r="DDM31" s="194"/>
      <c r="DDN31" s="194"/>
      <c r="DDO31" s="194"/>
      <c r="DDP31" s="194"/>
      <c r="DDQ31" s="194"/>
      <c r="DDR31" s="161"/>
      <c r="DDS31" s="161"/>
      <c r="DDT31" s="194"/>
      <c r="DDU31" s="161"/>
      <c r="DDV31" s="193"/>
      <c r="DDW31" s="194"/>
      <c r="DDX31" s="161"/>
      <c r="DDY31" s="161"/>
      <c r="DDZ31" s="161"/>
      <c r="DEA31" s="194"/>
      <c r="DEB31" s="194"/>
      <c r="DEC31" s="194"/>
      <c r="DED31" s="161"/>
      <c r="DEE31" s="194"/>
      <c r="DEF31" s="194"/>
      <c r="DEG31" s="161"/>
      <c r="DEH31" s="194"/>
      <c r="DEI31" s="194"/>
      <c r="DEJ31" s="194"/>
      <c r="DEK31" s="194"/>
      <c r="DEL31" s="194"/>
      <c r="DEM31" s="194"/>
      <c r="DEN31" s="161"/>
      <c r="DEO31" s="195"/>
      <c r="DEP31" s="195"/>
      <c r="DEQ31" s="161"/>
      <c r="DER31" s="161"/>
      <c r="DES31" s="161"/>
      <c r="DET31" s="161"/>
      <c r="DEU31" s="196"/>
      <c r="DEV31" s="196"/>
      <c r="DEW31" s="192"/>
      <c r="DEX31" s="181"/>
      <c r="DEY31" s="180"/>
      <c r="DEZ31" s="197"/>
      <c r="DFA31" s="179"/>
      <c r="DFB31" s="196"/>
      <c r="DFC31" s="179"/>
      <c r="DFD31" s="196"/>
      <c r="DFE31" s="196"/>
      <c r="DFF31" s="161"/>
      <c r="DFG31" s="193"/>
      <c r="DFH31" s="193"/>
      <c r="DFI31" s="194"/>
      <c r="DFJ31" s="194"/>
      <c r="DFK31" s="194"/>
      <c r="DFL31" s="194"/>
      <c r="DFM31" s="194"/>
      <c r="DFN31" s="161"/>
      <c r="DFO31" s="161"/>
      <c r="DFP31" s="194"/>
      <c r="DFQ31" s="161"/>
      <c r="DFR31" s="193"/>
      <c r="DFS31" s="194"/>
      <c r="DFT31" s="161"/>
      <c r="DFU31" s="161"/>
      <c r="DFV31" s="161"/>
      <c r="DFW31" s="194"/>
      <c r="DFX31" s="194"/>
      <c r="DFY31" s="194"/>
      <c r="DFZ31" s="161"/>
      <c r="DGA31" s="194"/>
      <c r="DGB31" s="194"/>
      <c r="DGC31" s="161"/>
      <c r="DGD31" s="194"/>
      <c r="DGE31" s="194"/>
      <c r="DGF31" s="194"/>
      <c r="DGG31" s="194"/>
      <c r="DGH31" s="194"/>
      <c r="DGI31" s="194"/>
      <c r="DGJ31" s="161"/>
      <c r="DGK31" s="195"/>
      <c r="DGL31" s="195"/>
      <c r="DGM31" s="161"/>
      <c r="DGN31" s="161"/>
      <c r="DGO31" s="161"/>
      <c r="DGP31" s="161"/>
      <c r="DGQ31" s="196"/>
      <c r="DGR31" s="196"/>
      <c r="DGS31" s="192"/>
      <c r="DGT31" s="181"/>
      <c r="DGU31" s="180"/>
      <c r="DGV31" s="197"/>
      <c r="DGW31" s="179"/>
      <c r="DGX31" s="196"/>
      <c r="DGY31" s="179"/>
      <c r="DGZ31" s="196"/>
      <c r="DHA31" s="196"/>
      <c r="DHB31" s="161"/>
      <c r="DHC31" s="193"/>
      <c r="DHD31" s="193"/>
      <c r="DHE31" s="194"/>
      <c r="DHF31" s="194"/>
      <c r="DHG31" s="194"/>
      <c r="DHH31" s="194"/>
      <c r="DHI31" s="194"/>
      <c r="DHJ31" s="161"/>
      <c r="DHK31" s="161"/>
      <c r="DHL31" s="194"/>
      <c r="DHM31" s="161"/>
      <c r="DHN31" s="193"/>
      <c r="DHO31" s="194"/>
      <c r="DHP31" s="161"/>
      <c r="DHQ31" s="161"/>
      <c r="DHR31" s="161"/>
      <c r="DHS31" s="194"/>
      <c r="DHT31" s="194"/>
      <c r="DHU31" s="194"/>
      <c r="DHV31" s="161"/>
      <c r="DHW31" s="194"/>
      <c r="DHX31" s="194"/>
      <c r="DHY31" s="161"/>
      <c r="DHZ31" s="194"/>
      <c r="DIA31" s="194"/>
      <c r="DIB31" s="194"/>
      <c r="DIC31" s="194"/>
      <c r="DID31" s="194"/>
      <c r="DIE31" s="194"/>
      <c r="DIF31" s="161"/>
      <c r="DIG31" s="195"/>
      <c r="DIH31" s="195"/>
      <c r="DII31" s="161"/>
      <c r="DIJ31" s="161"/>
      <c r="DIK31" s="161"/>
      <c r="DIL31" s="161"/>
      <c r="DIM31" s="196"/>
      <c r="DIN31" s="196"/>
      <c r="DIO31" s="192"/>
      <c r="DIP31" s="181"/>
      <c r="DIQ31" s="180"/>
      <c r="DIR31" s="197"/>
      <c r="DIS31" s="179"/>
      <c r="DIT31" s="196"/>
      <c r="DIU31" s="179"/>
      <c r="DIV31" s="196"/>
      <c r="DIW31" s="196"/>
      <c r="DIX31" s="161"/>
      <c r="DIY31" s="193"/>
      <c r="DIZ31" s="193"/>
      <c r="DJA31" s="194"/>
      <c r="DJB31" s="194"/>
      <c r="DJC31" s="194"/>
      <c r="DJD31" s="194"/>
      <c r="DJE31" s="194"/>
      <c r="DJF31" s="161"/>
      <c r="DJG31" s="161"/>
      <c r="DJH31" s="194"/>
      <c r="DJI31" s="161"/>
      <c r="DJJ31" s="193"/>
      <c r="DJK31" s="194"/>
      <c r="DJL31" s="161"/>
      <c r="DJM31" s="161"/>
      <c r="DJN31" s="161"/>
      <c r="DJO31" s="194"/>
      <c r="DJP31" s="194"/>
      <c r="DJQ31" s="194"/>
      <c r="DJR31" s="161"/>
      <c r="DJS31" s="194"/>
      <c r="DJT31" s="194"/>
      <c r="DJU31" s="161"/>
      <c r="DJV31" s="194"/>
      <c r="DJW31" s="194"/>
      <c r="DJX31" s="194"/>
      <c r="DJY31" s="194"/>
      <c r="DJZ31" s="194"/>
      <c r="DKA31" s="194"/>
      <c r="DKB31" s="161"/>
      <c r="DKC31" s="195"/>
      <c r="DKD31" s="195"/>
      <c r="DKE31" s="161"/>
      <c r="DKF31" s="161"/>
      <c r="DKG31" s="161"/>
      <c r="DKH31" s="161"/>
      <c r="DKI31" s="196"/>
      <c r="DKJ31" s="196"/>
      <c r="DKK31" s="192"/>
      <c r="DKL31" s="181"/>
      <c r="DKM31" s="180"/>
      <c r="DKN31" s="197"/>
      <c r="DKO31" s="179"/>
      <c r="DKP31" s="196"/>
      <c r="DKQ31" s="179"/>
      <c r="DKR31" s="196"/>
      <c r="DKS31" s="196"/>
      <c r="DKT31" s="161"/>
      <c r="DKU31" s="193"/>
      <c r="DKV31" s="193"/>
      <c r="DKW31" s="194"/>
      <c r="DKX31" s="194"/>
      <c r="DKY31" s="194"/>
      <c r="DKZ31" s="194"/>
      <c r="DLA31" s="194"/>
      <c r="DLB31" s="161"/>
      <c r="DLC31" s="161"/>
      <c r="DLD31" s="194"/>
      <c r="DLE31" s="161"/>
      <c r="DLF31" s="193"/>
      <c r="DLG31" s="194"/>
      <c r="DLH31" s="161"/>
      <c r="DLI31" s="161"/>
      <c r="DLJ31" s="161"/>
      <c r="DLK31" s="194"/>
      <c r="DLL31" s="194"/>
      <c r="DLM31" s="194"/>
      <c r="DLN31" s="161"/>
      <c r="DLO31" s="194"/>
      <c r="DLP31" s="194"/>
      <c r="DLQ31" s="161"/>
      <c r="DLR31" s="194"/>
      <c r="DLS31" s="194"/>
      <c r="DLT31" s="194"/>
      <c r="DLU31" s="194"/>
      <c r="DLV31" s="194"/>
      <c r="DLW31" s="194"/>
      <c r="DLX31" s="161"/>
      <c r="DLY31" s="195"/>
      <c r="DLZ31" s="195"/>
      <c r="DMA31" s="161"/>
      <c r="DMB31" s="161"/>
      <c r="DMC31" s="161"/>
      <c r="DMD31" s="161"/>
      <c r="DME31" s="196"/>
      <c r="DMF31" s="196"/>
      <c r="DMG31" s="192"/>
      <c r="DMH31" s="181"/>
      <c r="DMI31" s="180"/>
      <c r="DMJ31" s="197"/>
      <c r="DMK31" s="179"/>
      <c r="DML31" s="196"/>
      <c r="DMM31" s="179"/>
      <c r="DMN31" s="196"/>
      <c r="DMO31" s="196"/>
      <c r="DMP31" s="161"/>
      <c r="DMQ31" s="193"/>
      <c r="DMR31" s="193"/>
      <c r="DMS31" s="194"/>
      <c r="DMT31" s="194"/>
      <c r="DMU31" s="194"/>
      <c r="DMV31" s="194"/>
      <c r="DMW31" s="194"/>
      <c r="DMX31" s="161"/>
      <c r="DMY31" s="161"/>
      <c r="DMZ31" s="194"/>
      <c r="DNA31" s="161"/>
      <c r="DNB31" s="193"/>
      <c r="DNC31" s="194"/>
      <c r="DND31" s="161"/>
      <c r="DNE31" s="161"/>
      <c r="DNF31" s="161"/>
      <c r="DNG31" s="194"/>
      <c r="DNH31" s="194"/>
      <c r="DNI31" s="194"/>
      <c r="DNJ31" s="161"/>
      <c r="DNK31" s="194"/>
      <c r="DNL31" s="194"/>
      <c r="DNM31" s="161"/>
      <c r="DNN31" s="194"/>
      <c r="DNO31" s="194"/>
      <c r="DNP31" s="194"/>
      <c r="DNQ31" s="194"/>
      <c r="DNR31" s="194"/>
      <c r="DNS31" s="194"/>
      <c r="DNT31" s="161"/>
      <c r="DNU31" s="195"/>
      <c r="DNV31" s="195"/>
      <c r="DNW31" s="161"/>
      <c r="DNX31" s="161"/>
      <c r="DNY31" s="161"/>
      <c r="DNZ31" s="161"/>
      <c r="DOA31" s="196"/>
      <c r="DOB31" s="196"/>
      <c r="DOC31" s="192"/>
      <c r="DOD31" s="181"/>
      <c r="DOE31" s="180"/>
      <c r="DOF31" s="197"/>
      <c r="DOG31" s="179"/>
      <c r="DOH31" s="196"/>
      <c r="DOI31" s="179"/>
      <c r="DOJ31" s="196"/>
      <c r="DOK31" s="196"/>
      <c r="DOL31" s="161"/>
      <c r="DOM31" s="193"/>
      <c r="DON31" s="193"/>
      <c r="DOO31" s="194"/>
      <c r="DOP31" s="194"/>
      <c r="DOQ31" s="194"/>
      <c r="DOR31" s="194"/>
      <c r="DOS31" s="194"/>
      <c r="DOT31" s="161"/>
      <c r="DOU31" s="161"/>
      <c r="DOV31" s="194"/>
      <c r="DOW31" s="161"/>
      <c r="DOX31" s="193"/>
      <c r="DOY31" s="194"/>
      <c r="DOZ31" s="161"/>
      <c r="DPA31" s="161"/>
      <c r="DPB31" s="161"/>
      <c r="DPC31" s="194"/>
      <c r="DPD31" s="194"/>
      <c r="DPE31" s="194"/>
      <c r="DPF31" s="161"/>
      <c r="DPG31" s="194"/>
      <c r="DPH31" s="194"/>
      <c r="DPI31" s="161"/>
      <c r="DPJ31" s="194"/>
      <c r="DPK31" s="194"/>
      <c r="DPL31" s="194"/>
      <c r="DPM31" s="194"/>
      <c r="DPN31" s="194"/>
      <c r="DPO31" s="194"/>
      <c r="DPP31" s="161"/>
      <c r="DPQ31" s="195"/>
      <c r="DPR31" s="195"/>
      <c r="DPS31" s="161"/>
      <c r="DPT31" s="161"/>
      <c r="DPU31" s="161"/>
      <c r="DPV31" s="161"/>
      <c r="DPW31" s="196"/>
      <c r="DPX31" s="196"/>
      <c r="DPY31" s="192"/>
      <c r="DPZ31" s="181"/>
      <c r="DQA31" s="180"/>
      <c r="DQB31" s="197"/>
      <c r="DQC31" s="179"/>
      <c r="DQD31" s="196"/>
      <c r="DQE31" s="179"/>
      <c r="DQF31" s="196"/>
      <c r="DQG31" s="196"/>
      <c r="DQH31" s="161"/>
      <c r="DQI31" s="193"/>
      <c r="DQJ31" s="193"/>
      <c r="DQK31" s="194"/>
      <c r="DQL31" s="194"/>
      <c r="DQM31" s="194"/>
      <c r="DQN31" s="194"/>
      <c r="DQO31" s="194"/>
      <c r="DQP31" s="161"/>
      <c r="DQQ31" s="161"/>
      <c r="DQR31" s="194"/>
      <c r="DQS31" s="161"/>
      <c r="DQT31" s="193"/>
      <c r="DQU31" s="194"/>
      <c r="DQV31" s="161"/>
      <c r="DQW31" s="161"/>
      <c r="DQX31" s="161"/>
      <c r="DQY31" s="194"/>
      <c r="DQZ31" s="194"/>
      <c r="DRA31" s="194"/>
      <c r="DRB31" s="161"/>
      <c r="DRC31" s="194"/>
      <c r="DRD31" s="194"/>
      <c r="DRE31" s="161"/>
      <c r="DRF31" s="194"/>
      <c r="DRG31" s="194"/>
      <c r="DRH31" s="194"/>
      <c r="DRI31" s="194"/>
      <c r="DRJ31" s="194"/>
      <c r="DRK31" s="194"/>
      <c r="DRL31" s="161"/>
      <c r="DRM31" s="195"/>
      <c r="DRN31" s="195"/>
      <c r="DRO31" s="161"/>
      <c r="DRP31" s="161"/>
      <c r="DRQ31" s="161"/>
      <c r="DRR31" s="161"/>
      <c r="DRS31" s="196"/>
      <c r="DRT31" s="196"/>
      <c r="DRU31" s="192"/>
      <c r="DRV31" s="181"/>
      <c r="DRW31" s="180"/>
      <c r="DRX31" s="197"/>
      <c r="DRY31" s="179"/>
      <c r="DRZ31" s="196"/>
      <c r="DSA31" s="179"/>
      <c r="DSB31" s="196"/>
      <c r="DSC31" s="196"/>
      <c r="DSD31" s="161"/>
      <c r="DSE31" s="193"/>
      <c r="DSF31" s="193"/>
      <c r="DSG31" s="194"/>
      <c r="DSH31" s="194"/>
      <c r="DSI31" s="194"/>
      <c r="DSJ31" s="194"/>
      <c r="DSK31" s="194"/>
      <c r="DSL31" s="161"/>
      <c r="DSM31" s="161"/>
      <c r="DSN31" s="194"/>
      <c r="DSO31" s="161"/>
      <c r="DSP31" s="193"/>
      <c r="DSQ31" s="194"/>
      <c r="DSR31" s="161"/>
      <c r="DSS31" s="161"/>
      <c r="DST31" s="161"/>
      <c r="DSU31" s="194"/>
      <c r="DSV31" s="194"/>
      <c r="DSW31" s="194"/>
      <c r="DSX31" s="161"/>
      <c r="DSY31" s="194"/>
      <c r="DSZ31" s="194"/>
      <c r="DTA31" s="161"/>
      <c r="DTB31" s="194"/>
      <c r="DTC31" s="194"/>
      <c r="DTD31" s="194"/>
      <c r="DTE31" s="194"/>
      <c r="DTF31" s="194"/>
      <c r="DTG31" s="194"/>
      <c r="DTH31" s="161"/>
      <c r="DTI31" s="195"/>
      <c r="DTJ31" s="195"/>
      <c r="DTK31" s="161"/>
      <c r="DTL31" s="161"/>
      <c r="DTM31" s="161"/>
      <c r="DTN31" s="161"/>
      <c r="DTO31" s="196"/>
      <c r="DTP31" s="196"/>
      <c r="DTQ31" s="192"/>
      <c r="DTR31" s="181"/>
      <c r="DTS31" s="180"/>
      <c r="DTT31" s="197"/>
      <c r="DTU31" s="179"/>
      <c r="DTV31" s="196"/>
      <c r="DTW31" s="179"/>
      <c r="DTX31" s="196"/>
      <c r="DTY31" s="196"/>
      <c r="DTZ31" s="161"/>
      <c r="DUA31" s="193"/>
      <c r="DUB31" s="193"/>
      <c r="DUC31" s="194"/>
      <c r="DUD31" s="194"/>
      <c r="DUE31" s="194"/>
      <c r="DUF31" s="194"/>
      <c r="DUG31" s="194"/>
      <c r="DUH31" s="161"/>
      <c r="DUI31" s="161"/>
      <c r="DUJ31" s="194"/>
      <c r="DUK31" s="161"/>
      <c r="DUL31" s="193"/>
      <c r="DUM31" s="194"/>
      <c r="DUN31" s="161"/>
      <c r="DUO31" s="161"/>
      <c r="DUP31" s="161"/>
      <c r="DUQ31" s="194"/>
      <c r="DUR31" s="194"/>
      <c r="DUS31" s="194"/>
      <c r="DUT31" s="161"/>
      <c r="DUU31" s="194"/>
      <c r="DUV31" s="194"/>
      <c r="DUW31" s="161"/>
      <c r="DUX31" s="194"/>
      <c r="DUY31" s="194"/>
      <c r="DUZ31" s="194"/>
      <c r="DVA31" s="194"/>
      <c r="DVB31" s="194"/>
      <c r="DVC31" s="194"/>
      <c r="DVD31" s="161"/>
      <c r="DVE31" s="195"/>
      <c r="DVF31" s="195"/>
      <c r="DVG31" s="161"/>
      <c r="DVH31" s="161"/>
      <c r="DVI31" s="161"/>
      <c r="DVJ31" s="161"/>
      <c r="DVK31" s="196"/>
      <c r="DVL31" s="196"/>
      <c r="DVM31" s="192"/>
      <c r="DVN31" s="181"/>
      <c r="DVO31" s="180"/>
      <c r="DVP31" s="197"/>
      <c r="DVQ31" s="179"/>
      <c r="DVR31" s="196"/>
      <c r="DVS31" s="179"/>
      <c r="DVT31" s="196"/>
      <c r="DVU31" s="196"/>
      <c r="DVV31" s="161"/>
      <c r="DVW31" s="193"/>
      <c r="DVX31" s="193"/>
      <c r="DVY31" s="194"/>
      <c r="DVZ31" s="194"/>
      <c r="DWA31" s="194"/>
      <c r="DWB31" s="194"/>
      <c r="DWC31" s="194"/>
      <c r="DWD31" s="161"/>
      <c r="DWE31" s="161"/>
      <c r="DWF31" s="194"/>
      <c r="DWG31" s="161"/>
      <c r="DWH31" s="193"/>
      <c r="DWI31" s="194"/>
      <c r="DWJ31" s="161"/>
      <c r="DWK31" s="161"/>
      <c r="DWL31" s="161"/>
      <c r="DWM31" s="194"/>
      <c r="DWN31" s="194"/>
      <c r="DWO31" s="194"/>
      <c r="DWP31" s="161"/>
      <c r="DWQ31" s="194"/>
      <c r="DWR31" s="194"/>
      <c r="DWS31" s="161"/>
      <c r="DWT31" s="194"/>
      <c r="DWU31" s="194"/>
      <c r="DWV31" s="194"/>
      <c r="DWW31" s="194"/>
      <c r="DWX31" s="194"/>
      <c r="DWY31" s="194"/>
      <c r="DWZ31" s="161"/>
      <c r="DXA31" s="195"/>
      <c r="DXB31" s="195"/>
      <c r="DXC31" s="161"/>
      <c r="DXD31" s="161"/>
      <c r="DXE31" s="161"/>
      <c r="DXF31" s="161"/>
      <c r="DXG31" s="196"/>
      <c r="DXH31" s="196"/>
      <c r="DXI31" s="192"/>
      <c r="DXJ31" s="181"/>
      <c r="DXK31" s="180"/>
      <c r="DXL31" s="197"/>
      <c r="DXM31" s="179"/>
      <c r="DXN31" s="196"/>
      <c r="DXO31" s="179"/>
      <c r="DXP31" s="196"/>
      <c r="DXQ31" s="196"/>
      <c r="DXR31" s="161"/>
      <c r="DXS31" s="193"/>
      <c r="DXT31" s="193"/>
      <c r="DXU31" s="194"/>
      <c r="DXV31" s="194"/>
      <c r="DXW31" s="194"/>
      <c r="DXX31" s="194"/>
      <c r="DXY31" s="194"/>
      <c r="DXZ31" s="161"/>
      <c r="DYA31" s="161"/>
      <c r="DYB31" s="194"/>
      <c r="DYC31" s="161"/>
      <c r="DYD31" s="193"/>
      <c r="DYE31" s="194"/>
      <c r="DYF31" s="161"/>
      <c r="DYG31" s="161"/>
      <c r="DYH31" s="161"/>
      <c r="DYI31" s="194"/>
      <c r="DYJ31" s="194"/>
      <c r="DYK31" s="194"/>
      <c r="DYL31" s="161"/>
      <c r="DYM31" s="194"/>
      <c r="DYN31" s="194"/>
      <c r="DYO31" s="161"/>
      <c r="DYP31" s="194"/>
      <c r="DYQ31" s="194"/>
      <c r="DYR31" s="194"/>
      <c r="DYS31" s="194"/>
      <c r="DYT31" s="194"/>
      <c r="DYU31" s="194"/>
      <c r="DYV31" s="161"/>
      <c r="DYW31" s="195"/>
      <c r="DYX31" s="195"/>
      <c r="DYY31" s="161"/>
      <c r="DYZ31" s="161"/>
      <c r="DZA31" s="161"/>
      <c r="DZB31" s="161"/>
      <c r="DZC31" s="196"/>
      <c r="DZD31" s="196"/>
      <c r="DZE31" s="192"/>
      <c r="DZF31" s="181"/>
      <c r="DZG31" s="180"/>
      <c r="DZH31" s="197"/>
      <c r="DZI31" s="179"/>
      <c r="DZJ31" s="196"/>
      <c r="DZK31" s="179"/>
      <c r="DZL31" s="196"/>
      <c r="DZM31" s="196"/>
      <c r="DZN31" s="161"/>
      <c r="DZO31" s="193"/>
      <c r="DZP31" s="193"/>
      <c r="DZQ31" s="194"/>
      <c r="DZR31" s="194"/>
      <c r="DZS31" s="194"/>
      <c r="DZT31" s="194"/>
      <c r="DZU31" s="194"/>
      <c r="DZV31" s="161"/>
      <c r="DZW31" s="161"/>
      <c r="DZX31" s="194"/>
      <c r="DZY31" s="161"/>
      <c r="DZZ31" s="193"/>
      <c r="EAA31" s="194"/>
      <c r="EAB31" s="161"/>
      <c r="EAC31" s="161"/>
      <c r="EAD31" s="161"/>
      <c r="EAE31" s="194"/>
      <c r="EAF31" s="194"/>
      <c r="EAG31" s="194"/>
      <c r="EAH31" s="161"/>
      <c r="EAI31" s="194"/>
      <c r="EAJ31" s="194"/>
      <c r="EAK31" s="161"/>
      <c r="EAL31" s="194"/>
      <c r="EAM31" s="194"/>
      <c r="EAN31" s="194"/>
      <c r="EAO31" s="194"/>
      <c r="EAP31" s="194"/>
      <c r="EAQ31" s="194"/>
      <c r="EAR31" s="161"/>
      <c r="EAS31" s="195"/>
      <c r="EAT31" s="195"/>
      <c r="EAU31" s="161"/>
      <c r="EAV31" s="161"/>
      <c r="EAW31" s="161"/>
      <c r="EAX31" s="161"/>
      <c r="EAY31" s="196"/>
      <c r="EAZ31" s="196"/>
      <c r="EBA31" s="192"/>
      <c r="EBB31" s="181"/>
      <c r="EBC31" s="180"/>
      <c r="EBD31" s="197"/>
      <c r="EBE31" s="179"/>
      <c r="EBF31" s="196"/>
      <c r="EBG31" s="179"/>
      <c r="EBH31" s="196"/>
      <c r="EBI31" s="196"/>
      <c r="EBJ31" s="161"/>
      <c r="EBK31" s="193"/>
      <c r="EBL31" s="193"/>
      <c r="EBM31" s="194"/>
      <c r="EBN31" s="194"/>
      <c r="EBO31" s="194"/>
      <c r="EBP31" s="194"/>
      <c r="EBQ31" s="194"/>
      <c r="EBR31" s="161"/>
      <c r="EBS31" s="161"/>
      <c r="EBT31" s="194"/>
      <c r="EBU31" s="161"/>
      <c r="EBV31" s="193"/>
      <c r="EBW31" s="194"/>
      <c r="EBX31" s="161"/>
      <c r="EBY31" s="161"/>
      <c r="EBZ31" s="161"/>
      <c r="ECA31" s="194"/>
      <c r="ECB31" s="194"/>
      <c r="ECC31" s="194"/>
      <c r="ECD31" s="161"/>
      <c r="ECE31" s="194"/>
      <c r="ECF31" s="194"/>
      <c r="ECG31" s="161"/>
      <c r="ECH31" s="194"/>
      <c r="ECI31" s="194"/>
      <c r="ECJ31" s="194"/>
      <c r="ECK31" s="194"/>
      <c r="ECL31" s="194"/>
      <c r="ECM31" s="194"/>
      <c r="ECN31" s="161"/>
      <c r="ECO31" s="195"/>
      <c r="ECP31" s="195"/>
      <c r="ECQ31" s="161"/>
      <c r="ECR31" s="161"/>
      <c r="ECS31" s="161"/>
      <c r="ECT31" s="161"/>
      <c r="ECU31" s="196"/>
      <c r="ECV31" s="196"/>
      <c r="ECW31" s="192"/>
      <c r="ECX31" s="181"/>
      <c r="ECY31" s="180"/>
      <c r="ECZ31" s="197"/>
      <c r="EDA31" s="179"/>
      <c r="EDB31" s="196"/>
      <c r="EDC31" s="179"/>
      <c r="EDD31" s="196"/>
      <c r="EDE31" s="196"/>
      <c r="EDF31" s="161"/>
      <c r="EDG31" s="193"/>
      <c r="EDH31" s="193"/>
      <c r="EDI31" s="194"/>
      <c r="EDJ31" s="194"/>
      <c r="EDK31" s="194"/>
      <c r="EDL31" s="194"/>
      <c r="EDM31" s="194"/>
      <c r="EDN31" s="161"/>
      <c r="EDO31" s="161"/>
      <c r="EDP31" s="194"/>
      <c r="EDQ31" s="161"/>
      <c r="EDR31" s="193"/>
      <c r="EDS31" s="194"/>
      <c r="EDT31" s="161"/>
      <c r="EDU31" s="161"/>
      <c r="EDV31" s="161"/>
      <c r="EDW31" s="194"/>
      <c r="EDX31" s="194"/>
      <c r="EDY31" s="194"/>
      <c r="EDZ31" s="161"/>
      <c r="EEA31" s="194"/>
      <c r="EEB31" s="194"/>
      <c r="EEC31" s="161"/>
      <c r="EED31" s="194"/>
      <c r="EEE31" s="194"/>
      <c r="EEF31" s="194"/>
      <c r="EEG31" s="194"/>
      <c r="EEH31" s="194"/>
      <c r="EEI31" s="194"/>
      <c r="EEJ31" s="161"/>
      <c r="EEK31" s="195"/>
      <c r="EEL31" s="195"/>
      <c r="EEM31" s="161"/>
      <c r="EEN31" s="161"/>
      <c r="EEO31" s="161"/>
      <c r="EEP31" s="161"/>
      <c r="EEQ31" s="196"/>
      <c r="EER31" s="196"/>
      <c r="EES31" s="192"/>
      <c r="EET31" s="181"/>
      <c r="EEU31" s="180"/>
      <c r="EEV31" s="197"/>
      <c r="EEW31" s="179"/>
      <c r="EEX31" s="196"/>
      <c r="EEY31" s="179"/>
      <c r="EEZ31" s="196"/>
      <c r="EFA31" s="196"/>
      <c r="EFB31" s="161"/>
      <c r="EFC31" s="193"/>
      <c r="EFD31" s="193"/>
      <c r="EFE31" s="194"/>
      <c r="EFF31" s="194"/>
      <c r="EFG31" s="194"/>
      <c r="EFH31" s="194"/>
      <c r="EFI31" s="194"/>
      <c r="EFJ31" s="161"/>
      <c r="EFK31" s="161"/>
      <c r="EFL31" s="194"/>
      <c r="EFM31" s="161"/>
      <c r="EFN31" s="193"/>
      <c r="EFO31" s="194"/>
      <c r="EFP31" s="161"/>
      <c r="EFQ31" s="161"/>
      <c r="EFR31" s="161"/>
      <c r="EFS31" s="194"/>
      <c r="EFT31" s="194"/>
      <c r="EFU31" s="194"/>
      <c r="EFV31" s="161"/>
      <c r="EFW31" s="194"/>
      <c r="EFX31" s="194"/>
      <c r="EFY31" s="161"/>
      <c r="EFZ31" s="194"/>
      <c r="EGA31" s="194"/>
      <c r="EGB31" s="194"/>
      <c r="EGC31" s="194"/>
      <c r="EGD31" s="194"/>
      <c r="EGE31" s="194"/>
      <c r="EGF31" s="161"/>
      <c r="EGG31" s="195"/>
      <c r="EGH31" s="195"/>
      <c r="EGI31" s="161"/>
      <c r="EGJ31" s="161"/>
      <c r="EGK31" s="161"/>
      <c r="EGL31" s="161"/>
      <c r="EGM31" s="196"/>
      <c r="EGN31" s="196"/>
      <c r="EGO31" s="192"/>
      <c r="EGP31" s="181"/>
      <c r="EGQ31" s="180"/>
      <c r="EGR31" s="197"/>
      <c r="EGS31" s="179"/>
      <c r="EGT31" s="196"/>
      <c r="EGU31" s="179"/>
      <c r="EGV31" s="196"/>
      <c r="EGW31" s="196"/>
      <c r="EGX31" s="161"/>
      <c r="EGY31" s="193"/>
      <c r="EGZ31" s="193"/>
      <c r="EHA31" s="194"/>
      <c r="EHB31" s="194"/>
      <c r="EHC31" s="194"/>
      <c r="EHD31" s="194"/>
      <c r="EHE31" s="194"/>
      <c r="EHF31" s="161"/>
      <c r="EHG31" s="161"/>
      <c r="EHH31" s="194"/>
      <c r="EHI31" s="161"/>
      <c r="EHJ31" s="193"/>
      <c r="EHK31" s="194"/>
      <c r="EHL31" s="161"/>
      <c r="EHM31" s="161"/>
      <c r="EHN31" s="161"/>
      <c r="EHO31" s="194"/>
      <c r="EHP31" s="194"/>
      <c r="EHQ31" s="194"/>
      <c r="EHR31" s="161"/>
      <c r="EHS31" s="194"/>
      <c r="EHT31" s="194"/>
      <c r="EHU31" s="161"/>
      <c r="EHV31" s="194"/>
      <c r="EHW31" s="194"/>
      <c r="EHX31" s="194"/>
      <c r="EHY31" s="194"/>
      <c r="EHZ31" s="194"/>
      <c r="EIA31" s="194"/>
      <c r="EIB31" s="161"/>
      <c r="EIC31" s="195"/>
      <c r="EID31" s="195"/>
      <c r="EIE31" s="161"/>
      <c r="EIF31" s="161"/>
      <c r="EIG31" s="161"/>
      <c r="EIH31" s="161"/>
      <c r="EII31" s="196"/>
      <c r="EIJ31" s="196"/>
      <c r="EIK31" s="192"/>
      <c r="EIL31" s="181"/>
      <c r="EIM31" s="180"/>
      <c r="EIN31" s="197"/>
      <c r="EIO31" s="179"/>
      <c r="EIP31" s="196"/>
      <c r="EIQ31" s="179"/>
      <c r="EIR31" s="196"/>
      <c r="EIS31" s="196"/>
      <c r="EIT31" s="161"/>
      <c r="EIU31" s="193"/>
      <c r="EIV31" s="193"/>
      <c r="EIW31" s="194"/>
      <c r="EIX31" s="194"/>
      <c r="EIY31" s="194"/>
      <c r="EIZ31" s="194"/>
      <c r="EJA31" s="194"/>
      <c r="EJB31" s="161"/>
      <c r="EJC31" s="161"/>
      <c r="EJD31" s="194"/>
      <c r="EJE31" s="161"/>
      <c r="EJF31" s="193"/>
      <c r="EJG31" s="194"/>
      <c r="EJH31" s="161"/>
      <c r="EJI31" s="161"/>
      <c r="EJJ31" s="161"/>
      <c r="EJK31" s="194"/>
      <c r="EJL31" s="194"/>
      <c r="EJM31" s="194"/>
      <c r="EJN31" s="161"/>
      <c r="EJO31" s="194"/>
      <c r="EJP31" s="194"/>
      <c r="EJQ31" s="161"/>
      <c r="EJR31" s="194"/>
      <c r="EJS31" s="194"/>
      <c r="EJT31" s="194"/>
      <c r="EJU31" s="194"/>
      <c r="EJV31" s="194"/>
      <c r="EJW31" s="194"/>
      <c r="EJX31" s="161"/>
      <c r="EJY31" s="195"/>
      <c r="EJZ31" s="195"/>
      <c r="EKA31" s="161"/>
      <c r="EKB31" s="161"/>
      <c r="EKC31" s="161"/>
      <c r="EKD31" s="161"/>
      <c r="EKE31" s="196"/>
      <c r="EKF31" s="196"/>
      <c r="EKG31" s="192"/>
      <c r="EKH31" s="181"/>
      <c r="EKI31" s="180"/>
      <c r="EKJ31" s="197"/>
      <c r="EKK31" s="179"/>
      <c r="EKL31" s="196"/>
      <c r="EKM31" s="179"/>
      <c r="EKN31" s="196"/>
      <c r="EKO31" s="196"/>
      <c r="EKP31" s="161"/>
      <c r="EKQ31" s="193"/>
      <c r="EKR31" s="193"/>
      <c r="EKS31" s="194"/>
      <c r="EKT31" s="194"/>
      <c r="EKU31" s="194"/>
      <c r="EKV31" s="194"/>
      <c r="EKW31" s="194"/>
      <c r="EKX31" s="161"/>
      <c r="EKY31" s="161"/>
      <c r="EKZ31" s="194"/>
      <c r="ELA31" s="161"/>
      <c r="ELB31" s="193"/>
      <c r="ELC31" s="194"/>
      <c r="ELD31" s="161"/>
      <c r="ELE31" s="161"/>
      <c r="ELF31" s="161"/>
      <c r="ELG31" s="194"/>
      <c r="ELH31" s="194"/>
      <c r="ELI31" s="194"/>
      <c r="ELJ31" s="161"/>
      <c r="ELK31" s="194"/>
      <c r="ELL31" s="194"/>
      <c r="ELM31" s="161"/>
      <c r="ELN31" s="194"/>
      <c r="ELO31" s="194"/>
      <c r="ELP31" s="194"/>
      <c r="ELQ31" s="194"/>
      <c r="ELR31" s="194"/>
      <c r="ELS31" s="194"/>
      <c r="ELT31" s="161"/>
      <c r="ELU31" s="195"/>
      <c r="ELV31" s="195"/>
      <c r="ELW31" s="161"/>
      <c r="ELX31" s="161"/>
      <c r="ELY31" s="161"/>
      <c r="ELZ31" s="161"/>
      <c r="EMA31" s="196"/>
      <c r="EMB31" s="196"/>
      <c r="EMC31" s="192"/>
      <c r="EMD31" s="181"/>
      <c r="EME31" s="180"/>
      <c r="EMF31" s="197"/>
      <c r="EMG31" s="179"/>
      <c r="EMH31" s="196"/>
      <c r="EMI31" s="179"/>
      <c r="EMJ31" s="196"/>
      <c r="EMK31" s="196"/>
      <c r="EML31" s="161"/>
      <c r="EMM31" s="193"/>
      <c r="EMN31" s="193"/>
      <c r="EMO31" s="194"/>
      <c r="EMP31" s="194"/>
      <c r="EMQ31" s="194"/>
      <c r="EMR31" s="194"/>
      <c r="EMS31" s="194"/>
      <c r="EMT31" s="161"/>
      <c r="EMU31" s="161"/>
      <c r="EMV31" s="194"/>
      <c r="EMW31" s="161"/>
      <c r="EMX31" s="193"/>
      <c r="EMY31" s="194"/>
      <c r="EMZ31" s="161"/>
      <c r="ENA31" s="161"/>
      <c r="ENB31" s="161"/>
      <c r="ENC31" s="194"/>
      <c r="END31" s="194"/>
      <c r="ENE31" s="194"/>
      <c r="ENF31" s="161"/>
      <c r="ENG31" s="194"/>
      <c r="ENH31" s="194"/>
      <c r="ENI31" s="161"/>
      <c r="ENJ31" s="194"/>
      <c r="ENK31" s="194"/>
      <c r="ENL31" s="194"/>
      <c r="ENM31" s="194"/>
      <c r="ENN31" s="194"/>
      <c r="ENO31" s="194"/>
      <c r="ENP31" s="161"/>
      <c r="ENQ31" s="195"/>
      <c r="ENR31" s="195"/>
      <c r="ENS31" s="161"/>
      <c r="ENT31" s="161"/>
      <c r="ENU31" s="161"/>
      <c r="ENV31" s="161"/>
      <c r="ENW31" s="196"/>
      <c r="ENX31" s="196"/>
      <c r="ENY31" s="192"/>
      <c r="ENZ31" s="181"/>
      <c r="EOA31" s="180"/>
      <c r="EOB31" s="197"/>
      <c r="EOC31" s="179"/>
      <c r="EOD31" s="196"/>
      <c r="EOE31" s="179"/>
      <c r="EOF31" s="196"/>
      <c r="EOG31" s="196"/>
      <c r="EOH31" s="161"/>
      <c r="EOI31" s="193"/>
      <c r="EOJ31" s="193"/>
      <c r="EOK31" s="194"/>
      <c r="EOL31" s="194"/>
      <c r="EOM31" s="194"/>
      <c r="EON31" s="194"/>
      <c r="EOO31" s="194"/>
      <c r="EOP31" s="161"/>
      <c r="EOQ31" s="161"/>
      <c r="EOR31" s="194"/>
      <c r="EOS31" s="161"/>
      <c r="EOT31" s="193"/>
      <c r="EOU31" s="194"/>
      <c r="EOV31" s="161"/>
      <c r="EOW31" s="161"/>
      <c r="EOX31" s="161"/>
      <c r="EOY31" s="194"/>
      <c r="EOZ31" s="194"/>
      <c r="EPA31" s="194"/>
      <c r="EPB31" s="161"/>
      <c r="EPC31" s="194"/>
      <c r="EPD31" s="194"/>
      <c r="EPE31" s="161"/>
      <c r="EPF31" s="194"/>
      <c r="EPG31" s="194"/>
      <c r="EPH31" s="194"/>
      <c r="EPI31" s="194"/>
      <c r="EPJ31" s="194"/>
      <c r="EPK31" s="194"/>
      <c r="EPL31" s="161"/>
      <c r="EPM31" s="195"/>
      <c r="EPN31" s="195"/>
      <c r="EPO31" s="161"/>
      <c r="EPP31" s="161"/>
      <c r="EPQ31" s="161"/>
      <c r="EPR31" s="161"/>
      <c r="EPS31" s="196"/>
      <c r="EPT31" s="196"/>
      <c r="EPU31" s="192"/>
      <c r="EPV31" s="181"/>
      <c r="EPW31" s="180"/>
      <c r="EPX31" s="197"/>
      <c r="EPY31" s="179"/>
      <c r="EPZ31" s="196"/>
      <c r="EQA31" s="179"/>
      <c r="EQB31" s="196"/>
      <c r="EQC31" s="196"/>
      <c r="EQD31" s="161"/>
      <c r="EQE31" s="193"/>
      <c r="EQF31" s="193"/>
      <c r="EQG31" s="194"/>
      <c r="EQH31" s="194"/>
      <c r="EQI31" s="194"/>
      <c r="EQJ31" s="194"/>
      <c r="EQK31" s="194"/>
      <c r="EQL31" s="161"/>
      <c r="EQM31" s="161"/>
      <c r="EQN31" s="194"/>
      <c r="EQO31" s="161"/>
      <c r="EQP31" s="193"/>
      <c r="EQQ31" s="194"/>
      <c r="EQR31" s="161"/>
      <c r="EQS31" s="161"/>
      <c r="EQT31" s="161"/>
      <c r="EQU31" s="194"/>
      <c r="EQV31" s="194"/>
      <c r="EQW31" s="194"/>
      <c r="EQX31" s="161"/>
      <c r="EQY31" s="194"/>
      <c r="EQZ31" s="194"/>
      <c r="ERA31" s="161"/>
      <c r="ERB31" s="194"/>
      <c r="ERC31" s="194"/>
      <c r="ERD31" s="194"/>
      <c r="ERE31" s="194"/>
      <c r="ERF31" s="194"/>
      <c r="ERG31" s="194"/>
      <c r="ERH31" s="161"/>
      <c r="ERI31" s="195"/>
      <c r="ERJ31" s="195"/>
      <c r="ERK31" s="161"/>
      <c r="ERL31" s="161"/>
      <c r="ERM31" s="161"/>
      <c r="ERN31" s="161"/>
      <c r="ERO31" s="196"/>
      <c r="ERP31" s="196"/>
      <c r="ERQ31" s="192"/>
      <c r="ERR31" s="181"/>
      <c r="ERS31" s="180"/>
      <c r="ERT31" s="197"/>
      <c r="ERU31" s="179"/>
      <c r="ERV31" s="196"/>
      <c r="ERW31" s="179"/>
      <c r="ERX31" s="196"/>
      <c r="ERY31" s="196"/>
      <c r="ERZ31" s="161"/>
      <c r="ESA31" s="193"/>
      <c r="ESB31" s="193"/>
      <c r="ESC31" s="194"/>
      <c r="ESD31" s="194"/>
      <c r="ESE31" s="194"/>
      <c r="ESF31" s="194"/>
      <c r="ESG31" s="194"/>
      <c r="ESH31" s="161"/>
      <c r="ESI31" s="161"/>
      <c r="ESJ31" s="194"/>
      <c r="ESK31" s="161"/>
      <c r="ESL31" s="193"/>
      <c r="ESM31" s="194"/>
      <c r="ESN31" s="161"/>
      <c r="ESO31" s="161"/>
      <c r="ESP31" s="161"/>
      <c r="ESQ31" s="194"/>
      <c r="ESR31" s="194"/>
      <c r="ESS31" s="194"/>
      <c r="EST31" s="161"/>
      <c r="ESU31" s="194"/>
      <c r="ESV31" s="194"/>
      <c r="ESW31" s="161"/>
      <c r="ESX31" s="194"/>
      <c r="ESY31" s="194"/>
      <c r="ESZ31" s="194"/>
      <c r="ETA31" s="194"/>
      <c r="ETB31" s="194"/>
      <c r="ETC31" s="194"/>
      <c r="ETD31" s="161"/>
      <c r="ETE31" s="195"/>
      <c r="ETF31" s="195"/>
      <c r="ETG31" s="161"/>
      <c r="ETH31" s="161"/>
      <c r="ETI31" s="161"/>
      <c r="ETJ31" s="161"/>
      <c r="ETK31" s="196"/>
      <c r="ETL31" s="196"/>
      <c r="ETM31" s="192"/>
      <c r="ETN31" s="181"/>
      <c r="ETO31" s="180"/>
      <c r="ETP31" s="197"/>
      <c r="ETQ31" s="179"/>
      <c r="ETR31" s="196"/>
      <c r="ETS31" s="179"/>
      <c r="ETT31" s="196"/>
      <c r="ETU31" s="196"/>
      <c r="ETV31" s="161"/>
      <c r="ETW31" s="193"/>
      <c r="ETX31" s="193"/>
      <c r="ETY31" s="194"/>
      <c r="ETZ31" s="194"/>
      <c r="EUA31" s="194"/>
      <c r="EUB31" s="194"/>
      <c r="EUC31" s="194"/>
      <c r="EUD31" s="161"/>
      <c r="EUE31" s="161"/>
      <c r="EUF31" s="194"/>
      <c r="EUG31" s="161"/>
      <c r="EUH31" s="193"/>
      <c r="EUI31" s="194"/>
      <c r="EUJ31" s="161"/>
      <c r="EUK31" s="161"/>
      <c r="EUL31" s="161"/>
      <c r="EUM31" s="194"/>
      <c r="EUN31" s="194"/>
      <c r="EUO31" s="194"/>
      <c r="EUP31" s="161"/>
      <c r="EUQ31" s="194"/>
      <c r="EUR31" s="194"/>
      <c r="EUS31" s="161"/>
      <c r="EUT31" s="194"/>
      <c r="EUU31" s="194"/>
      <c r="EUV31" s="194"/>
      <c r="EUW31" s="194"/>
      <c r="EUX31" s="194"/>
      <c r="EUY31" s="194"/>
      <c r="EUZ31" s="161"/>
      <c r="EVA31" s="195"/>
      <c r="EVB31" s="195"/>
      <c r="EVC31" s="161"/>
      <c r="EVD31" s="161"/>
      <c r="EVE31" s="161"/>
      <c r="EVF31" s="161"/>
      <c r="EVG31" s="196"/>
      <c r="EVH31" s="196"/>
      <c r="EVI31" s="192"/>
      <c r="EVJ31" s="181"/>
      <c r="EVK31" s="180"/>
      <c r="EVL31" s="197"/>
      <c r="EVM31" s="179"/>
      <c r="EVN31" s="196"/>
      <c r="EVO31" s="179"/>
      <c r="EVP31" s="196"/>
      <c r="EVQ31" s="196"/>
      <c r="EVR31" s="161"/>
      <c r="EVS31" s="193"/>
      <c r="EVT31" s="193"/>
      <c r="EVU31" s="194"/>
      <c r="EVV31" s="194"/>
      <c r="EVW31" s="194"/>
      <c r="EVX31" s="194"/>
      <c r="EVY31" s="194"/>
      <c r="EVZ31" s="161"/>
      <c r="EWA31" s="161"/>
      <c r="EWB31" s="194"/>
      <c r="EWC31" s="161"/>
      <c r="EWD31" s="193"/>
      <c r="EWE31" s="194"/>
      <c r="EWF31" s="161"/>
      <c r="EWG31" s="161"/>
      <c r="EWH31" s="161"/>
      <c r="EWI31" s="194"/>
      <c r="EWJ31" s="194"/>
      <c r="EWK31" s="194"/>
      <c r="EWL31" s="161"/>
      <c r="EWM31" s="194"/>
      <c r="EWN31" s="194"/>
      <c r="EWO31" s="161"/>
      <c r="EWP31" s="194"/>
      <c r="EWQ31" s="194"/>
      <c r="EWR31" s="194"/>
      <c r="EWS31" s="194"/>
      <c r="EWT31" s="194"/>
      <c r="EWU31" s="194"/>
      <c r="EWV31" s="161"/>
      <c r="EWW31" s="195"/>
      <c r="EWX31" s="195"/>
      <c r="EWY31" s="161"/>
      <c r="EWZ31" s="161"/>
      <c r="EXA31" s="161"/>
      <c r="EXB31" s="161"/>
      <c r="EXC31" s="196"/>
      <c r="EXD31" s="196"/>
      <c r="EXE31" s="192"/>
      <c r="EXF31" s="181"/>
      <c r="EXG31" s="180"/>
      <c r="EXH31" s="197"/>
      <c r="EXI31" s="179"/>
      <c r="EXJ31" s="196"/>
      <c r="EXK31" s="179"/>
      <c r="EXL31" s="196"/>
      <c r="EXM31" s="196"/>
      <c r="EXN31" s="161"/>
      <c r="EXO31" s="193"/>
      <c r="EXP31" s="193"/>
      <c r="EXQ31" s="194"/>
      <c r="EXR31" s="194"/>
      <c r="EXS31" s="194"/>
      <c r="EXT31" s="194"/>
      <c r="EXU31" s="194"/>
      <c r="EXV31" s="161"/>
      <c r="EXW31" s="161"/>
      <c r="EXX31" s="194"/>
      <c r="EXY31" s="161"/>
      <c r="EXZ31" s="193"/>
      <c r="EYA31" s="194"/>
      <c r="EYB31" s="161"/>
      <c r="EYC31" s="161"/>
      <c r="EYD31" s="161"/>
      <c r="EYE31" s="194"/>
      <c r="EYF31" s="194"/>
      <c r="EYG31" s="194"/>
      <c r="EYH31" s="161"/>
      <c r="EYI31" s="194"/>
      <c r="EYJ31" s="194"/>
      <c r="EYK31" s="161"/>
      <c r="EYL31" s="194"/>
      <c r="EYM31" s="194"/>
      <c r="EYN31" s="194"/>
      <c r="EYO31" s="194"/>
      <c r="EYP31" s="194"/>
      <c r="EYQ31" s="194"/>
      <c r="EYR31" s="161"/>
      <c r="EYS31" s="195"/>
      <c r="EYT31" s="195"/>
      <c r="EYU31" s="161"/>
      <c r="EYV31" s="161"/>
      <c r="EYW31" s="161"/>
      <c r="EYX31" s="161"/>
      <c r="EYY31" s="196"/>
      <c r="EYZ31" s="196"/>
      <c r="EZA31" s="192"/>
      <c r="EZB31" s="181"/>
      <c r="EZC31" s="180"/>
      <c r="EZD31" s="197"/>
      <c r="EZE31" s="179"/>
      <c r="EZF31" s="196"/>
      <c r="EZG31" s="179"/>
      <c r="EZH31" s="196"/>
      <c r="EZI31" s="196"/>
      <c r="EZJ31" s="161"/>
      <c r="EZK31" s="193"/>
      <c r="EZL31" s="193"/>
      <c r="EZM31" s="194"/>
      <c r="EZN31" s="194"/>
      <c r="EZO31" s="194"/>
      <c r="EZP31" s="194"/>
      <c r="EZQ31" s="194"/>
      <c r="EZR31" s="161"/>
      <c r="EZS31" s="161"/>
      <c r="EZT31" s="194"/>
      <c r="EZU31" s="161"/>
      <c r="EZV31" s="193"/>
      <c r="EZW31" s="194"/>
      <c r="EZX31" s="161"/>
      <c r="EZY31" s="161"/>
      <c r="EZZ31" s="161"/>
      <c r="FAA31" s="194"/>
      <c r="FAB31" s="194"/>
      <c r="FAC31" s="194"/>
      <c r="FAD31" s="161"/>
      <c r="FAE31" s="194"/>
      <c r="FAF31" s="194"/>
      <c r="FAG31" s="161"/>
      <c r="FAH31" s="194"/>
      <c r="FAI31" s="194"/>
      <c r="FAJ31" s="194"/>
      <c r="FAK31" s="194"/>
      <c r="FAL31" s="194"/>
      <c r="FAM31" s="194"/>
      <c r="FAN31" s="161"/>
      <c r="FAO31" s="195"/>
      <c r="FAP31" s="195"/>
      <c r="FAQ31" s="161"/>
      <c r="FAR31" s="161"/>
      <c r="FAS31" s="161"/>
      <c r="FAT31" s="161"/>
      <c r="FAU31" s="196"/>
      <c r="FAV31" s="196"/>
      <c r="FAW31" s="192"/>
      <c r="FAX31" s="181"/>
      <c r="FAY31" s="180"/>
      <c r="FAZ31" s="197"/>
      <c r="FBA31" s="179"/>
      <c r="FBB31" s="196"/>
      <c r="FBC31" s="179"/>
      <c r="FBD31" s="196"/>
      <c r="FBE31" s="196"/>
      <c r="FBF31" s="161"/>
      <c r="FBG31" s="193"/>
      <c r="FBH31" s="193"/>
      <c r="FBI31" s="194"/>
      <c r="FBJ31" s="194"/>
      <c r="FBK31" s="194"/>
      <c r="FBL31" s="194"/>
      <c r="FBM31" s="194"/>
      <c r="FBN31" s="161"/>
      <c r="FBO31" s="161"/>
      <c r="FBP31" s="194"/>
      <c r="FBQ31" s="161"/>
      <c r="FBR31" s="193"/>
      <c r="FBS31" s="194"/>
      <c r="FBT31" s="161"/>
      <c r="FBU31" s="161"/>
      <c r="FBV31" s="161"/>
      <c r="FBW31" s="194"/>
      <c r="FBX31" s="194"/>
      <c r="FBY31" s="194"/>
      <c r="FBZ31" s="161"/>
      <c r="FCA31" s="194"/>
      <c r="FCB31" s="194"/>
      <c r="FCC31" s="161"/>
      <c r="FCD31" s="194"/>
      <c r="FCE31" s="194"/>
      <c r="FCF31" s="194"/>
      <c r="FCG31" s="194"/>
      <c r="FCH31" s="194"/>
      <c r="FCI31" s="194"/>
      <c r="FCJ31" s="161"/>
      <c r="FCK31" s="195"/>
      <c r="FCL31" s="195"/>
      <c r="FCM31" s="161"/>
      <c r="FCN31" s="161"/>
      <c r="FCO31" s="161"/>
      <c r="FCP31" s="161"/>
      <c r="FCQ31" s="196"/>
      <c r="FCR31" s="196"/>
      <c r="FCS31" s="192"/>
      <c r="FCT31" s="181"/>
      <c r="FCU31" s="180"/>
      <c r="FCV31" s="197"/>
      <c r="FCW31" s="179"/>
      <c r="FCX31" s="196"/>
      <c r="FCY31" s="179"/>
      <c r="FCZ31" s="196"/>
      <c r="FDA31" s="196"/>
      <c r="FDB31" s="161"/>
      <c r="FDC31" s="193"/>
      <c r="FDD31" s="193"/>
      <c r="FDE31" s="194"/>
      <c r="FDF31" s="194"/>
      <c r="FDG31" s="194"/>
      <c r="FDH31" s="194"/>
      <c r="FDI31" s="194"/>
      <c r="FDJ31" s="161"/>
      <c r="FDK31" s="161"/>
      <c r="FDL31" s="194"/>
      <c r="FDM31" s="161"/>
      <c r="FDN31" s="193"/>
      <c r="FDO31" s="194"/>
      <c r="FDP31" s="161"/>
      <c r="FDQ31" s="161"/>
      <c r="FDR31" s="161"/>
      <c r="FDS31" s="194"/>
      <c r="FDT31" s="194"/>
      <c r="FDU31" s="194"/>
      <c r="FDV31" s="161"/>
      <c r="FDW31" s="194"/>
      <c r="FDX31" s="194"/>
      <c r="FDY31" s="161"/>
      <c r="FDZ31" s="194"/>
      <c r="FEA31" s="194"/>
      <c r="FEB31" s="194"/>
      <c r="FEC31" s="194"/>
      <c r="FED31" s="194"/>
      <c r="FEE31" s="194"/>
      <c r="FEF31" s="161"/>
      <c r="FEG31" s="195"/>
      <c r="FEH31" s="195"/>
      <c r="FEI31" s="161"/>
      <c r="FEJ31" s="161"/>
      <c r="FEK31" s="161"/>
      <c r="FEL31" s="161"/>
      <c r="FEM31" s="196"/>
      <c r="FEN31" s="196"/>
      <c r="FEO31" s="192"/>
      <c r="FEP31" s="181"/>
      <c r="FEQ31" s="180"/>
      <c r="FER31" s="197"/>
      <c r="FES31" s="179"/>
      <c r="FET31" s="196"/>
      <c r="FEU31" s="179"/>
      <c r="FEV31" s="196"/>
      <c r="FEW31" s="196"/>
      <c r="FEX31" s="161"/>
      <c r="FEY31" s="193"/>
      <c r="FEZ31" s="193"/>
      <c r="FFA31" s="194"/>
      <c r="FFB31" s="194"/>
      <c r="FFC31" s="194"/>
      <c r="FFD31" s="194"/>
      <c r="FFE31" s="194"/>
      <c r="FFF31" s="161"/>
      <c r="FFG31" s="161"/>
      <c r="FFH31" s="194"/>
      <c r="FFI31" s="161"/>
      <c r="FFJ31" s="193"/>
      <c r="FFK31" s="194"/>
      <c r="FFL31" s="161"/>
      <c r="FFM31" s="161"/>
      <c r="FFN31" s="161"/>
      <c r="FFO31" s="194"/>
      <c r="FFP31" s="194"/>
      <c r="FFQ31" s="194"/>
      <c r="FFR31" s="161"/>
      <c r="FFS31" s="194"/>
      <c r="FFT31" s="194"/>
      <c r="FFU31" s="161"/>
      <c r="FFV31" s="194"/>
      <c r="FFW31" s="194"/>
      <c r="FFX31" s="194"/>
      <c r="FFY31" s="194"/>
      <c r="FFZ31" s="194"/>
      <c r="FGA31" s="194"/>
      <c r="FGB31" s="161"/>
      <c r="FGC31" s="195"/>
      <c r="FGD31" s="195"/>
      <c r="FGE31" s="161"/>
      <c r="FGF31" s="161"/>
      <c r="FGG31" s="161"/>
      <c r="FGH31" s="161"/>
      <c r="FGI31" s="196"/>
      <c r="FGJ31" s="196"/>
      <c r="FGK31" s="192"/>
      <c r="FGL31" s="181"/>
      <c r="FGM31" s="180"/>
      <c r="FGN31" s="197"/>
      <c r="FGO31" s="179"/>
      <c r="FGP31" s="196"/>
      <c r="FGQ31" s="179"/>
      <c r="FGR31" s="196"/>
      <c r="FGS31" s="196"/>
      <c r="FGT31" s="161"/>
      <c r="FGU31" s="193"/>
      <c r="FGV31" s="193"/>
      <c r="FGW31" s="194"/>
      <c r="FGX31" s="194"/>
      <c r="FGY31" s="194"/>
      <c r="FGZ31" s="194"/>
      <c r="FHA31" s="194"/>
      <c r="FHB31" s="161"/>
      <c r="FHC31" s="161"/>
      <c r="FHD31" s="194"/>
      <c r="FHE31" s="161"/>
      <c r="FHF31" s="193"/>
      <c r="FHG31" s="194"/>
      <c r="FHH31" s="161"/>
      <c r="FHI31" s="161"/>
      <c r="FHJ31" s="161"/>
      <c r="FHK31" s="194"/>
      <c r="FHL31" s="194"/>
      <c r="FHM31" s="194"/>
      <c r="FHN31" s="161"/>
      <c r="FHO31" s="194"/>
      <c r="FHP31" s="194"/>
      <c r="FHQ31" s="161"/>
      <c r="FHR31" s="194"/>
      <c r="FHS31" s="194"/>
      <c r="FHT31" s="194"/>
      <c r="FHU31" s="194"/>
      <c r="FHV31" s="194"/>
      <c r="FHW31" s="194"/>
      <c r="FHX31" s="161"/>
      <c r="FHY31" s="195"/>
      <c r="FHZ31" s="195"/>
      <c r="FIA31" s="161"/>
      <c r="FIB31" s="161"/>
      <c r="FIC31" s="161"/>
      <c r="FID31" s="161"/>
      <c r="FIE31" s="196"/>
      <c r="FIF31" s="196"/>
      <c r="FIG31" s="192"/>
      <c r="FIH31" s="181"/>
      <c r="FII31" s="180"/>
      <c r="FIJ31" s="197"/>
      <c r="FIK31" s="179"/>
      <c r="FIL31" s="196"/>
      <c r="FIM31" s="179"/>
      <c r="FIN31" s="196"/>
      <c r="FIO31" s="196"/>
      <c r="FIP31" s="161"/>
      <c r="FIQ31" s="193"/>
      <c r="FIR31" s="193"/>
      <c r="FIS31" s="194"/>
      <c r="FIT31" s="194"/>
      <c r="FIU31" s="194"/>
      <c r="FIV31" s="194"/>
      <c r="FIW31" s="194"/>
      <c r="FIX31" s="161"/>
      <c r="FIY31" s="161"/>
      <c r="FIZ31" s="194"/>
      <c r="FJA31" s="161"/>
      <c r="FJB31" s="193"/>
      <c r="FJC31" s="194"/>
      <c r="FJD31" s="161"/>
      <c r="FJE31" s="161"/>
      <c r="FJF31" s="161"/>
      <c r="FJG31" s="194"/>
      <c r="FJH31" s="194"/>
      <c r="FJI31" s="194"/>
      <c r="FJJ31" s="161"/>
      <c r="FJK31" s="194"/>
      <c r="FJL31" s="194"/>
      <c r="FJM31" s="161"/>
      <c r="FJN31" s="194"/>
      <c r="FJO31" s="194"/>
      <c r="FJP31" s="194"/>
      <c r="FJQ31" s="194"/>
      <c r="FJR31" s="194"/>
      <c r="FJS31" s="194"/>
      <c r="FJT31" s="161"/>
      <c r="FJU31" s="195"/>
      <c r="FJV31" s="195"/>
      <c r="FJW31" s="161"/>
      <c r="FJX31" s="161"/>
      <c r="FJY31" s="161"/>
      <c r="FJZ31" s="161"/>
      <c r="FKA31" s="196"/>
      <c r="FKB31" s="196"/>
      <c r="FKC31" s="192"/>
      <c r="FKD31" s="181"/>
      <c r="FKE31" s="180"/>
      <c r="FKF31" s="197"/>
      <c r="FKG31" s="179"/>
      <c r="FKH31" s="196"/>
      <c r="FKI31" s="179"/>
      <c r="FKJ31" s="196"/>
      <c r="FKK31" s="196"/>
      <c r="FKL31" s="161"/>
      <c r="FKM31" s="193"/>
      <c r="FKN31" s="193"/>
      <c r="FKO31" s="194"/>
      <c r="FKP31" s="194"/>
      <c r="FKQ31" s="194"/>
      <c r="FKR31" s="194"/>
      <c r="FKS31" s="194"/>
      <c r="FKT31" s="161"/>
      <c r="FKU31" s="161"/>
      <c r="FKV31" s="194"/>
      <c r="FKW31" s="161"/>
      <c r="FKX31" s="193"/>
      <c r="FKY31" s="194"/>
      <c r="FKZ31" s="161"/>
      <c r="FLA31" s="161"/>
      <c r="FLB31" s="161"/>
      <c r="FLC31" s="194"/>
      <c r="FLD31" s="194"/>
      <c r="FLE31" s="194"/>
      <c r="FLF31" s="161"/>
      <c r="FLG31" s="194"/>
      <c r="FLH31" s="194"/>
      <c r="FLI31" s="161"/>
      <c r="FLJ31" s="194"/>
      <c r="FLK31" s="194"/>
      <c r="FLL31" s="194"/>
      <c r="FLM31" s="194"/>
      <c r="FLN31" s="194"/>
      <c r="FLO31" s="194"/>
      <c r="FLP31" s="161"/>
      <c r="FLQ31" s="195"/>
      <c r="FLR31" s="195"/>
      <c r="FLS31" s="161"/>
      <c r="FLT31" s="161"/>
      <c r="FLU31" s="161"/>
      <c r="FLV31" s="161"/>
      <c r="FLW31" s="196"/>
      <c r="FLX31" s="196"/>
      <c r="FLY31" s="192"/>
      <c r="FLZ31" s="181"/>
      <c r="FMA31" s="180"/>
      <c r="FMB31" s="197"/>
      <c r="FMC31" s="179"/>
      <c r="FMD31" s="196"/>
      <c r="FME31" s="179"/>
      <c r="FMF31" s="196"/>
      <c r="FMG31" s="196"/>
      <c r="FMH31" s="161"/>
      <c r="FMI31" s="193"/>
      <c r="FMJ31" s="193"/>
      <c r="FMK31" s="194"/>
      <c r="FML31" s="194"/>
      <c r="FMM31" s="194"/>
      <c r="FMN31" s="194"/>
      <c r="FMO31" s="194"/>
      <c r="FMP31" s="161"/>
      <c r="FMQ31" s="161"/>
      <c r="FMR31" s="194"/>
      <c r="FMS31" s="161"/>
      <c r="FMT31" s="193"/>
      <c r="FMU31" s="194"/>
      <c r="FMV31" s="161"/>
      <c r="FMW31" s="161"/>
      <c r="FMX31" s="161"/>
      <c r="FMY31" s="194"/>
      <c r="FMZ31" s="194"/>
      <c r="FNA31" s="194"/>
      <c r="FNB31" s="161"/>
      <c r="FNC31" s="194"/>
      <c r="FND31" s="194"/>
      <c r="FNE31" s="161"/>
      <c r="FNF31" s="194"/>
      <c r="FNG31" s="194"/>
      <c r="FNH31" s="194"/>
      <c r="FNI31" s="194"/>
      <c r="FNJ31" s="194"/>
      <c r="FNK31" s="194"/>
      <c r="FNL31" s="161"/>
      <c r="FNM31" s="195"/>
      <c r="FNN31" s="195"/>
      <c r="FNO31" s="161"/>
      <c r="FNP31" s="161"/>
      <c r="FNQ31" s="161"/>
      <c r="FNR31" s="161"/>
      <c r="FNS31" s="196"/>
      <c r="FNT31" s="196"/>
      <c r="FNU31" s="192"/>
      <c r="FNV31" s="181"/>
      <c r="FNW31" s="180"/>
      <c r="FNX31" s="197"/>
      <c r="FNY31" s="179"/>
      <c r="FNZ31" s="196"/>
      <c r="FOA31" s="179"/>
      <c r="FOB31" s="196"/>
      <c r="FOC31" s="196"/>
      <c r="FOD31" s="161"/>
      <c r="FOE31" s="193"/>
      <c r="FOF31" s="193"/>
      <c r="FOG31" s="194"/>
      <c r="FOH31" s="194"/>
      <c r="FOI31" s="194"/>
      <c r="FOJ31" s="194"/>
      <c r="FOK31" s="194"/>
      <c r="FOL31" s="161"/>
      <c r="FOM31" s="161"/>
      <c r="FON31" s="194"/>
      <c r="FOO31" s="161"/>
      <c r="FOP31" s="193"/>
      <c r="FOQ31" s="194"/>
      <c r="FOR31" s="161"/>
      <c r="FOS31" s="161"/>
      <c r="FOT31" s="161"/>
      <c r="FOU31" s="194"/>
      <c r="FOV31" s="194"/>
      <c r="FOW31" s="194"/>
      <c r="FOX31" s="161"/>
      <c r="FOY31" s="194"/>
      <c r="FOZ31" s="194"/>
      <c r="FPA31" s="161"/>
      <c r="FPB31" s="194"/>
      <c r="FPC31" s="194"/>
      <c r="FPD31" s="194"/>
      <c r="FPE31" s="194"/>
      <c r="FPF31" s="194"/>
      <c r="FPG31" s="194"/>
      <c r="FPH31" s="161"/>
      <c r="FPI31" s="195"/>
      <c r="FPJ31" s="195"/>
      <c r="FPK31" s="161"/>
      <c r="FPL31" s="161"/>
      <c r="FPM31" s="161"/>
      <c r="FPN31" s="161"/>
      <c r="FPO31" s="196"/>
      <c r="FPP31" s="196"/>
      <c r="FPQ31" s="192"/>
      <c r="FPR31" s="181"/>
      <c r="FPS31" s="180"/>
      <c r="FPT31" s="197"/>
      <c r="FPU31" s="179"/>
      <c r="FPV31" s="196"/>
      <c r="FPW31" s="179"/>
      <c r="FPX31" s="196"/>
      <c r="FPY31" s="196"/>
      <c r="FPZ31" s="161"/>
      <c r="FQA31" s="193"/>
      <c r="FQB31" s="193"/>
      <c r="FQC31" s="194"/>
      <c r="FQD31" s="194"/>
      <c r="FQE31" s="194"/>
      <c r="FQF31" s="194"/>
      <c r="FQG31" s="194"/>
      <c r="FQH31" s="161"/>
      <c r="FQI31" s="161"/>
      <c r="FQJ31" s="194"/>
      <c r="FQK31" s="161"/>
      <c r="FQL31" s="193"/>
      <c r="FQM31" s="194"/>
      <c r="FQN31" s="161"/>
      <c r="FQO31" s="161"/>
      <c r="FQP31" s="161"/>
      <c r="FQQ31" s="194"/>
      <c r="FQR31" s="194"/>
      <c r="FQS31" s="194"/>
      <c r="FQT31" s="161"/>
      <c r="FQU31" s="194"/>
      <c r="FQV31" s="194"/>
      <c r="FQW31" s="161"/>
      <c r="FQX31" s="194"/>
      <c r="FQY31" s="194"/>
      <c r="FQZ31" s="194"/>
      <c r="FRA31" s="194"/>
      <c r="FRB31" s="194"/>
      <c r="FRC31" s="194"/>
      <c r="FRD31" s="161"/>
      <c r="FRE31" s="195"/>
      <c r="FRF31" s="195"/>
      <c r="FRG31" s="161"/>
      <c r="FRH31" s="161"/>
      <c r="FRI31" s="161"/>
      <c r="FRJ31" s="161"/>
      <c r="FRK31" s="196"/>
      <c r="FRL31" s="196"/>
      <c r="FRM31" s="192"/>
      <c r="FRN31" s="181"/>
      <c r="FRO31" s="180"/>
      <c r="FRP31" s="197"/>
      <c r="FRQ31" s="179"/>
      <c r="FRR31" s="196"/>
      <c r="FRS31" s="179"/>
      <c r="FRT31" s="196"/>
      <c r="FRU31" s="196"/>
      <c r="FRV31" s="161"/>
      <c r="FRW31" s="193"/>
      <c r="FRX31" s="193"/>
      <c r="FRY31" s="194"/>
      <c r="FRZ31" s="194"/>
      <c r="FSA31" s="194"/>
      <c r="FSB31" s="194"/>
      <c r="FSC31" s="194"/>
      <c r="FSD31" s="161"/>
      <c r="FSE31" s="161"/>
      <c r="FSF31" s="194"/>
      <c r="FSG31" s="161"/>
      <c r="FSH31" s="193"/>
      <c r="FSI31" s="194"/>
      <c r="FSJ31" s="161"/>
      <c r="FSK31" s="161"/>
      <c r="FSL31" s="161"/>
      <c r="FSM31" s="194"/>
      <c r="FSN31" s="194"/>
      <c r="FSO31" s="194"/>
      <c r="FSP31" s="161"/>
      <c r="FSQ31" s="194"/>
      <c r="FSR31" s="194"/>
      <c r="FSS31" s="161"/>
      <c r="FST31" s="194"/>
      <c r="FSU31" s="194"/>
      <c r="FSV31" s="194"/>
      <c r="FSW31" s="194"/>
      <c r="FSX31" s="194"/>
      <c r="FSY31" s="194"/>
      <c r="FSZ31" s="161"/>
      <c r="FTA31" s="195"/>
      <c r="FTB31" s="195"/>
      <c r="FTC31" s="161"/>
      <c r="FTD31" s="161"/>
      <c r="FTE31" s="161"/>
      <c r="FTF31" s="161"/>
      <c r="FTG31" s="196"/>
      <c r="FTH31" s="196"/>
      <c r="FTI31" s="192"/>
      <c r="FTJ31" s="181"/>
      <c r="FTK31" s="180"/>
      <c r="FTL31" s="197"/>
      <c r="FTM31" s="179"/>
      <c r="FTN31" s="196"/>
      <c r="FTO31" s="179"/>
      <c r="FTP31" s="196"/>
      <c r="FTQ31" s="196"/>
      <c r="FTR31" s="161"/>
      <c r="FTS31" s="193"/>
      <c r="FTT31" s="193"/>
      <c r="FTU31" s="194"/>
      <c r="FTV31" s="194"/>
      <c r="FTW31" s="194"/>
      <c r="FTX31" s="194"/>
      <c r="FTY31" s="194"/>
      <c r="FTZ31" s="161"/>
      <c r="FUA31" s="161"/>
      <c r="FUB31" s="194"/>
      <c r="FUC31" s="161"/>
      <c r="FUD31" s="193"/>
      <c r="FUE31" s="194"/>
      <c r="FUF31" s="161"/>
      <c r="FUG31" s="161"/>
      <c r="FUH31" s="161"/>
      <c r="FUI31" s="194"/>
      <c r="FUJ31" s="194"/>
      <c r="FUK31" s="194"/>
      <c r="FUL31" s="161"/>
      <c r="FUM31" s="194"/>
      <c r="FUN31" s="194"/>
      <c r="FUO31" s="161"/>
      <c r="FUP31" s="194"/>
      <c r="FUQ31" s="194"/>
      <c r="FUR31" s="194"/>
      <c r="FUS31" s="194"/>
      <c r="FUT31" s="194"/>
      <c r="FUU31" s="194"/>
      <c r="FUV31" s="161"/>
      <c r="FUW31" s="195"/>
      <c r="FUX31" s="195"/>
      <c r="FUY31" s="161"/>
      <c r="FUZ31" s="161"/>
      <c r="FVA31" s="161"/>
      <c r="FVB31" s="161"/>
      <c r="FVC31" s="196"/>
      <c r="FVD31" s="196"/>
      <c r="FVE31" s="192"/>
      <c r="FVF31" s="181"/>
      <c r="FVG31" s="180"/>
      <c r="FVH31" s="197"/>
      <c r="FVI31" s="179"/>
      <c r="FVJ31" s="196"/>
      <c r="FVK31" s="179"/>
      <c r="FVL31" s="196"/>
      <c r="FVM31" s="196"/>
      <c r="FVN31" s="161"/>
      <c r="FVO31" s="193"/>
      <c r="FVP31" s="193"/>
      <c r="FVQ31" s="194"/>
      <c r="FVR31" s="194"/>
      <c r="FVS31" s="194"/>
      <c r="FVT31" s="194"/>
      <c r="FVU31" s="194"/>
      <c r="FVV31" s="161"/>
      <c r="FVW31" s="161"/>
      <c r="FVX31" s="194"/>
      <c r="FVY31" s="161"/>
      <c r="FVZ31" s="193"/>
      <c r="FWA31" s="194"/>
      <c r="FWB31" s="161"/>
      <c r="FWC31" s="161"/>
      <c r="FWD31" s="161"/>
      <c r="FWE31" s="194"/>
      <c r="FWF31" s="194"/>
      <c r="FWG31" s="194"/>
      <c r="FWH31" s="161"/>
      <c r="FWI31" s="194"/>
      <c r="FWJ31" s="194"/>
      <c r="FWK31" s="161"/>
      <c r="FWL31" s="194"/>
      <c r="FWM31" s="194"/>
      <c r="FWN31" s="194"/>
      <c r="FWO31" s="194"/>
      <c r="FWP31" s="194"/>
      <c r="FWQ31" s="194"/>
      <c r="FWR31" s="161"/>
      <c r="FWS31" s="195"/>
      <c r="FWT31" s="195"/>
      <c r="FWU31" s="161"/>
      <c r="FWV31" s="161"/>
      <c r="FWW31" s="161"/>
      <c r="FWX31" s="161"/>
      <c r="FWY31" s="196"/>
      <c r="FWZ31" s="196"/>
      <c r="FXA31" s="192"/>
      <c r="FXB31" s="181"/>
      <c r="FXC31" s="180"/>
      <c r="FXD31" s="197"/>
      <c r="FXE31" s="179"/>
      <c r="FXF31" s="196"/>
      <c r="FXG31" s="179"/>
      <c r="FXH31" s="196"/>
      <c r="FXI31" s="196"/>
      <c r="FXJ31" s="161"/>
      <c r="FXK31" s="193"/>
      <c r="FXL31" s="193"/>
      <c r="FXM31" s="194"/>
      <c r="FXN31" s="194"/>
      <c r="FXO31" s="194"/>
      <c r="FXP31" s="194"/>
      <c r="FXQ31" s="194"/>
      <c r="FXR31" s="161"/>
      <c r="FXS31" s="161"/>
      <c r="FXT31" s="194"/>
      <c r="FXU31" s="161"/>
      <c r="FXV31" s="193"/>
      <c r="FXW31" s="194"/>
      <c r="FXX31" s="161"/>
      <c r="FXY31" s="161"/>
      <c r="FXZ31" s="161"/>
      <c r="FYA31" s="194"/>
      <c r="FYB31" s="194"/>
      <c r="FYC31" s="194"/>
      <c r="FYD31" s="161"/>
      <c r="FYE31" s="194"/>
      <c r="FYF31" s="194"/>
      <c r="FYG31" s="161"/>
      <c r="FYH31" s="194"/>
      <c r="FYI31" s="194"/>
      <c r="FYJ31" s="194"/>
      <c r="FYK31" s="194"/>
      <c r="FYL31" s="194"/>
      <c r="FYM31" s="194"/>
      <c r="FYN31" s="161"/>
      <c r="FYO31" s="195"/>
      <c r="FYP31" s="195"/>
      <c r="FYQ31" s="161"/>
      <c r="FYR31" s="161"/>
      <c r="FYS31" s="161"/>
      <c r="FYT31" s="161"/>
      <c r="FYU31" s="196"/>
      <c r="FYV31" s="196"/>
      <c r="FYW31" s="192"/>
      <c r="FYX31" s="181"/>
      <c r="FYY31" s="180"/>
      <c r="FYZ31" s="197"/>
      <c r="FZA31" s="179"/>
      <c r="FZB31" s="196"/>
      <c r="FZC31" s="179"/>
      <c r="FZD31" s="196"/>
      <c r="FZE31" s="196"/>
      <c r="FZF31" s="161"/>
      <c r="FZG31" s="193"/>
      <c r="FZH31" s="193"/>
      <c r="FZI31" s="194"/>
      <c r="FZJ31" s="194"/>
      <c r="FZK31" s="194"/>
      <c r="FZL31" s="194"/>
      <c r="FZM31" s="194"/>
      <c r="FZN31" s="161"/>
      <c r="FZO31" s="161"/>
      <c r="FZP31" s="194"/>
      <c r="FZQ31" s="161"/>
      <c r="FZR31" s="193"/>
      <c r="FZS31" s="194"/>
      <c r="FZT31" s="161"/>
      <c r="FZU31" s="161"/>
      <c r="FZV31" s="161"/>
      <c r="FZW31" s="194"/>
      <c r="FZX31" s="194"/>
      <c r="FZY31" s="194"/>
      <c r="FZZ31" s="161"/>
      <c r="GAA31" s="194"/>
      <c r="GAB31" s="194"/>
      <c r="GAC31" s="161"/>
      <c r="GAD31" s="194"/>
      <c r="GAE31" s="194"/>
      <c r="GAF31" s="194"/>
      <c r="GAG31" s="194"/>
      <c r="GAH31" s="194"/>
      <c r="GAI31" s="194"/>
      <c r="GAJ31" s="161"/>
      <c r="GAK31" s="195"/>
      <c r="GAL31" s="195"/>
      <c r="GAM31" s="161"/>
      <c r="GAN31" s="161"/>
      <c r="GAO31" s="161"/>
      <c r="GAP31" s="161"/>
      <c r="GAQ31" s="196"/>
      <c r="GAR31" s="196"/>
      <c r="GAS31" s="192"/>
      <c r="GAT31" s="181"/>
      <c r="GAU31" s="180"/>
      <c r="GAV31" s="197"/>
      <c r="GAW31" s="179"/>
      <c r="GAX31" s="196"/>
      <c r="GAY31" s="179"/>
      <c r="GAZ31" s="196"/>
      <c r="GBA31" s="196"/>
      <c r="GBB31" s="161"/>
      <c r="GBC31" s="193"/>
      <c r="GBD31" s="193"/>
      <c r="GBE31" s="194"/>
      <c r="GBF31" s="194"/>
      <c r="GBG31" s="194"/>
      <c r="GBH31" s="194"/>
      <c r="GBI31" s="194"/>
      <c r="GBJ31" s="161"/>
      <c r="GBK31" s="161"/>
      <c r="GBL31" s="194"/>
      <c r="GBM31" s="161"/>
      <c r="GBN31" s="193"/>
      <c r="GBO31" s="194"/>
      <c r="GBP31" s="161"/>
      <c r="GBQ31" s="161"/>
      <c r="GBR31" s="161"/>
      <c r="GBS31" s="194"/>
      <c r="GBT31" s="194"/>
      <c r="GBU31" s="194"/>
      <c r="GBV31" s="161"/>
      <c r="GBW31" s="194"/>
      <c r="GBX31" s="194"/>
      <c r="GBY31" s="161"/>
      <c r="GBZ31" s="194"/>
      <c r="GCA31" s="194"/>
      <c r="GCB31" s="194"/>
      <c r="GCC31" s="194"/>
      <c r="GCD31" s="194"/>
      <c r="GCE31" s="194"/>
      <c r="GCF31" s="161"/>
      <c r="GCG31" s="195"/>
      <c r="GCH31" s="195"/>
      <c r="GCI31" s="161"/>
      <c r="GCJ31" s="161"/>
      <c r="GCK31" s="161"/>
      <c r="GCL31" s="161"/>
      <c r="GCM31" s="196"/>
      <c r="GCN31" s="196"/>
      <c r="GCO31" s="192"/>
      <c r="GCP31" s="181"/>
      <c r="GCQ31" s="180"/>
      <c r="GCR31" s="197"/>
      <c r="GCS31" s="179"/>
      <c r="GCT31" s="196"/>
      <c r="GCU31" s="179"/>
      <c r="GCV31" s="196"/>
      <c r="GCW31" s="196"/>
      <c r="GCX31" s="161"/>
      <c r="GCY31" s="193"/>
      <c r="GCZ31" s="193"/>
      <c r="GDA31" s="194"/>
      <c r="GDB31" s="194"/>
      <c r="GDC31" s="194"/>
      <c r="GDD31" s="194"/>
      <c r="GDE31" s="194"/>
      <c r="GDF31" s="161"/>
      <c r="GDG31" s="161"/>
      <c r="GDH31" s="194"/>
      <c r="GDI31" s="161"/>
      <c r="GDJ31" s="193"/>
      <c r="GDK31" s="194"/>
      <c r="GDL31" s="161"/>
      <c r="GDM31" s="161"/>
      <c r="GDN31" s="161"/>
      <c r="GDO31" s="194"/>
      <c r="GDP31" s="194"/>
      <c r="GDQ31" s="194"/>
      <c r="GDR31" s="161"/>
      <c r="GDS31" s="194"/>
      <c r="GDT31" s="194"/>
      <c r="GDU31" s="161"/>
      <c r="GDV31" s="194"/>
      <c r="GDW31" s="194"/>
      <c r="GDX31" s="194"/>
      <c r="GDY31" s="194"/>
      <c r="GDZ31" s="194"/>
      <c r="GEA31" s="194"/>
      <c r="GEB31" s="161"/>
      <c r="GEC31" s="195"/>
      <c r="GED31" s="195"/>
      <c r="GEE31" s="161"/>
      <c r="GEF31" s="161"/>
      <c r="GEG31" s="161"/>
      <c r="GEH31" s="161"/>
      <c r="GEI31" s="196"/>
      <c r="GEJ31" s="196"/>
      <c r="GEK31" s="192"/>
      <c r="GEL31" s="181"/>
      <c r="GEM31" s="180"/>
      <c r="GEN31" s="197"/>
      <c r="GEO31" s="179"/>
      <c r="GEP31" s="196"/>
      <c r="GEQ31" s="179"/>
      <c r="GER31" s="196"/>
      <c r="GES31" s="196"/>
      <c r="GET31" s="161"/>
      <c r="GEU31" s="193"/>
      <c r="GEV31" s="193"/>
      <c r="GEW31" s="194"/>
      <c r="GEX31" s="194"/>
      <c r="GEY31" s="194"/>
      <c r="GEZ31" s="194"/>
      <c r="GFA31" s="194"/>
      <c r="GFB31" s="161"/>
      <c r="GFC31" s="161"/>
      <c r="GFD31" s="194"/>
      <c r="GFE31" s="161"/>
      <c r="GFF31" s="193"/>
      <c r="GFG31" s="194"/>
      <c r="GFH31" s="161"/>
      <c r="GFI31" s="161"/>
      <c r="GFJ31" s="161"/>
      <c r="GFK31" s="194"/>
      <c r="GFL31" s="194"/>
      <c r="GFM31" s="194"/>
      <c r="GFN31" s="161"/>
      <c r="GFO31" s="194"/>
      <c r="GFP31" s="194"/>
      <c r="GFQ31" s="161"/>
      <c r="GFR31" s="194"/>
      <c r="GFS31" s="194"/>
      <c r="GFT31" s="194"/>
      <c r="GFU31" s="194"/>
      <c r="GFV31" s="194"/>
      <c r="GFW31" s="194"/>
      <c r="GFX31" s="161"/>
      <c r="GFY31" s="195"/>
      <c r="GFZ31" s="195"/>
      <c r="GGA31" s="161"/>
      <c r="GGB31" s="161"/>
      <c r="GGC31" s="161"/>
      <c r="GGD31" s="161"/>
      <c r="GGE31" s="196"/>
      <c r="GGF31" s="196"/>
      <c r="GGG31" s="192"/>
      <c r="GGH31" s="181"/>
      <c r="GGI31" s="180"/>
      <c r="GGJ31" s="197"/>
      <c r="GGK31" s="179"/>
      <c r="GGL31" s="196"/>
      <c r="GGM31" s="179"/>
      <c r="GGN31" s="196"/>
      <c r="GGO31" s="196"/>
      <c r="GGP31" s="161"/>
      <c r="GGQ31" s="193"/>
      <c r="GGR31" s="193"/>
      <c r="GGS31" s="194"/>
      <c r="GGT31" s="194"/>
      <c r="GGU31" s="194"/>
      <c r="GGV31" s="194"/>
      <c r="GGW31" s="194"/>
      <c r="GGX31" s="161"/>
      <c r="GGY31" s="161"/>
      <c r="GGZ31" s="194"/>
      <c r="GHA31" s="161"/>
      <c r="GHB31" s="193"/>
      <c r="GHC31" s="194"/>
      <c r="GHD31" s="161"/>
      <c r="GHE31" s="161"/>
      <c r="GHF31" s="161"/>
      <c r="GHG31" s="194"/>
      <c r="GHH31" s="194"/>
      <c r="GHI31" s="194"/>
      <c r="GHJ31" s="161"/>
      <c r="GHK31" s="194"/>
      <c r="GHL31" s="194"/>
      <c r="GHM31" s="161"/>
      <c r="GHN31" s="194"/>
      <c r="GHO31" s="194"/>
      <c r="GHP31" s="194"/>
      <c r="GHQ31" s="194"/>
      <c r="GHR31" s="194"/>
      <c r="GHS31" s="194"/>
      <c r="GHT31" s="161"/>
      <c r="GHU31" s="195"/>
      <c r="GHV31" s="195"/>
      <c r="GHW31" s="161"/>
      <c r="GHX31" s="161"/>
      <c r="GHY31" s="161"/>
      <c r="GHZ31" s="161"/>
      <c r="GIA31" s="196"/>
      <c r="GIB31" s="196"/>
      <c r="GIC31" s="192"/>
      <c r="GID31" s="181"/>
      <c r="GIE31" s="180"/>
      <c r="GIF31" s="197"/>
      <c r="GIG31" s="179"/>
      <c r="GIH31" s="196"/>
      <c r="GII31" s="179"/>
      <c r="GIJ31" s="196"/>
      <c r="GIK31" s="196"/>
      <c r="GIL31" s="161"/>
      <c r="GIM31" s="193"/>
      <c r="GIN31" s="193"/>
      <c r="GIO31" s="194"/>
      <c r="GIP31" s="194"/>
      <c r="GIQ31" s="194"/>
      <c r="GIR31" s="194"/>
      <c r="GIS31" s="194"/>
      <c r="GIT31" s="161"/>
      <c r="GIU31" s="161"/>
      <c r="GIV31" s="194"/>
      <c r="GIW31" s="161"/>
      <c r="GIX31" s="193"/>
      <c r="GIY31" s="194"/>
      <c r="GIZ31" s="161"/>
      <c r="GJA31" s="161"/>
      <c r="GJB31" s="161"/>
      <c r="GJC31" s="194"/>
      <c r="GJD31" s="194"/>
      <c r="GJE31" s="194"/>
      <c r="GJF31" s="161"/>
      <c r="GJG31" s="194"/>
      <c r="GJH31" s="194"/>
      <c r="GJI31" s="161"/>
      <c r="GJJ31" s="194"/>
      <c r="GJK31" s="194"/>
      <c r="GJL31" s="194"/>
      <c r="GJM31" s="194"/>
      <c r="GJN31" s="194"/>
      <c r="GJO31" s="194"/>
      <c r="GJP31" s="161"/>
      <c r="GJQ31" s="195"/>
      <c r="GJR31" s="195"/>
      <c r="GJS31" s="161"/>
      <c r="GJT31" s="161"/>
      <c r="GJU31" s="161"/>
      <c r="GJV31" s="161"/>
      <c r="GJW31" s="196"/>
      <c r="GJX31" s="196"/>
      <c r="GJY31" s="192"/>
      <c r="GJZ31" s="181"/>
      <c r="GKA31" s="180"/>
      <c r="GKB31" s="197"/>
      <c r="GKC31" s="179"/>
      <c r="GKD31" s="196"/>
      <c r="GKE31" s="179"/>
      <c r="GKF31" s="196"/>
      <c r="GKG31" s="196"/>
      <c r="GKH31" s="161"/>
      <c r="GKI31" s="193"/>
      <c r="GKJ31" s="193"/>
      <c r="GKK31" s="194"/>
      <c r="GKL31" s="194"/>
      <c r="GKM31" s="194"/>
      <c r="GKN31" s="194"/>
      <c r="GKO31" s="194"/>
      <c r="GKP31" s="161"/>
      <c r="GKQ31" s="161"/>
      <c r="GKR31" s="194"/>
      <c r="GKS31" s="161"/>
      <c r="GKT31" s="193"/>
      <c r="GKU31" s="194"/>
      <c r="GKV31" s="161"/>
      <c r="GKW31" s="161"/>
      <c r="GKX31" s="161"/>
      <c r="GKY31" s="194"/>
      <c r="GKZ31" s="194"/>
      <c r="GLA31" s="194"/>
      <c r="GLB31" s="161"/>
      <c r="GLC31" s="194"/>
      <c r="GLD31" s="194"/>
      <c r="GLE31" s="161"/>
      <c r="GLF31" s="194"/>
      <c r="GLG31" s="194"/>
      <c r="GLH31" s="194"/>
      <c r="GLI31" s="194"/>
      <c r="GLJ31" s="194"/>
      <c r="GLK31" s="194"/>
      <c r="GLL31" s="161"/>
      <c r="GLM31" s="195"/>
      <c r="GLN31" s="195"/>
      <c r="GLO31" s="161"/>
      <c r="GLP31" s="161"/>
      <c r="GLQ31" s="161"/>
      <c r="GLR31" s="161"/>
      <c r="GLS31" s="196"/>
      <c r="GLT31" s="196"/>
      <c r="GLU31" s="192"/>
      <c r="GLV31" s="181"/>
      <c r="GLW31" s="180"/>
      <c r="GLX31" s="197"/>
      <c r="GLY31" s="179"/>
      <c r="GLZ31" s="196"/>
      <c r="GMA31" s="179"/>
      <c r="GMB31" s="196"/>
      <c r="GMC31" s="196"/>
      <c r="GMD31" s="161"/>
      <c r="GME31" s="193"/>
      <c r="GMF31" s="193"/>
      <c r="GMG31" s="194"/>
      <c r="GMH31" s="194"/>
      <c r="GMI31" s="194"/>
      <c r="GMJ31" s="194"/>
      <c r="GMK31" s="194"/>
      <c r="GML31" s="161"/>
      <c r="GMM31" s="161"/>
      <c r="GMN31" s="194"/>
      <c r="GMO31" s="161"/>
      <c r="GMP31" s="193"/>
      <c r="GMQ31" s="194"/>
      <c r="GMR31" s="161"/>
      <c r="GMS31" s="161"/>
      <c r="GMT31" s="161"/>
      <c r="GMU31" s="194"/>
      <c r="GMV31" s="194"/>
      <c r="GMW31" s="194"/>
      <c r="GMX31" s="161"/>
      <c r="GMY31" s="194"/>
      <c r="GMZ31" s="194"/>
      <c r="GNA31" s="161"/>
      <c r="GNB31" s="194"/>
      <c r="GNC31" s="194"/>
      <c r="GND31" s="194"/>
      <c r="GNE31" s="194"/>
      <c r="GNF31" s="194"/>
      <c r="GNG31" s="194"/>
      <c r="GNH31" s="161"/>
      <c r="GNI31" s="195"/>
      <c r="GNJ31" s="195"/>
      <c r="GNK31" s="161"/>
      <c r="GNL31" s="161"/>
      <c r="GNM31" s="161"/>
      <c r="GNN31" s="161"/>
      <c r="GNO31" s="196"/>
      <c r="GNP31" s="196"/>
      <c r="GNQ31" s="192"/>
      <c r="GNR31" s="181"/>
      <c r="GNS31" s="180"/>
      <c r="GNT31" s="197"/>
      <c r="GNU31" s="179"/>
      <c r="GNV31" s="196"/>
      <c r="GNW31" s="179"/>
      <c r="GNX31" s="196"/>
      <c r="GNY31" s="196"/>
      <c r="GNZ31" s="161"/>
      <c r="GOA31" s="193"/>
      <c r="GOB31" s="193"/>
      <c r="GOC31" s="194"/>
      <c r="GOD31" s="194"/>
      <c r="GOE31" s="194"/>
      <c r="GOF31" s="194"/>
      <c r="GOG31" s="194"/>
      <c r="GOH31" s="161"/>
      <c r="GOI31" s="161"/>
      <c r="GOJ31" s="194"/>
      <c r="GOK31" s="161"/>
      <c r="GOL31" s="193"/>
      <c r="GOM31" s="194"/>
      <c r="GON31" s="161"/>
      <c r="GOO31" s="161"/>
      <c r="GOP31" s="161"/>
      <c r="GOQ31" s="194"/>
      <c r="GOR31" s="194"/>
      <c r="GOS31" s="194"/>
      <c r="GOT31" s="161"/>
      <c r="GOU31" s="194"/>
      <c r="GOV31" s="194"/>
      <c r="GOW31" s="161"/>
      <c r="GOX31" s="194"/>
      <c r="GOY31" s="194"/>
      <c r="GOZ31" s="194"/>
      <c r="GPA31" s="194"/>
      <c r="GPB31" s="194"/>
      <c r="GPC31" s="194"/>
      <c r="GPD31" s="161"/>
      <c r="GPE31" s="195"/>
      <c r="GPF31" s="195"/>
      <c r="GPG31" s="161"/>
      <c r="GPH31" s="161"/>
      <c r="GPI31" s="161"/>
      <c r="GPJ31" s="161"/>
      <c r="GPK31" s="196"/>
      <c r="GPL31" s="196"/>
      <c r="GPM31" s="192"/>
      <c r="GPN31" s="181"/>
      <c r="GPO31" s="180"/>
      <c r="GPP31" s="197"/>
      <c r="GPQ31" s="179"/>
      <c r="GPR31" s="196"/>
      <c r="GPS31" s="179"/>
      <c r="GPT31" s="196"/>
      <c r="GPU31" s="196"/>
      <c r="GPV31" s="161"/>
      <c r="GPW31" s="193"/>
      <c r="GPX31" s="193"/>
      <c r="GPY31" s="194"/>
      <c r="GPZ31" s="194"/>
      <c r="GQA31" s="194"/>
      <c r="GQB31" s="194"/>
      <c r="GQC31" s="194"/>
      <c r="GQD31" s="161"/>
      <c r="GQE31" s="161"/>
      <c r="GQF31" s="194"/>
      <c r="GQG31" s="161"/>
      <c r="GQH31" s="193"/>
      <c r="GQI31" s="194"/>
      <c r="GQJ31" s="161"/>
      <c r="GQK31" s="161"/>
      <c r="GQL31" s="161"/>
      <c r="GQM31" s="194"/>
      <c r="GQN31" s="194"/>
      <c r="GQO31" s="194"/>
      <c r="GQP31" s="161"/>
      <c r="GQQ31" s="194"/>
      <c r="GQR31" s="194"/>
      <c r="GQS31" s="161"/>
      <c r="GQT31" s="194"/>
      <c r="GQU31" s="194"/>
      <c r="GQV31" s="194"/>
      <c r="GQW31" s="194"/>
      <c r="GQX31" s="194"/>
      <c r="GQY31" s="194"/>
      <c r="GQZ31" s="161"/>
      <c r="GRA31" s="195"/>
      <c r="GRB31" s="195"/>
      <c r="GRC31" s="161"/>
      <c r="GRD31" s="161"/>
      <c r="GRE31" s="161"/>
      <c r="GRF31" s="161"/>
      <c r="GRG31" s="196"/>
      <c r="GRH31" s="196"/>
      <c r="GRI31" s="192"/>
      <c r="GRJ31" s="181"/>
      <c r="GRK31" s="180"/>
      <c r="GRL31" s="197"/>
      <c r="GRM31" s="179"/>
      <c r="GRN31" s="196"/>
      <c r="GRO31" s="179"/>
      <c r="GRP31" s="196"/>
      <c r="GRQ31" s="196"/>
      <c r="GRR31" s="161"/>
      <c r="GRS31" s="193"/>
      <c r="GRT31" s="193"/>
      <c r="GRU31" s="194"/>
      <c r="GRV31" s="194"/>
      <c r="GRW31" s="194"/>
      <c r="GRX31" s="194"/>
      <c r="GRY31" s="194"/>
      <c r="GRZ31" s="161"/>
      <c r="GSA31" s="161"/>
      <c r="GSB31" s="194"/>
      <c r="GSC31" s="161"/>
      <c r="GSD31" s="193"/>
      <c r="GSE31" s="194"/>
      <c r="GSF31" s="161"/>
      <c r="GSG31" s="161"/>
      <c r="GSH31" s="161"/>
      <c r="GSI31" s="194"/>
      <c r="GSJ31" s="194"/>
      <c r="GSK31" s="194"/>
      <c r="GSL31" s="161"/>
      <c r="GSM31" s="194"/>
      <c r="GSN31" s="194"/>
      <c r="GSO31" s="161"/>
      <c r="GSP31" s="194"/>
      <c r="GSQ31" s="194"/>
      <c r="GSR31" s="194"/>
      <c r="GSS31" s="194"/>
      <c r="GST31" s="194"/>
      <c r="GSU31" s="194"/>
      <c r="GSV31" s="161"/>
      <c r="GSW31" s="195"/>
      <c r="GSX31" s="195"/>
      <c r="GSY31" s="161"/>
      <c r="GSZ31" s="161"/>
      <c r="GTA31" s="161"/>
      <c r="GTB31" s="161"/>
      <c r="GTC31" s="196"/>
      <c r="GTD31" s="196"/>
      <c r="GTE31" s="192"/>
      <c r="GTF31" s="181"/>
      <c r="GTG31" s="180"/>
      <c r="GTH31" s="197"/>
      <c r="GTI31" s="179"/>
      <c r="GTJ31" s="196"/>
      <c r="GTK31" s="179"/>
      <c r="GTL31" s="196"/>
      <c r="GTM31" s="196"/>
      <c r="GTN31" s="161"/>
      <c r="GTO31" s="193"/>
      <c r="GTP31" s="193"/>
      <c r="GTQ31" s="194"/>
      <c r="GTR31" s="194"/>
      <c r="GTS31" s="194"/>
      <c r="GTT31" s="194"/>
      <c r="GTU31" s="194"/>
      <c r="GTV31" s="161"/>
      <c r="GTW31" s="161"/>
      <c r="GTX31" s="194"/>
      <c r="GTY31" s="161"/>
      <c r="GTZ31" s="193"/>
      <c r="GUA31" s="194"/>
      <c r="GUB31" s="161"/>
      <c r="GUC31" s="161"/>
      <c r="GUD31" s="161"/>
      <c r="GUE31" s="194"/>
      <c r="GUF31" s="194"/>
      <c r="GUG31" s="194"/>
      <c r="GUH31" s="161"/>
      <c r="GUI31" s="194"/>
      <c r="GUJ31" s="194"/>
      <c r="GUK31" s="161"/>
      <c r="GUL31" s="194"/>
      <c r="GUM31" s="194"/>
      <c r="GUN31" s="194"/>
      <c r="GUO31" s="194"/>
      <c r="GUP31" s="194"/>
      <c r="GUQ31" s="194"/>
      <c r="GUR31" s="161"/>
      <c r="GUS31" s="195"/>
      <c r="GUT31" s="195"/>
      <c r="GUU31" s="161"/>
      <c r="GUV31" s="161"/>
      <c r="GUW31" s="161"/>
      <c r="GUX31" s="161"/>
      <c r="GUY31" s="196"/>
      <c r="GUZ31" s="196"/>
      <c r="GVA31" s="192"/>
      <c r="GVB31" s="181"/>
      <c r="GVC31" s="180"/>
      <c r="GVD31" s="197"/>
      <c r="GVE31" s="179"/>
      <c r="GVF31" s="196"/>
      <c r="GVG31" s="179"/>
      <c r="GVH31" s="196"/>
      <c r="GVI31" s="196"/>
      <c r="GVJ31" s="161"/>
      <c r="GVK31" s="193"/>
      <c r="GVL31" s="193"/>
      <c r="GVM31" s="194"/>
      <c r="GVN31" s="194"/>
      <c r="GVO31" s="194"/>
      <c r="GVP31" s="194"/>
      <c r="GVQ31" s="194"/>
      <c r="GVR31" s="161"/>
      <c r="GVS31" s="161"/>
      <c r="GVT31" s="194"/>
      <c r="GVU31" s="161"/>
      <c r="GVV31" s="193"/>
      <c r="GVW31" s="194"/>
      <c r="GVX31" s="161"/>
      <c r="GVY31" s="161"/>
      <c r="GVZ31" s="161"/>
      <c r="GWA31" s="194"/>
      <c r="GWB31" s="194"/>
      <c r="GWC31" s="194"/>
      <c r="GWD31" s="161"/>
      <c r="GWE31" s="194"/>
      <c r="GWF31" s="194"/>
      <c r="GWG31" s="161"/>
      <c r="GWH31" s="194"/>
      <c r="GWI31" s="194"/>
      <c r="GWJ31" s="194"/>
      <c r="GWK31" s="194"/>
      <c r="GWL31" s="194"/>
      <c r="GWM31" s="194"/>
      <c r="GWN31" s="161"/>
      <c r="GWO31" s="195"/>
      <c r="GWP31" s="195"/>
      <c r="GWQ31" s="161"/>
      <c r="GWR31" s="161"/>
      <c r="GWS31" s="161"/>
      <c r="GWT31" s="161"/>
      <c r="GWU31" s="196"/>
      <c r="GWV31" s="196"/>
      <c r="GWW31" s="192"/>
      <c r="GWX31" s="181"/>
      <c r="GWY31" s="180"/>
      <c r="GWZ31" s="197"/>
      <c r="GXA31" s="179"/>
      <c r="GXB31" s="196"/>
      <c r="GXC31" s="179"/>
      <c r="GXD31" s="196"/>
      <c r="GXE31" s="196"/>
      <c r="GXF31" s="161"/>
      <c r="GXG31" s="193"/>
      <c r="GXH31" s="193"/>
      <c r="GXI31" s="194"/>
      <c r="GXJ31" s="194"/>
      <c r="GXK31" s="194"/>
      <c r="GXL31" s="194"/>
      <c r="GXM31" s="194"/>
      <c r="GXN31" s="161"/>
      <c r="GXO31" s="161"/>
      <c r="GXP31" s="194"/>
      <c r="GXQ31" s="161"/>
      <c r="GXR31" s="193"/>
      <c r="GXS31" s="194"/>
      <c r="GXT31" s="161"/>
      <c r="GXU31" s="161"/>
      <c r="GXV31" s="161"/>
      <c r="GXW31" s="194"/>
      <c r="GXX31" s="194"/>
      <c r="GXY31" s="194"/>
      <c r="GXZ31" s="161"/>
      <c r="GYA31" s="194"/>
      <c r="GYB31" s="194"/>
      <c r="GYC31" s="161"/>
      <c r="GYD31" s="194"/>
      <c r="GYE31" s="194"/>
      <c r="GYF31" s="194"/>
      <c r="GYG31" s="194"/>
      <c r="GYH31" s="194"/>
      <c r="GYI31" s="194"/>
      <c r="GYJ31" s="161"/>
      <c r="GYK31" s="195"/>
      <c r="GYL31" s="195"/>
      <c r="GYM31" s="161"/>
      <c r="GYN31" s="161"/>
      <c r="GYO31" s="161"/>
      <c r="GYP31" s="161"/>
      <c r="GYQ31" s="196"/>
      <c r="GYR31" s="196"/>
      <c r="GYS31" s="192"/>
      <c r="GYT31" s="181"/>
      <c r="GYU31" s="180"/>
      <c r="GYV31" s="197"/>
      <c r="GYW31" s="179"/>
      <c r="GYX31" s="196"/>
      <c r="GYY31" s="179"/>
      <c r="GYZ31" s="196"/>
      <c r="GZA31" s="196"/>
      <c r="GZB31" s="161"/>
      <c r="GZC31" s="193"/>
      <c r="GZD31" s="193"/>
      <c r="GZE31" s="194"/>
      <c r="GZF31" s="194"/>
      <c r="GZG31" s="194"/>
      <c r="GZH31" s="194"/>
      <c r="GZI31" s="194"/>
      <c r="GZJ31" s="161"/>
      <c r="GZK31" s="161"/>
      <c r="GZL31" s="194"/>
      <c r="GZM31" s="161"/>
      <c r="GZN31" s="193"/>
      <c r="GZO31" s="194"/>
      <c r="GZP31" s="161"/>
      <c r="GZQ31" s="161"/>
      <c r="GZR31" s="161"/>
      <c r="GZS31" s="194"/>
      <c r="GZT31" s="194"/>
      <c r="GZU31" s="194"/>
      <c r="GZV31" s="161"/>
      <c r="GZW31" s="194"/>
      <c r="GZX31" s="194"/>
      <c r="GZY31" s="161"/>
      <c r="GZZ31" s="194"/>
      <c r="HAA31" s="194"/>
      <c r="HAB31" s="194"/>
      <c r="HAC31" s="194"/>
      <c r="HAD31" s="194"/>
      <c r="HAE31" s="194"/>
      <c r="HAF31" s="161"/>
      <c r="HAG31" s="195"/>
      <c r="HAH31" s="195"/>
      <c r="HAI31" s="161"/>
      <c r="HAJ31" s="161"/>
      <c r="HAK31" s="161"/>
      <c r="HAL31" s="161"/>
      <c r="HAM31" s="196"/>
      <c r="HAN31" s="196"/>
      <c r="HAO31" s="192"/>
      <c r="HAP31" s="181"/>
      <c r="HAQ31" s="180"/>
      <c r="HAR31" s="197"/>
      <c r="HAS31" s="179"/>
      <c r="HAT31" s="196"/>
      <c r="HAU31" s="179"/>
      <c r="HAV31" s="196"/>
      <c r="HAW31" s="196"/>
      <c r="HAX31" s="161"/>
      <c r="HAY31" s="193"/>
      <c r="HAZ31" s="193"/>
      <c r="HBA31" s="194"/>
      <c r="HBB31" s="194"/>
      <c r="HBC31" s="194"/>
      <c r="HBD31" s="194"/>
      <c r="HBE31" s="194"/>
      <c r="HBF31" s="161"/>
      <c r="HBG31" s="161"/>
      <c r="HBH31" s="194"/>
      <c r="HBI31" s="161"/>
      <c r="HBJ31" s="193"/>
      <c r="HBK31" s="194"/>
      <c r="HBL31" s="161"/>
      <c r="HBM31" s="161"/>
      <c r="HBN31" s="161"/>
      <c r="HBO31" s="194"/>
      <c r="HBP31" s="194"/>
      <c r="HBQ31" s="194"/>
      <c r="HBR31" s="161"/>
      <c r="HBS31" s="194"/>
      <c r="HBT31" s="194"/>
      <c r="HBU31" s="161"/>
      <c r="HBV31" s="194"/>
      <c r="HBW31" s="194"/>
      <c r="HBX31" s="194"/>
      <c r="HBY31" s="194"/>
      <c r="HBZ31" s="194"/>
      <c r="HCA31" s="194"/>
      <c r="HCB31" s="161"/>
      <c r="HCC31" s="195"/>
      <c r="HCD31" s="195"/>
      <c r="HCE31" s="161"/>
      <c r="HCF31" s="161"/>
      <c r="HCG31" s="161"/>
      <c r="HCH31" s="161"/>
      <c r="HCI31" s="196"/>
      <c r="HCJ31" s="196"/>
      <c r="HCK31" s="192"/>
      <c r="HCL31" s="181"/>
      <c r="HCM31" s="180"/>
      <c r="HCN31" s="197"/>
      <c r="HCO31" s="179"/>
      <c r="HCP31" s="196"/>
      <c r="HCQ31" s="179"/>
      <c r="HCR31" s="196"/>
      <c r="HCS31" s="196"/>
      <c r="HCT31" s="161"/>
      <c r="HCU31" s="193"/>
      <c r="HCV31" s="193"/>
      <c r="HCW31" s="194"/>
      <c r="HCX31" s="194"/>
      <c r="HCY31" s="194"/>
      <c r="HCZ31" s="194"/>
      <c r="HDA31" s="194"/>
      <c r="HDB31" s="161"/>
      <c r="HDC31" s="161"/>
      <c r="HDD31" s="194"/>
      <c r="HDE31" s="161"/>
      <c r="HDF31" s="193"/>
      <c r="HDG31" s="194"/>
      <c r="HDH31" s="161"/>
      <c r="HDI31" s="161"/>
      <c r="HDJ31" s="161"/>
      <c r="HDK31" s="194"/>
      <c r="HDL31" s="194"/>
      <c r="HDM31" s="194"/>
      <c r="HDN31" s="161"/>
      <c r="HDO31" s="194"/>
      <c r="HDP31" s="194"/>
      <c r="HDQ31" s="161"/>
      <c r="HDR31" s="194"/>
      <c r="HDS31" s="194"/>
      <c r="HDT31" s="194"/>
      <c r="HDU31" s="194"/>
      <c r="HDV31" s="194"/>
      <c r="HDW31" s="194"/>
      <c r="HDX31" s="161"/>
      <c r="HDY31" s="195"/>
      <c r="HDZ31" s="195"/>
      <c r="HEA31" s="161"/>
      <c r="HEB31" s="161"/>
      <c r="HEC31" s="161"/>
      <c r="HED31" s="161"/>
      <c r="HEE31" s="196"/>
      <c r="HEF31" s="196"/>
      <c r="HEG31" s="192"/>
      <c r="HEH31" s="181"/>
      <c r="HEI31" s="180"/>
      <c r="HEJ31" s="197"/>
      <c r="HEK31" s="179"/>
      <c r="HEL31" s="196"/>
      <c r="HEM31" s="179"/>
      <c r="HEN31" s="196"/>
      <c r="HEO31" s="196"/>
      <c r="HEP31" s="161"/>
      <c r="HEQ31" s="193"/>
      <c r="HER31" s="193"/>
      <c r="HES31" s="194"/>
      <c r="HET31" s="194"/>
      <c r="HEU31" s="194"/>
      <c r="HEV31" s="194"/>
      <c r="HEW31" s="194"/>
      <c r="HEX31" s="161"/>
      <c r="HEY31" s="161"/>
      <c r="HEZ31" s="194"/>
      <c r="HFA31" s="161"/>
      <c r="HFB31" s="193"/>
      <c r="HFC31" s="194"/>
      <c r="HFD31" s="161"/>
      <c r="HFE31" s="161"/>
      <c r="HFF31" s="161"/>
      <c r="HFG31" s="194"/>
      <c r="HFH31" s="194"/>
      <c r="HFI31" s="194"/>
      <c r="HFJ31" s="161"/>
      <c r="HFK31" s="194"/>
      <c r="HFL31" s="194"/>
      <c r="HFM31" s="161"/>
      <c r="HFN31" s="194"/>
      <c r="HFO31" s="194"/>
      <c r="HFP31" s="194"/>
      <c r="HFQ31" s="194"/>
      <c r="HFR31" s="194"/>
      <c r="HFS31" s="194"/>
      <c r="HFT31" s="161"/>
      <c r="HFU31" s="195"/>
      <c r="HFV31" s="195"/>
      <c r="HFW31" s="161"/>
      <c r="HFX31" s="161"/>
      <c r="HFY31" s="161"/>
      <c r="HFZ31" s="161"/>
      <c r="HGA31" s="196"/>
      <c r="HGB31" s="196"/>
      <c r="HGC31" s="192"/>
      <c r="HGD31" s="181"/>
      <c r="HGE31" s="180"/>
      <c r="HGF31" s="197"/>
      <c r="HGG31" s="179"/>
      <c r="HGH31" s="196"/>
      <c r="HGI31" s="179"/>
      <c r="HGJ31" s="196"/>
      <c r="HGK31" s="196"/>
      <c r="HGL31" s="161"/>
      <c r="HGM31" s="193"/>
      <c r="HGN31" s="193"/>
      <c r="HGO31" s="194"/>
      <c r="HGP31" s="194"/>
      <c r="HGQ31" s="194"/>
      <c r="HGR31" s="194"/>
      <c r="HGS31" s="194"/>
      <c r="HGT31" s="161"/>
      <c r="HGU31" s="161"/>
      <c r="HGV31" s="194"/>
      <c r="HGW31" s="161"/>
      <c r="HGX31" s="193"/>
      <c r="HGY31" s="194"/>
      <c r="HGZ31" s="161"/>
      <c r="HHA31" s="161"/>
      <c r="HHB31" s="161"/>
      <c r="HHC31" s="194"/>
      <c r="HHD31" s="194"/>
      <c r="HHE31" s="194"/>
      <c r="HHF31" s="161"/>
      <c r="HHG31" s="194"/>
      <c r="HHH31" s="194"/>
      <c r="HHI31" s="161"/>
      <c r="HHJ31" s="194"/>
      <c r="HHK31" s="194"/>
      <c r="HHL31" s="194"/>
      <c r="HHM31" s="194"/>
      <c r="HHN31" s="194"/>
      <c r="HHO31" s="194"/>
      <c r="HHP31" s="161"/>
      <c r="HHQ31" s="195"/>
      <c r="HHR31" s="195"/>
      <c r="HHS31" s="161"/>
      <c r="HHT31" s="161"/>
      <c r="HHU31" s="161"/>
      <c r="HHV31" s="161"/>
      <c r="HHW31" s="196"/>
      <c r="HHX31" s="196"/>
      <c r="HHY31" s="192"/>
      <c r="HHZ31" s="181"/>
      <c r="HIA31" s="180"/>
      <c r="HIB31" s="197"/>
      <c r="HIC31" s="179"/>
      <c r="HID31" s="196"/>
      <c r="HIE31" s="179"/>
      <c r="HIF31" s="196"/>
      <c r="HIG31" s="196"/>
      <c r="HIH31" s="161"/>
      <c r="HII31" s="193"/>
      <c r="HIJ31" s="193"/>
      <c r="HIK31" s="194"/>
      <c r="HIL31" s="194"/>
      <c r="HIM31" s="194"/>
      <c r="HIN31" s="194"/>
      <c r="HIO31" s="194"/>
      <c r="HIP31" s="161"/>
      <c r="HIQ31" s="161"/>
      <c r="HIR31" s="194"/>
      <c r="HIS31" s="161"/>
      <c r="HIT31" s="193"/>
      <c r="HIU31" s="194"/>
      <c r="HIV31" s="161"/>
      <c r="HIW31" s="161"/>
      <c r="HIX31" s="161"/>
      <c r="HIY31" s="194"/>
      <c r="HIZ31" s="194"/>
      <c r="HJA31" s="194"/>
      <c r="HJB31" s="161"/>
      <c r="HJC31" s="194"/>
      <c r="HJD31" s="194"/>
      <c r="HJE31" s="161"/>
      <c r="HJF31" s="194"/>
      <c r="HJG31" s="194"/>
      <c r="HJH31" s="194"/>
      <c r="HJI31" s="194"/>
      <c r="HJJ31" s="194"/>
      <c r="HJK31" s="194"/>
      <c r="HJL31" s="161"/>
      <c r="HJM31" s="195"/>
      <c r="HJN31" s="195"/>
      <c r="HJO31" s="161"/>
      <c r="HJP31" s="161"/>
      <c r="HJQ31" s="161"/>
      <c r="HJR31" s="161"/>
      <c r="HJS31" s="196"/>
      <c r="HJT31" s="196"/>
      <c r="HJU31" s="192"/>
      <c r="HJV31" s="181"/>
      <c r="HJW31" s="180"/>
      <c r="HJX31" s="197"/>
      <c r="HJY31" s="179"/>
      <c r="HJZ31" s="196"/>
      <c r="HKA31" s="179"/>
      <c r="HKB31" s="196"/>
      <c r="HKC31" s="196"/>
      <c r="HKD31" s="161"/>
      <c r="HKE31" s="193"/>
      <c r="HKF31" s="193"/>
      <c r="HKG31" s="194"/>
      <c r="HKH31" s="194"/>
      <c r="HKI31" s="194"/>
      <c r="HKJ31" s="194"/>
      <c r="HKK31" s="194"/>
      <c r="HKL31" s="161"/>
      <c r="HKM31" s="161"/>
      <c r="HKN31" s="194"/>
      <c r="HKO31" s="161"/>
      <c r="HKP31" s="193"/>
      <c r="HKQ31" s="194"/>
      <c r="HKR31" s="161"/>
      <c r="HKS31" s="161"/>
      <c r="HKT31" s="161"/>
      <c r="HKU31" s="194"/>
      <c r="HKV31" s="194"/>
      <c r="HKW31" s="194"/>
      <c r="HKX31" s="161"/>
      <c r="HKY31" s="194"/>
      <c r="HKZ31" s="194"/>
      <c r="HLA31" s="161"/>
      <c r="HLB31" s="194"/>
      <c r="HLC31" s="194"/>
      <c r="HLD31" s="194"/>
      <c r="HLE31" s="194"/>
      <c r="HLF31" s="194"/>
      <c r="HLG31" s="194"/>
      <c r="HLH31" s="161"/>
      <c r="HLI31" s="195"/>
      <c r="HLJ31" s="195"/>
      <c r="HLK31" s="161"/>
      <c r="HLL31" s="161"/>
      <c r="HLM31" s="161"/>
      <c r="HLN31" s="161"/>
      <c r="HLO31" s="196"/>
      <c r="HLP31" s="196"/>
      <c r="HLQ31" s="192"/>
      <c r="HLR31" s="181"/>
      <c r="HLS31" s="180"/>
      <c r="HLT31" s="197"/>
      <c r="HLU31" s="179"/>
      <c r="HLV31" s="196"/>
      <c r="HLW31" s="179"/>
      <c r="HLX31" s="196"/>
      <c r="HLY31" s="196"/>
      <c r="HLZ31" s="161"/>
      <c r="HMA31" s="193"/>
      <c r="HMB31" s="193"/>
      <c r="HMC31" s="194"/>
      <c r="HMD31" s="194"/>
      <c r="HME31" s="194"/>
      <c r="HMF31" s="194"/>
      <c r="HMG31" s="194"/>
      <c r="HMH31" s="161"/>
      <c r="HMI31" s="161"/>
      <c r="HMJ31" s="194"/>
      <c r="HMK31" s="161"/>
      <c r="HML31" s="193"/>
      <c r="HMM31" s="194"/>
      <c r="HMN31" s="161"/>
      <c r="HMO31" s="161"/>
      <c r="HMP31" s="161"/>
      <c r="HMQ31" s="194"/>
      <c r="HMR31" s="194"/>
      <c r="HMS31" s="194"/>
      <c r="HMT31" s="161"/>
      <c r="HMU31" s="194"/>
      <c r="HMV31" s="194"/>
      <c r="HMW31" s="161"/>
      <c r="HMX31" s="194"/>
      <c r="HMY31" s="194"/>
      <c r="HMZ31" s="194"/>
      <c r="HNA31" s="194"/>
      <c r="HNB31" s="194"/>
      <c r="HNC31" s="194"/>
      <c r="HND31" s="161"/>
      <c r="HNE31" s="195"/>
      <c r="HNF31" s="195"/>
      <c r="HNG31" s="161"/>
      <c r="HNH31" s="161"/>
      <c r="HNI31" s="161"/>
      <c r="HNJ31" s="161"/>
      <c r="HNK31" s="196"/>
      <c r="HNL31" s="196"/>
      <c r="HNM31" s="192"/>
      <c r="HNN31" s="181"/>
      <c r="HNO31" s="180"/>
      <c r="HNP31" s="197"/>
      <c r="HNQ31" s="179"/>
      <c r="HNR31" s="196"/>
      <c r="HNS31" s="179"/>
      <c r="HNT31" s="196"/>
      <c r="HNU31" s="196"/>
      <c r="HNV31" s="161"/>
      <c r="HNW31" s="193"/>
      <c r="HNX31" s="193"/>
      <c r="HNY31" s="194"/>
      <c r="HNZ31" s="194"/>
      <c r="HOA31" s="194"/>
      <c r="HOB31" s="194"/>
      <c r="HOC31" s="194"/>
      <c r="HOD31" s="161"/>
      <c r="HOE31" s="161"/>
      <c r="HOF31" s="194"/>
      <c r="HOG31" s="161"/>
      <c r="HOH31" s="193"/>
      <c r="HOI31" s="194"/>
      <c r="HOJ31" s="161"/>
      <c r="HOK31" s="161"/>
      <c r="HOL31" s="161"/>
      <c r="HOM31" s="194"/>
      <c r="HON31" s="194"/>
      <c r="HOO31" s="194"/>
      <c r="HOP31" s="161"/>
      <c r="HOQ31" s="194"/>
      <c r="HOR31" s="194"/>
      <c r="HOS31" s="161"/>
      <c r="HOT31" s="194"/>
      <c r="HOU31" s="194"/>
      <c r="HOV31" s="194"/>
      <c r="HOW31" s="194"/>
      <c r="HOX31" s="194"/>
      <c r="HOY31" s="194"/>
      <c r="HOZ31" s="161"/>
      <c r="HPA31" s="195"/>
      <c r="HPB31" s="195"/>
      <c r="HPC31" s="161"/>
      <c r="HPD31" s="161"/>
      <c r="HPE31" s="161"/>
      <c r="HPF31" s="161"/>
      <c r="HPG31" s="196"/>
      <c r="HPH31" s="196"/>
      <c r="HPI31" s="192"/>
      <c r="HPJ31" s="181"/>
      <c r="HPK31" s="180"/>
      <c r="HPL31" s="197"/>
      <c r="HPM31" s="179"/>
      <c r="HPN31" s="196"/>
      <c r="HPO31" s="179"/>
      <c r="HPP31" s="196"/>
      <c r="HPQ31" s="196"/>
      <c r="HPR31" s="161"/>
      <c r="HPS31" s="193"/>
      <c r="HPT31" s="193"/>
      <c r="HPU31" s="194"/>
      <c r="HPV31" s="194"/>
      <c r="HPW31" s="194"/>
      <c r="HPX31" s="194"/>
      <c r="HPY31" s="194"/>
      <c r="HPZ31" s="161"/>
      <c r="HQA31" s="161"/>
      <c r="HQB31" s="194"/>
      <c r="HQC31" s="161"/>
      <c r="HQD31" s="193"/>
      <c r="HQE31" s="194"/>
      <c r="HQF31" s="161"/>
      <c r="HQG31" s="161"/>
      <c r="HQH31" s="161"/>
      <c r="HQI31" s="194"/>
      <c r="HQJ31" s="194"/>
      <c r="HQK31" s="194"/>
      <c r="HQL31" s="161"/>
      <c r="HQM31" s="194"/>
      <c r="HQN31" s="194"/>
      <c r="HQO31" s="161"/>
      <c r="HQP31" s="194"/>
      <c r="HQQ31" s="194"/>
      <c r="HQR31" s="194"/>
      <c r="HQS31" s="194"/>
      <c r="HQT31" s="194"/>
      <c r="HQU31" s="194"/>
      <c r="HQV31" s="161"/>
      <c r="HQW31" s="195"/>
      <c r="HQX31" s="195"/>
      <c r="HQY31" s="161"/>
      <c r="HQZ31" s="161"/>
      <c r="HRA31" s="161"/>
      <c r="HRB31" s="161"/>
      <c r="HRC31" s="196"/>
      <c r="HRD31" s="196"/>
      <c r="HRE31" s="192"/>
      <c r="HRF31" s="181"/>
      <c r="HRG31" s="180"/>
      <c r="HRH31" s="197"/>
      <c r="HRI31" s="179"/>
      <c r="HRJ31" s="196"/>
      <c r="HRK31" s="179"/>
      <c r="HRL31" s="196"/>
      <c r="HRM31" s="196"/>
      <c r="HRN31" s="161"/>
      <c r="HRO31" s="193"/>
      <c r="HRP31" s="193"/>
      <c r="HRQ31" s="194"/>
      <c r="HRR31" s="194"/>
      <c r="HRS31" s="194"/>
      <c r="HRT31" s="194"/>
      <c r="HRU31" s="194"/>
      <c r="HRV31" s="161"/>
      <c r="HRW31" s="161"/>
      <c r="HRX31" s="194"/>
      <c r="HRY31" s="161"/>
      <c r="HRZ31" s="193"/>
      <c r="HSA31" s="194"/>
      <c r="HSB31" s="161"/>
      <c r="HSC31" s="161"/>
      <c r="HSD31" s="161"/>
      <c r="HSE31" s="194"/>
      <c r="HSF31" s="194"/>
      <c r="HSG31" s="194"/>
      <c r="HSH31" s="161"/>
      <c r="HSI31" s="194"/>
      <c r="HSJ31" s="194"/>
      <c r="HSK31" s="161"/>
      <c r="HSL31" s="194"/>
      <c r="HSM31" s="194"/>
      <c r="HSN31" s="194"/>
      <c r="HSO31" s="194"/>
      <c r="HSP31" s="194"/>
      <c r="HSQ31" s="194"/>
      <c r="HSR31" s="161"/>
      <c r="HSS31" s="195"/>
      <c r="HST31" s="195"/>
      <c r="HSU31" s="161"/>
      <c r="HSV31" s="161"/>
      <c r="HSW31" s="161"/>
      <c r="HSX31" s="161"/>
      <c r="HSY31" s="196"/>
      <c r="HSZ31" s="196"/>
      <c r="HTA31" s="192"/>
      <c r="HTB31" s="181"/>
      <c r="HTC31" s="180"/>
      <c r="HTD31" s="197"/>
      <c r="HTE31" s="179"/>
      <c r="HTF31" s="196"/>
      <c r="HTG31" s="179"/>
      <c r="HTH31" s="196"/>
      <c r="HTI31" s="196"/>
      <c r="HTJ31" s="161"/>
      <c r="HTK31" s="193"/>
      <c r="HTL31" s="193"/>
      <c r="HTM31" s="194"/>
      <c r="HTN31" s="194"/>
      <c r="HTO31" s="194"/>
      <c r="HTP31" s="194"/>
      <c r="HTQ31" s="194"/>
      <c r="HTR31" s="161"/>
      <c r="HTS31" s="161"/>
      <c r="HTT31" s="194"/>
      <c r="HTU31" s="161"/>
      <c r="HTV31" s="193"/>
      <c r="HTW31" s="194"/>
      <c r="HTX31" s="161"/>
      <c r="HTY31" s="161"/>
      <c r="HTZ31" s="161"/>
      <c r="HUA31" s="194"/>
      <c r="HUB31" s="194"/>
      <c r="HUC31" s="194"/>
      <c r="HUD31" s="161"/>
      <c r="HUE31" s="194"/>
      <c r="HUF31" s="194"/>
      <c r="HUG31" s="161"/>
      <c r="HUH31" s="194"/>
      <c r="HUI31" s="194"/>
      <c r="HUJ31" s="194"/>
      <c r="HUK31" s="194"/>
      <c r="HUL31" s="194"/>
      <c r="HUM31" s="194"/>
      <c r="HUN31" s="161"/>
      <c r="HUO31" s="195"/>
      <c r="HUP31" s="195"/>
      <c r="HUQ31" s="161"/>
      <c r="HUR31" s="161"/>
      <c r="HUS31" s="161"/>
      <c r="HUT31" s="161"/>
      <c r="HUU31" s="196"/>
      <c r="HUV31" s="196"/>
      <c r="HUW31" s="192"/>
      <c r="HUX31" s="181"/>
      <c r="HUY31" s="180"/>
      <c r="HUZ31" s="197"/>
      <c r="HVA31" s="179"/>
      <c r="HVB31" s="196"/>
      <c r="HVC31" s="179"/>
      <c r="HVD31" s="196"/>
      <c r="HVE31" s="196"/>
      <c r="HVF31" s="161"/>
      <c r="HVG31" s="193"/>
      <c r="HVH31" s="193"/>
      <c r="HVI31" s="194"/>
      <c r="HVJ31" s="194"/>
      <c r="HVK31" s="194"/>
      <c r="HVL31" s="194"/>
      <c r="HVM31" s="194"/>
      <c r="HVN31" s="161"/>
      <c r="HVO31" s="161"/>
      <c r="HVP31" s="194"/>
      <c r="HVQ31" s="161"/>
      <c r="HVR31" s="193"/>
      <c r="HVS31" s="194"/>
      <c r="HVT31" s="161"/>
      <c r="HVU31" s="161"/>
      <c r="HVV31" s="161"/>
      <c r="HVW31" s="194"/>
      <c r="HVX31" s="194"/>
      <c r="HVY31" s="194"/>
      <c r="HVZ31" s="161"/>
      <c r="HWA31" s="194"/>
      <c r="HWB31" s="194"/>
      <c r="HWC31" s="161"/>
      <c r="HWD31" s="194"/>
      <c r="HWE31" s="194"/>
      <c r="HWF31" s="194"/>
      <c r="HWG31" s="194"/>
      <c r="HWH31" s="194"/>
      <c r="HWI31" s="194"/>
      <c r="HWJ31" s="161"/>
      <c r="HWK31" s="195"/>
      <c r="HWL31" s="195"/>
      <c r="HWM31" s="161"/>
      <c r="HWN31" s="161"/>
      <c r="HWO31" s="161"/>
      <c r="HWP31" s="161"/>
      <c r="HWQ31" s="196"/>
      <c r="HWR31" s="196"/>
      <c r="HWS31" s="192"/>
      <c r="HWT31" s="181"/>
      <c r="HWU31" s="180"/>
      <c r="HWV31" s="197"/>
      <c r="HWW31" s="179"/>
      <c r="HWX31" s="196"/>
      <c r="HWY31" s="179"/>
      <c r="HWZ31" s="196"/>
      <c r="HXA31" s="196"/>
      <c r="HXB31" s="161"/>
      <c r="HXC31" s="193"/>
      <c r="HXD31" s="193"/>
      <c r="HXE31" s="194"/>
      <c r="HXF31" s="194"/>
      <c r="HXG31" s="194"/>
      <c r="HXH31" s="194"/>
      <c r="HXI31" s="194"/>
      <c r="HXJ31" s="161"/>
      <c r="HXK31" s="161"/>
      <c r="HXL31" s="194"/>
      <c r="HXM31" s="161"/>
      <c r="HXN31" s="193"/>
      <c r="HXO31" s="194"/>
      <c r="HXP31" s="161"/>
      <c r="HXQ31" s="161"/>
      <c r="HXR31" s="161"/>
      <c r="HXS31" s="194"/>
      <c r="HXT31" s="194"/>
      <c r="HXU31" s="194"/>
      <c r="HXV31" s="161"/>
      <c r="HXW31" s="194"/>
      <c r="HXX31" s="194"/>
      <c r="HXY31" s="161"/>
      <c r="HXZ31" s="194"/>
      <c r="HYA31" s="194"/>
      <c r="HYB31" s="194"/>
      <c r="HYC31" s="194"/>
      <c r="HYD31" s="194"/>
      <c r="HYE31" s="194"/>
      <c r="HYF31" s="161"/>
      <c r="HYG31" s="195"/>
      <c r="HYH31" s="195"/>
      <c r="HYI31" s="161"/>
      <c r="HYJ31" s="161"/>
      <c r="HYK31" s="161"/>
      <c r="HYL31" s="161"/>
      <c r="HYM31" s="196"/>
      <c r="HYN31" s="196"/>
      <c r="HYO31" s="192"/>
      <c r="HYP31" s="181"/>
      <c r="HYQ31" s="180"/>
      <c r="HYR31" s="197"/>
      <c r="HYS31" s="179"/>
      <c r="HYT31" s="196"/>
      <c r="HYU31" s="179"/>
      <c r="HYV31" s="196"/>
      <c r="HYW31" s="196"/>
      <c r="HYX31" s="161"/>
      <c r="HYY31" s="193"/>
      <c r="HYZ31" s="193"/>
      <c r="HZA31" s="194"/>
      <c r="HZB31" s="194"/>
      <c r="HZC31" s="194"/>
      <c r="HZD31" s="194"/>
      <c r="HZE31" s="194"/>
      <c r="HZF31" s="161"/>
      <c r="HZG31" s="161"/>
      <c r="HZH31" s="194"/>
      <c r="HZI31" s="161"/>
      <c r="HZJ31" s="193"/>
      <c r="HZK31" s="194"/>
      <c r="HZL31" s="161"/>
      <c r="HZM31" s="161"/>
      <c r="HZN31" s="161"/>
      <c r="HZO31" s="194"/>
      <c r="HZP31" s="194"/>
      <c r="HZQ31" s="194"/>
      <c r="HZR31" s="161"/>
      <c r="HZS31" s="194"/>
      <c r="HZT31" s="194"/>
      <c r="HZU31" s="161"/>
      <c r="HZV31" s="194"/>
      <c r="HZW31" s="194"/>
      <c r="HZX31" s="194"/>
      <c r="HZY31" s="194"/>
      <c r="HZZ31" s="194"/>
      <c r="IAA31" s="194"/>
      <c r="IAB31" s="161"/>
      <c r="IAC31" s="195"/>
      <c r="IAD31" s="195"/>
      <c r="IAE31" s="161"/>
      <c r="IAF31" s="161"/>
      <c r="IAG31" s="161"/>
      <c r="IAH31" s="161"/>
      <c r="IAI31" s="196"/>
      <c r="IAJ31" s="196"/>
      <c r="IAK31" s="192"/>
      <c r="IAL31" s="181"/>
      <c r="IAM31" s="180"/>
      <c r="IAN31" s="197"/>
      <c r="IAO31" s="179"/>
      <c r="IAP31" s="196"/>
      <c r="IAQ31" s="179"/>
      <c r="IAR31" s="196"/>
      <c r="IAS31" s="196"/>
      <c r="IAT31" s="161"/>
      <c r="IAU31" s="193"/>
      <c r="IAV31" s="193"/>
      <c r="IAW31" s="194"/>
      <c r="IAX31" s="194"/>
      <c r="IAY31" s="194"/>
      <c r="IAZ31" s="194"/>
      <c r="IBA31" s="194"/>
      <c r="IBB31" s="161"/>
      <c r="IBC31" s="161"/>
      <c r="IBD31" s="194"/>
      <c r="IBE31" s="161"/>
      <c r="IBF31" s="193"/>
      <c r="IBG31" s="194"/>
      <c r="IBH31" s="161"/>
      <c r="IBI31" s="161"/>
      <c r="IBJ31" s="161"/>
      <c r="IBK31" s="194"/>
      <c r="IBL31" s="194"/>
      <c r="IBM31" s="194"/>
      <c r="IBN31" s="161"/>
      <c r="IBO31" s="194"/>
      <c r="IBP31" s="194"/>
      <c r="IBQ31" s="161"/>
      <c r="IBR31" s="194"/>
      <c r="IBS31" s="194"/>
      <c r="IBT31" s="194"/>
      <c r="IBU31" s="194"/>
      <c r="IBV31" s="194"/>
      <c r="IBW31" s="194"/>
      <c r="IBX31" s="161"/>
      <c r="IBY31" s="195"/>
      <c r="IBZ31" s="195"/>
      <c r="ICA31" s="161"/>
      <c r="ICB31" s="161"/>
      <c r="ICC31" s="161"/>
      <c r="ICD31" s="161"/>
      <c r="ICE31" s="196"/>
      <c r="ICF31" s="196"/>
      <c r="ICG31" s="192"/>
      <c r="ICH31" s="181"/>
      <c r="ICI31" s="180"/>
      <c r="ICJ31" s="197"/>
      <c r="ICK31" s="179"/>
      <c r="ICL31" s="196"/>
      <c r="ICM31" s="179"/>
      <c r="ICN31" s="196"/>
      <c r="ICO31" s="196"/>
      <c r="ICP31" s="161"/>
      <c r="ICQ31" s="193"/>
      <c r="ICR31" s="193"/>
      <c r="ICS31" s="194"/>
      <c r="ICT31" s="194"/>
      <c r="ICU31" s="194"/>
      <c r="ICV31" s="194"/>
      <c r="ICW31" s="194"/>
      <c r="ICX31" s="161"/>
      <c r="ICY31" s="161"/>
      <c r="ICZ31" s="194"/>
      <c r="IDA31" s="161"/>
      <c r="IDB31" s="193"/>
      <c r="IDC31" s="194"/>
      <c r="IDD31" s="161"/>
      <c r="IDE31" s="161"/>
      <c r="IDF31" s="161"/>
      <c r="IDG31" s="194"/>
      <c r="IDH31" s="194"/>
      <c r="IDI31" s="194"/>
      <c r="IDJ31" s="161"/>
      <c r="IDK31" s="194"/>
      <c r="IDL31" s="194"/>
      <c r="IDM31" s="161"/>
      <c r="IDN31" s="194"/>
      <c r="IDO31" s="194"/>
      <c r="IDP31" s="194"/>
      <c r="IDQ31" s="194"/>
      <c r="IDR31" s="194"/>
      <c r="IDS31" s="194"/>
      <c r="IDT31" s="161"/>
      <c r="IDU31" s="195"/>
      <c r="IDV31" s="195"/>
      <c r="IDW31" s="161"/>
      <c r="IDX31" s="161"/>
      <c r="IDY31" s="161"/>
      <c r="IDZ31" s="161"/>
      <c r="IEA31" s="196"/>
      <c r="IEB31" s="196"/>
      <c r="IEC31" s="192"/>
      <c r="IED31" s="181"/>
      <c r="IEE31" s="180"/>
      <c r="IEF31" s="197"/>
      <c r="IEG31" s="179"/>
      <c r="IEH31" s="196"/>
      <c r="IEI31" s="179"/>
      <c r="IEJ31" s="196"/>
      <c r="IEK31" s="196"/>
      <c r="IEL31" s="161"/>
      <c r="IEM31" s="193"/>
      <c r="IEN31" s="193"/>
      <c r="IEO31" s="194"/>
      <c r="IEP31" s="194"/>
      <c r="IEQ31" s="194"/>
      <c r="IER31" s="194"/>
      <c r="IES31" s="194"/>
      <c r="IET31" s="161"/>
      <c r="IEU31" s="161"/>
      <c r="IEV31" s="194"/>
      <c r="IEW31" s="161"/>
      <c r="IEX31" s="193"/>
      <c r="IEY31" s="194"/>
      <c r="IEZ31" s="161"/>
      <c r="IFA31" s="161"/>
      <c r="IFB31" s="161"/>
      <c r="IFC31" s="194"/>
      <c r="IFD31" s="194"/>
      <c r="IFE31" s="194"/>
      <c r="IFF31" s="161"/>
      <c r="IFG31" s="194"/>
      <c r="IFH31" s="194"/>
      <c r="IFI31" s="161"/>
      <c r="IFJ31" s="194"/>
      <c r="IFK31" s="194"/>
      <c r="IFL31" s="194"/>
      <c r="IFM31" s="194"/>
      <c r="IFN31" s="194"/>
      <c r="IFO31" s="194"/>
      <c r="IFP31" s="161"/>
      <c r="IFQ31" s="195"/>
      <c r="IFR31" s="195"/>
      <c r="IFS31" s="161"/>
      <c r="IFT31" s="161"/>
      <c r="IFU31" s="161"/>
      <c r="IFV31" s="161"/>
      <c r="IFW31" s="196"/>
      <c r="IFX31" s="196"/>
      <c r="IFY31" s="192"/>
      <c r="IFZ31" s="181"/>
      <c r="IGA31" s="180"/>
      <c r="IGB31" s="197"/>
      <c r="IGC31" s="179"/>
      <c r="IGD31" s="196"/>
      <c r="IGE31" s="179"/>
      <c r="IGF31" s="196"/>
      <c r="IGG31" s="196"/>
      <c r="IGH31" s="161"/>
      <c r="IGI31" s="193"/>
      <c r="IGJ31" s="193"/>
      <c r="IGK31" s="194"/>
      <c r="IGL31" s="194"/>
      <c r="IGM31" s="194"/>
      <c r="IGN31" s="194"/>
      <c r="IGO31" s="194"/>
      <c r="IGP31" s="161"/>
      <c r="IGQ31" s="161"/>
      <c r="IGR31" s="194"/>
      <c r="IGS31" s="161"/>
      <c r="IGT31" s="193"/>
      <c r="IGU31" s="194"/>
      <c r="IGV31" s="161"/>
      <c r="IGW31" s="161"/>
      <c r="IGX31" s="161"/>
      <c r="IGY31" s="194"/>
      <c r="IGZ31" s="194"/>
      <c r="IHA31" s="194"/>
      <c r="IHB31" s="161"/>
      <c r="IHC31" s="194"/>
      <c r="IHD31" s="194"/>
      <c r="IHE31" s="161"/>
      <c r="IHF31" s="194"/>
      <c r="IHG31" s="194"/>
      <c r="IHH31" s="194"/>
      <c r="IHI31" s="194"/>
      <c r="IHJ31" s="194"/>
      <c r="IHK31" s="194"/>
      <c r="IHL31" s="161"/>
      <c r="IHM31" s="195"/>
      <c r="IHN31" s="195"/>
      <c r="IHO31" s="161"/>
      <c r="IHP31" s="161"/>
      <c r="IHQ31" s="161"/>
      <c r="IHR31" s="161"/>
      <c r="IHS31" s="196"/>
      <c r="IHT31" s="196"/>
      <c r="IHU31" s="192"/>
      <c r="IHV31" s="181"/>
      <c r="IHW31" s="180"/>
      <c r="IHX31" s="197"/>
      <c r="IHY31" s="179"/>
      <c r="IHZ31" s="196"/>
      <c r="IIA31" s="179"/>
      <c r="IIB31" s="196"/>
      <c r="IIC31" s="196"/>
      <c r="IID31" s="161"/>
      <c r="IIE31" s="193"/>
      <c r="IIF31" s="193"/>
      <c r="IIG31" s="194"/>
      <c r="IIH31" s="194"/>
      <c r="III31" s="194"/>
      <c r="IIJ31" s="194"/>
      <c r="IIK31" s="194"/>
      <c r="IIL31" s="161"/>
      <c r="IIM31" s="161"/>
      <c r="IIN31" s="194"/>
      <c r="IIO31" s="161"/>
      <c r="IIP31" s="193"/>
      <c r="IIQ31" s="194"/>
      <c r="IIR31" s="161"/>
      <c r="IIS31" s="161"/>
      <c r="IIT31" s="161"/>
      <c r="IIU31" s="194"/>
      <c r="IIV31" s="194"/>
      <c r="IIW31" s="194"/>
      <c r="IIX31" s="161"/>
      <c r="IIY31" s="194"/>
      <c r="IIZ31" s="194"/>
      <c r="IJA31" s="161"/>
      <c r="IJB31" s="194"/>
      <c r="IJC31" s="194"/>
      <c r="IJD31" s="194"/>
      <c r="IJE31" s="194"/>
      <c r="IJF31" s="194"/>
      <c r="IJG31" s="194"/>
      <c r="IJH31" s="161"/>
      <c r="IJI31" s="195"/>
      <c r="IJJ31" s="195"/>
      <c r="IJK31" s="161"/>
      <c r="IJL31" s="161"/>
      <c r="IJM31" s="161"/>
      <c r="IJN31" s="161"/>
      <c r="IJO31" s="196"/>
      <c r="IJP31" s="196"/>
      <c r="IJQ31" s="192"/>
      <c r="IJR31" s="181"/>
      <c r="IJS31" s="180"/>
      <c r="IJT31" s="197"/>
      <c r="IJU31" s="179"/>
      <c r="IJV31" s="196"/>
      <c r="IJW31" s="179"/>
      <c r="IJX31" s="196"/>
      <c r="IJY31" s="196"/>
      <c r="IJZ31" s="161"/>
      <c r="IKA31" s="193"/>
      <c r="IKB31" s="193"/>
      <c r="IKC31" s="194"/>
      <c r="IKD31" s="194"/>
      <c r="IKE31" s="194"/>
      <c r="IKF31" s="194"/>
      <c r="IKG31" s="194"/>
      <c r="IKH31" s="161"/>
      <c r="IKI31" s="161"/>
      <c r="IKJ31" s="194"/>
      <c r="IKK31" s="161"/>
      <c r="IKL31" s="193"/>
      <c r="IKM31" s="194"/>
      <c r="IKN31" s="161"/>
      <c r="IKO31" s="161"/>
      <c r="IKP31" s="161"/>
      <c r="IKQ31" s="194"/>
      <c r="IKR31" s="194"/>
      <c r="IKS31" s="194"/>
      <c r="IKT31" s="161"/>
      <c r="IKU31" s="194"/>
      <c r="IKV31" s="194"/>
      <c r="IKW31" s="161"/>
      <c r="IKX31" s="194"/>
      <c r="IKY31" s="194"/>
      <c r="IKZ31" s="194"/>
      <c r="ILA31" s="194"/>
      <c r="ILB31" s="194"/>
      <c r="ILC31" s="194"/>
      <c r="ILD31" s="161"/>
      <c r="ILE31" s="195"/>
      <c r="ILF31" s="195"/>
      <c r="ILG31" s="161"/>
      <c r="ILH31" s="161"/>
      <c r="ILI31" s="161"/>
      <c r="ILJ31" s="161"/>
      <c r="ILK31" s="196"/>
      <c r="ILL31" s="196"/>
      <c r="ILM31" s="192"/>
      <c r="ILN31" s="181"/>
      <c r="ILO31" s="180"/>
      <c r="ILP31" s="197"/>
      <c r="ILQ31" s="179"/>
      <c r="ILR31" s="196"/>
      <c r="ILS31" s="179"/>
      <c r="ILT31" s="196"/>
      <c r="ILU31" s="196"/>
      <c r="ILV31" s="161"/>
      <c r="ILW31" s="193"/>
      <c r="ILX31" s="193"/>
      <c r="ILY31" s="194"/>
      <c r="ILZ31" s="194"/>
      <c r="IMA31" s="194"/>
      <c r="IMB31" s="194"/>
      <c r="IMC31" s="194"/>
      <c r="IMD31" s="161"/>
      <c r="IME31" s="161"/>
      <c r="IMF31" s="194"/>
      <c r="IMG31" s="161"/>
      <c r="IMH31" s="193"/>
      <c r="IMI31" s="194"/>
      <c r="IMJ31" s="161"/>
      <c r="IMK31" s="161"/>
      <c r="IML31" s="161"/>
      <c r="IMM31" s="194"/>
      <c r="IMN31" s="194"/>
      <c r="IMO31" s="194"/>
      <c r="IMP31" s="161"/>
      <c r="IMQ31" s="194"/>
      <c r="IMR31" s="194"/>
      <c r="IMS31" s="161"/>
      <c r="IMT31" s="194"/>
      <c r="IMU31" s="194"/>
      <c r="IMV31" s="194"/>
      <c r="IMW31" s="194"/>
      <c r="IMX31" s="194"/>
      <c r="IMY31" s="194"/>
      <c r="IMZ31" s="161"/>
      <c r="INA31" s="195"/>
      <c r="INB31" s="195"/>
      <c r="INC31" s="161"/>
      <c r="IND31" s="161"/>
      <c r="INE31" s="161"/>
      <c r="INF31" s="161"/>
      <c r="ING31" s="196"/>
      <c r="INH31" s="196"/>
      <c r="INI31" s="192"/>
      <c r="INJ31" s="181"/>
      <c r="INK31" s="180"/>
      <c r="INL31" s="197"/>
      <c r="INM31" s="179"/>
      <c r="INN31" s="196"/>
      <c r="INO31" s="179"/>
      <c r="INP31" s="196"/>
      <c r="INQ31" s="196"/>
      <c r="INR31" s="161"/>
      <c r="INS31" s="193"/>
      <c r="INT31" s="193"/>
      <c r="INU31" s="194"/>
      <c r="INV31" s="194"/>
      <c r="INW31" s="194"/>
      <c r="INX31" s="194"/>
      <c r="INY31" s="194"/>
      <c r="INZ31" s="161"/>
      <c r="IOA31" s="161"/>
      <c r="IOB31" s="194"/>
      <c r="IOC31" s="161"/>
      <c r="IOD31" s="193"/>
      <c r="IOE31" s="194"/>
      <c r="IOF31" s="161"/>
      <c r="IOG31" s="161"/>
      <c r="IOH31" s="161"/>
      <c r="IOI31" s="194"/>
      <c r="IOJ31" s="194"/>
      <c r="IOK31" s="194"/>
      <c r="IOL31" s="161"/>
      <c r="IOM31" s="194"/>
      <c r="ION31" s="194"/>
      <c r="IOO31" s="161"/>
      <c r="IOP31" s="194"/>
      <c r="IOQ31" s="194"/>
      <c r="IOR31" s="194"/>
      <c r="IOS31" s="194"/>
      <c r="IOT31" s="194"/>
      <c r="IOU31" s="194"/>
      <c r="IOV31" s="161"/>
      <c r="IOW31" s="195"/>
      <c r="IOX31" s="195"/>
      <c r="IOY31" s="161"/>
      <c r="IOZ31" s="161"/>
      <c r="IPA31" s="161"/>
      <c r="IPB31" s="161"/>
      <c r="IPC31" s="196"/>
      <c r="IPD31" s="196"/>
      <c r="IPE31" s="192"/>
      <c r="IPF31" s="181"/>
      <c r="IPG31" s="180"/>
      <c r="IPH31" s="197"/>
      <c r="IPI31" s="179"/>
      <c r="IPJ31" s="196"/>
      <c r="IPK31" s="179"/>
      <c r="IPL31" s="196"/>
      <c r="IPM31" s="196"/>
      <c r="IPN31" s="161"/>
      <c r="IPO31" s="193"/>
      <c r="IPP31" s="193"/>
      <c r="IPQ31" s="194"/>
      <c r="IPR31" s="194"/>
      <c r="IPS31" s="194"/>
      <c r="IPT31" s="194"/>
      <c r="IPU31" s="194"/>
      <c r="IPV31" s="161"/>
      <c r="IPW31" s="161"/>
      <c r="IPX31" s="194"/>
      <c r="IPY31" s="161"/>
      <c r="IPZ31" s="193"/>
      <c r="IQA31" s="194"/>
      <c r="IQB31" s="161"/>
      <c r="IQC31" s="161"/>
      <c r="IQD31" s="161"/>
      <c r="IQE31" s="194"/>
      <c r="IQF31" s="194"/>
      <c r="IQG31" s="194"/>
      <c r="IQH31" s="161"/>
      <c r="IQI31" s="194"/>
      <c r="IQJ31" s="194"/>
      <c r="IQK31" s="161"/>
      <c r="IQL31" s="194"/>
      <c r="IQM31" s="194"/>
      <c r="IQN31" s="194"/>
      <c r="IQO31" s="194"/>
      <c r="IQP31" s="194"/>
      <c r="IQQ31" s="194"/>
      <c r="IQR31" s="161"/>
      <c r="IQS31" s="195"/>
      <c r="IQT31" s="195"/>
      <c r="IQU31" s="161"/>
      <c r="IQV31" s="161"/>
      <c r="IQW31" s="161"/>
      <c r="IQX31" s="161"/>
      <c r="IQY31" s="196"/>
      <c r="IQZ31" s="196"/>
      <c r="IRA31" s="192"/>
      <c r="IRB31" s="181"/>
      <c r="IRC31" s="180"/>
      <c r="IRD31" s="197"/>
      <c r="IRE31" s="179"/>
      <c r="IRF31" s="196"/>
      <c r="IRG31" s="179"/>
      <c r="IRH31" s="196"/>
      <c r="IRI31" s="196"/>
      <c r="IRJ31" s="161"/>
      <c r="IRK31" s="193"/>
      <c r="IRL31" s="193"/>
      <c r="IRM31" s="194"/>
      <c r="IRN31" s="194"/>
      <c r="IRO31" s="194"/>
      <c r="IRP31" s="194"/>
      <c r="IRQ31" s="194"/>
      <c r="IRR31" s="161"/>
      <c r="IRS31" s="161"/>
      <c r="IRT31" s="194"/>
      <c r="IRU31" s="161"/>
      <c r="IRV31" s="193"/>
      <c r="IRW31" s="194"/>
      <c r="IRX31" s="161"/>
      <c r="IRY31" s="161"/>
      <c r="IRZ31" s="161"/>
      <c r="ISA31" s="194"/>
      <c r="ISB31" s="194"/>
      <c r="ISC31" s="194"/>
      <c r="ISD31" s="161"/>
      <c r="ISE31" s="194"/>
      <c r="ISF31" s="194"/>
      <c r="ISG31" s="161"/>
      <c r="ISH31" s="194"/>
      <c r="ISI31" s="194"/>
      <c r="ISJ31" s="194"/>
      <c r="ISK31" s="194"/>
      <c r="ISL31" s="194"/>
      <c r="ISM31" s="194"/>
      <c r="ISN31" s="161"/>
      <c r="ISO31" s="195"/>
      <c r="ISP31" s="195"/>
      <c r="ISQ31" s="161"/>
      <c r="ISR31" s="161"/>
      <c r="ISS31" s="161"/>
      <c r="IST31" s="161"/>
      <c r="ISU31" s="196"/>
      <c r="ISV31" s="196"/>
      <c r="ISW31" s="192"/>
      <c r="ISX31" s="181"/>
      <c r="ISY31" s="180"/>
      <c r="ISZ31" s="197"/>
      <c r="ITA31" s="179"/>
      <c r="ITB31" s="196"/>
      <c r="ITC31" s="179"/>
      <c r="ITD31" s="196"/>
      <c r="ITE31" s="196"/>
      <c r="ITF31" s="161"/>
      <c r="ITG31" s="193"/>
      <c r="ITH31" s="193"/>
      <c r="ITI31" s="194"/>
      <c r="ITJ31" s="194"/>
      <c r="ITK31" s="194"/>
      <c r="ITL31" s="194"/>
      <c r="ITM31" s="194"/>
      <c r="ITN31" s="161"/>
      <c r="ITO31" s="161"/>
      <c r="ITP31" s="194"/>
      <c r="ITQ31" s="161"/>
      <c r="ITR31" s="193"/>
      <c r="ITS31" s="194"/>
      <c r="ITT31" s="161"/>
      <c r="ITU31" s="161"/>
      <c r="ITV31" s="161"/>
      <c r="ITW31" s="194"/>
      <c r="ITX31" s="194"/>
      <c r="ITY31" s="194"/>
      <c r="ITZ31" s="161"/>
      <c r="IUA31" s="194"/>
      <c r="IUB31" s="194"/>
      <c r="IUC31" s="161"/>
      <c r="IUD31" s="194"/>
      <c r="IUE31" s="194"/>
      <c r="IUF31" s="194"/>
      <c r="IUG31" s="194"/>
      <c r="IUH31" s="194"/>
      <c r="IUI31" s="194"/>
      <c r="IUJ31" s="161"/>
      <c r="IUK31" s="195"/>
      <c r="IUL31" s="195"/>
      <c r="IUM31" s="161"/>
      <c r="IUN31" s="161"/>
      <c r="IUO31" s="161"/>
      <c r="IUP31" s="161"/>
      <c r="IUQ31" s="196"/>
      <c r="IUR31" s="196"/>
      <c r="IUS31" s="192"/>
      <c r="IUT31" s="181"/>
      <c r="IUU31" s="180"/>
      <c r="IUV31" s="197"/>
      <c r="IUW31" s="179"/>
      <c r="IUX31" s="196"/>
      <c r="IUY31" s="179"/>
      <c r="IUZ31" s="196"/>
      <c r="IVA31" s="196"/>
      <c r="IVB31" s="161"/>
      <c r="IVC31" s="193"/>
      <c r="IVD31" s="193"/>
      <c r="IVE31" s="194"/>
      <c r="IVF31" s="194"/>
      <c r="IVG31" s="194"/>
      <c r="IVH31" s="194"/>
      <c r="IVI31" s="194"/>
      <c r="IVJ31" s="161"/>
      <c r="IVK31" s="161"/>
      <c r="IVL31" s="194"/>
      <c r="IVM31" s="161"/>
      <c r="IVN31" s="193"/>
      <c r="IVO31" s="194"/>
      <c r="IVP31" s="161"/>
      <c r="IVQ31" s="161"/>
      <c r="IVR31" s="161"/>
      <c r="IVS31" s="194"/>
      <c r="IVT31" s="194"/>
      <c r="IVU31" s="194"/>
      <c r="IVV31" s="161"/>
      <c r="IVW31" s="194"/>
      <c r="IVX31" s="194"/>
      <c r="IVY31" s="161"/>
      <c r="IVZ31" s="194"/>
      <c r="IWA31" s="194"/>
      <c r="IWB31" s="194"/>
      <c r="IWC31" s="194"/>
      <c r="IWD31" s="194"/>
      <c r="IWE31" s="194"/>
      <c r="IWF31" s="161"/>
      <c r="IWG31" s="195"/>
      <c r="IWH31" s="195"/>
      <c r="IWI31" s="161"/>
      <c r="IWJ31" s="161"/>
      <c r="IWK31" s="161"/>
      <c r="IWL31" s="161"/>
      <c r="IWM31" s="196"/>
      <c r="IWN31" s="196"/>
      <c r="IWO31" s="192"/>
      <c r="IWP31" s="181"/>
      <c r="IWQ31" s="180"/>
      <c r="IWR31" s="197"/>
      <c r="IWS31" s="179"/>
      <c r="IWT31" s="196"/>
      <c r="IWU31" s="179"/>
      <c r="IWV31" s="196"/>
      <c r="IWW31" s="196"/>
      <c r="IWX31" s="161"/>
      <c r="IWY31" s="193"/>
      <c r="IWZ31" s="193"/>
      <c r="IXA31" s="194"/>
      <c r="IXB31" s="194"/>
      <c r="IXC31" s="194"/>
      <c r="IXD31" s="194"/>
      <c r="IXE31" s="194"/>
      <c r="IXF31" s="161"/>
      <c r="IXG31" s="161"/>
      <c r="IXH31" s="194"/>
      <c r="IXI31" s="161"/>
      <c r="IXJ31" s="193"/>
      <c r="IXK31" s="194"/>
      <c r="IXL31" s="161"/>
      <c r="IXM31" s="161"/>
      <c r="IXN31" s="161"/>
      <c r="IXO31" s="194"/>
      <c r="IXP31" s="194"/>
      <c r="IXQ31" s="194"/>
      <c r="IXR31" s="161"/>
      <c r="IXS31" s="194"/>
      <c r="IXT31" s="194"/>
      <c r="IXU31" s="161"/>
      <c r="IXV31" s="194"/>
      <c r="IXW31" s="194"/>
      <c r="IXX31" s="194"/>
      <c r="IXY31" s="194"/>
      <c r="IXZ31" s="194"/>
      <c r="IYA31" s="194"/>
      <c r="IYB31" s="161"/>
      <c r="IYC31" s="195"/>
      <c r="IYD31" s="195"/>
      <c r="IYE31" s="161"/>
      <c r="IYF31" s="161"/>
      <c r="IYG31" s="161"/>
      <c r="IYH31" s="161"/>
      <c r="IYI31" s="196"/>
      <c r="IYJ31" s="196"/>
      <c r="IYK31" s="192"/>
      <c r="IYL31" s="181"/>
      <c r="IYM31" s="180"/>
      <c r="IYN31" s="197"/>
      <c r="IYO31" s="179"/>
      <c r="IYP31" s="196"/>
      <c r="IYQ31" s="179"/>
      <c r="IYR31" s="196"/>
      <c r="IYS31" s="196"/>
      <c r="IYT31" s="161"/>
      <c r="IYU31" s="193"/>
      <c r="IYV31" s="193"/>
      <c r="IYW31" s="194"/>
      <c r="IYX31" s="194"/>
      <c r="IYY31" s="194"/>
      <c r="IYZ31" s="194"/>
      <c r="IZA31" s="194"/>
      <c r="IZB31" s="161"/>
      <c r="IZC31" s="161"/>
      <c r="IZD31" s="194"/>
      <c r="IZE31" s="161"/>
      <c r="IZF31" s="193"/>
      <c r="IZG31" s="194"/>
      <c r="IZH31" s="161"/>
      <c r="IZI31" s="161"/>
      <c r="IZJ31" s="161"/>
      <c r="IZK31" s="194"/>
      <c r="IZL31" s="194"/>
      <c r="IZM31" s="194"/>
      <c r="IZN31" s="161"/>
      <c r="IZO31" s="194"/>
      <c r="IZP31" s="194"/>
      <c r="IZQ31" s="161"/>
      <c r="IZR31" s="194"/>
      <c r="IZS31" s="194"/>
      <c r="IZT31" s="194"/>
      <c r="IZU31" s="194"/>
      <c r="IZV31" s="194"/>
      <c r="IZW31" s="194"/>
      <c r="IZX31" s="161"/>
      <c r="IZY31" s="195"/>
      <c r="IZZ31" s="195"/>
      <c r="JAA31" s="161"/>
      <c r="JAB31" s="161"/>
      <c r="JAC31" s="161"/>
      <c r="JAD31" s="161"/>
      <c r="JAE31" s="196"/>
      <c r="JAF31" s="196"/>
      <c r="JAG31" s="192"/>
      <c r="JAH31" s="181"/>
      <c r="JAI31" s="180"/>
      <c r="JAJ31" s="197"/>
      <c r="JAK31" s="179"/>
      <c r="JAL31" s="196"/>
      <c r="JAM31" s="179"/>
      <c r="JAN31" s="196"/>
      <c r="JAO31" s="196"/>
      <c r="JAP31" s="161"/>
      <c r="JAQ31" s="193"/>
      <c r="JAR31" s="193"/>
      <c r="JAS31" s="194"/>
      <c r="JAT31" s="194"/>
      <c r="JAU31" s="194"/>
      <c r="JAV31" s="194"/>
      <c r="JAW31" s="194"/>
      <c r="JAX31" s="161"/>
      <c r="JAY31" s="161"/>
      <c r="JAZ31" s="194"/>
      <c r="JBA31" s="161"/>
      <c r="JBB31" s="193"/>
      <c r="JBC31" s="194"/>
      <c r="JBD31" s="161"/>
      <c r="JBE31" s="161"/>
      <c r="JBF31" s="161"/>
      <c r="JBG31" s="194"/>
      <c r="JBH31" s="194"/>
      <c r="JBI31" s="194"/>
      <c r="JBJ31" s="161"/>
      <c r="JBK31" s="194"/>
      <c r="JBL31" s="194"/>
      <c r="JBM31" s="161"/>
      <c r="JBN31" s="194"/>
      <c r="JBO31" s="194"/>
      <c r="JBP31" s="194"/>
      <c r="JBQ31" s="194"/>
      <c r="JBR31" s="194"/>
      <c r="JBS31" s="194"/>
      <c r="JBT31" s="161"/>
      <c r="JBU31" s="195"/>
      <c r="JBV31" s="195"/>
      <c r="JBW31" s="161"/>
      <c r="JBX31" s="161"/>
      <c r="JBY31" s="161"/>
      <c r="JBZ31" s="161"/>
      <c r="JCA31" s="196"/>
      <c r="JCB31" s="196"/>
      <c r="JCC31" s="192"/>
      <c r="JCD31" s="181"/>
      <c r="JCE31" s="180"/>
      <c r="JCF31" s="197"/>
      <c r="JCG31" s="179"/>
      <c r="JCH31" s="196"/>
      <c r="JCI31" s="179"/>
      <c r="JCJ31" s="196"/>
      <c r="JCK31" s="196"/>
      <c r="JCL31" s="161"/>
      <c r="JCM31" s="193"/>
      <c r="JCN31" s="193"/>
      <c r="JCO31" s="194"/>
      <c r="JCP31" s="194"/>
      <c r="JCQ31" s="194"/>
      <c r="JCR31" s="194"/>
      <c r="JCS31" s="194"/>
      <c r="JCT31" s="161"/>
      <c r="JCU31" s="161"/>
      <c r="JCV31" s="194"/>
      <c r="JCW31" s="161"/>
      <c r="JCX31" s="193"/>
      <c r="JCY31" s="194"/>
      <c r="JCZ31" s="161"/>
      <c r="JDA31" s="161"/>
      <c r="JDB31" s="161"/>
      <c r="JDC31" s="194"/>
      <c r="JDD31" s="194"/>
      <c r="JDE31" s="194"/>
      <c r="JDF31" s="161"/>
      <c r="JDG31" s="194"/>
      <c r="JDH31" s="194"/>
      <c r="JDI31" s="161"/>
      <c r="JDJ31" s="194"/>
      <c r="JDK31" s="194"/>
      <c r="JDL31" s="194"/>
      <c r="JDM31" s="194"/>
      <c r="JDN31" s="194"/>
      <c r="JDO31" s="194"/>
      <c r="JDP31" s="161"/>
      <c r="JDQ31" s="195"/>
      <c r="JDR31" s="195"/>
      <c r="JDS31" s="161"/>
      <c r="JDT31" s="161"/>
      <c r="JDU31" s="161"/>
      <c r="JDV31" s="161"/>
      <c r="JDW31" s="196"/>
      <c r="JDX31" s="196"/>
      <c r="JDY31" s="192"/>
      <c r="JDZ31" s="181"/>
      <c r="JEA31" s="180"/>
      <c r="JEB31" s="197"/>
      <c r="JEC31" s="179"/>
      <c r="JED31" s="196"/>
      <c r="JEE31" s="179"/>
      <c r="JEF31" s="196"/>
      <c r="JEG31" s="196"/>
      <c r="JEH31" s="161"/>
      <c r="JEI31" s="193"/>
      <c r="JEJ31" s="193"/>
      <c r="JEK31" s="194"/>
      <c r="JEL31" s="194"/>
      <c r="JEM31" s="194"/>
      <c r="JEN31" s="194"/>
      <c r="JEO31" s="194"/>
      <c r="JEP31" s="161"/>
      <c r="JEQ31" s="161"/>
      <c r="JER31" s="194"/>
      <c r="JES31" s="161"/>
      <c r="JET31" s="193"/>
      <c r="JEU31" s="194"/>
      <c r="JEV31" s="161"/>
      <c r="JEW31" s="161"/>
      <c r="JEX31" s="161"/>
      <c r="JEY31" s="194"/>
      <c r="JEZ31" s="194"/>
      <c r="JFA31" s="194"/>
      <c r="JFB31" s="161"/>
      <c r="JFC31" s="194"/>
      <c r="JFD31" s="194"/>
      <c r="JFE31" s="161"/>
      <c r="JFF31" s="194"/>
      <c r="JFG31" s="194"/>
      <c r="JFH31" s="194"/>
      <c r="JFI31" s="194"/>
      <c r="JFJ31" s="194"/>
      <c r="JFK31" s="194"/>
      <c r="JFL31" s="161"/>
      <c r="JFM31" s="195"/>
      <c r="JFN31" s="195"/>
      <c r="JFO31" s="161"/>
      <c r="JFP31" s="161"/>
      <c r="JFQ31" s="161"/>
      <c r="JFR31" s="161"/>
      <c r="JFS31" s="196"/>
      <c r="JFT31" s="196"/>
      <c r="JFU31" s="192"/>
      <c r="JFV31" s="181"/>
      <c r="JFW31" s="180"/>
      <c r="JFX31" s="197"/>
      <c r="JFY31" s="179"/>
      <c r="JFZ31" s="196"/>
      <c r="JGA31" s="179"/>
      <c r="JGB31" s="196"/>
      <c r="JGC31" s="196"/>
      <c r="JGD31" s="161"/>
      <c r="JGE31" s="193"/>
      <c r="JGF31" s="193"/>
      <c r="JGG31" s="194"/>
      <c r="JGH31" s="194"/>
      <c r="JGI31" s="194"/>
      <c r="JGJ31" s="194"/>
      <c r="JGK31" s="194"/>
      <c r="JGL31" s="161"/>
      <c r="JGM31" s="161"/>
      <c r="JGN31" s="194"/>
      <c r="JGO31" s="161"/>
      <c r="JGP31" s="193"/>
      <c r="JGQ31" s="194"/>
      <c r="JGR31" s="161"/>
      <c r="JGS31" s="161"/>
      <c r="JGT31" s="161"/>
      <c r="JGU31" s="194"/>
      <c r="JGV31" s="194"/>
      <c r="JGW31" s="194"/>
      <c r="JGX31" s="161"/>
      <c r="JGY31" s="194"/>
      <c r="JGZ31" s="194"/>
      <c r="JHA31" s="161"/>
      <c r="JHB31" s="194"/>
      <c r="JHC31" s="194"/>
      <c r="JHD31" s="194"/>
      <c r="JHE31" s="194"/>
      <c r="JHF31" s="194"/>
      <c r="JHG31" s="194"/>
      <c r="JHH31" s="161"/>
      <c r="JHI31" s="195"/>
      <c r="JHJ31" s="195"/>
      <c r="JHK31" s="161"/>
      <c r="JHL31" s="161"/>
      <c r="JHM31" s="161"/>
      <c r="JHN31" s="161"/>
      <c r="JHO31" s="196"/>
      <c r="JHP31" s="196"/>
      <c r="JHQ31" s="192"/>
      <c r="JHR31" s="181"/>
      <c r="JHS31" s="180"/>
      <c r="JHT31" s="197"/>
      <c r="JHU31" s="179"/>
      <c r="JHV31" s="196"/>
      <c r="JHW31" s="179"/>
      <c r="JHX31" s="196"/>
      <c r="JHY31" s="196"/>
      <c r="JHZ31" s="161"/>
      <c r="JIA31" s="193"/>
      <c r="JIB31" s="193"/>
      <c r="JIC31" s="194"/>
      <c r="JID31" s="194"/>
      <c r="JIE31" s="194"/>
      <c r="JIF31" s="194"/>
      <c r="JIG31" s="194"/>
      <c r="JIH31" s="161"/>
      <c r="JII31" s="161"/>
      <c r="JIJ31" s="194"/>
      <c r="JIK31" s="161"/>
      <c r="JIL31" s="193"/>
      <c r="JIM31" s="194"/>
      <c r="JIN31" s="161"/>
      <c r="JIO31" s="161"/>
      <c r="JIP31" s="161"/>
      <c r="JIQ31" s="194"/>
      <c r="JIR31" s="194"/>
      <c r="JIS31" s="194"/>
      <c r="JIT31" s="161"/>
      <c r="JIU31" s="194"/>
      <c r="JIV31" s="194"/>
      <c r="JIW31" s="161"/>
      <c r="JIX31" s="194"/>
      <c r="JIY31" s="194"/>
      <c r="JIZ31" s="194"/>
      <c r="JJA31" s="194"/>
      <c r="JJB31" s="194"/>
      <c r="JJC31" s="194"/>
      <c r="JJD31" s="161"/>
      <c r="JJE31" s="195"/>
      <c r="JJF31" s="195"/>
      <c r="JJG31" s="161"/>
      <c r="JJH31" s="161"/>
      <c r="JJI31" s="161"/>
      <c r="JJJ31" s="161"/>
      <c r="JJK31" s="196"/>
      <c r="JJL31" s="196"/>
      <c r="JJM31" s="192"/>
      <c r="JJN31" s="181"/>
      <c r="JJO31" s="180"/>
      <c r="JJP31" s="197"/>
      <c r="JJQ31" s="179"/>
      <c r="JJR31" s="196"/>
      <c r="JJS31" s="179"/>
      <c r="JJT31" s="196"/>
      <c r="JJU31" s="196"/>
      <c r="JJV31" s="161"/>
      <c r="JJW31" s="193"/>
      <c r="JJX31" s="193"/>
      <c r="JJY31" s="194"/>
      <c r="JJZ31" s="194"/>
      <c r="JKA31" s="194"/>
      <c r="JKB31" s="194"/>
      <c r="JKC31" s="194"/>
      <c r="JKD31" s="161"/>
      <c r="JKE31" s="161"/>
      <c r="JKF31" s="194"/>
      <c r="JKG31" s="161"/>
      <c r="JKH31" s="193"/>
      <c r="JKI31" s="194"/>
      <c r="JKJ31" s="161"/>
      <c r="JKK31" s="161"/>
      <c r="JKL31" s="161"/>
      <c r="JKM31" s="194"/>
      <c r="JKN31" s="194"/>
      <c r="JKO31" s="194"/>
      <c r="JKP31" s="161"/>
      <c r="JKQ31" s="194"/>
      <c r="JKR31" s="194"/>
      <c r="JKS31" s="161"/>
      <c r="JKT31" s="194"/>
      <c r="JKU31" s="194"/>
      <c r="JKV31" s="194"/>
      <c r="JKW31" s="194"/>
      <c r="JKX31" s="194"/>
      <c r="JKY31" s="194"/>
      <c r="JKZ31" s="161"/>
      <c r="JLA31" s="195"/>
      <c r="JLB31" s="195"/>
      <c r="JLC31" s="161"/>
      <c r="JLD31" s="161"/>
      <c r="JLE31" s="161"/>
      <c r="JLF31" s="161"/>
      <c r="JLG31" s="196"/>
      <c r="JLH31" s="196"/>
      <c r="JLI31" s="192"/>
      <c r="JLJ31" s="181"/>
      <c r="JLK31" s="180"/>
      <c r="JLL31" s="197"/>
      <c r="JLM31" s="179"/>
      <c r="JLN31" s="196"/>
      <c r="JLO31" s="179"/>
      <c r="JLP31" s="196"/>
      <c r="JLQ31" s="196"/>
      <c r="JLR31" s="161"/>
      <c r="JLS31" s="193"/>
      <c r="JLT31" s="193"/>
      <c r="JLU31" s="194"/>
      <c r="JLV31" s="194"/>
      <c r="JLW31" s="194"/>
      <c r="JLX31" s="194"/>
      <c r="JLY31" s="194"/>
      <c r="JLZ31" s="161"/>
      <c r="JMA31" s="161"/>
      <c r="JMB31" s="194"/>
      <c r="JMC31" s="161"/>
      <c r="JMD31" s="193"/>
      <c r="JME31" s="194"/>
      <c r="JMF31" s="161"/>
      <c r="JMG31" s="161"/>
      <c r="JMH31" s="161"/>
      <c r="JMI31" s="194"/>
      <c r="JMJ31" s="194"/>
      <c r="JMK31" s="194"/>
      <c r="JML31" s="161"/>
      <c r="JMM31" s="194"/>
      <c r="JMN31" s="194"/>
      <c r="JMO31" s="161"/>
      <c r="JMP31" s="194"/>
      <c r="JMQ31" s="194"/>
      <c r="JMR31" s="194"/>
      <c r="JMS31" s="194"/>
      <c r="JMT31" s="194"/>
      <c r="JMU31" s="194"/>
      <c r="JMV31" s="161"/>
      <c r="JMW31" s="195"/>
      <c r="JMX31" s="195"/>
      <c r="JMY31" s="161"/>
      <c r="JMZ31" s="161"/>
      <c r="JNA31" s="161"/>
      <c r="JNB31" s="161"/>
      <c r="JNC31" s="196"/>
      <c r="JND31" s="196"/>
      <c r="JNE31" s="192"/>
      <c r="JNF31" s="181"/>
      <c r="JNG31" s="180"/>
      <c r="JNH31" s="197"/>
      <c r="JNI31" s="179"/>
      <c r="JNJ31" s="196"/>
      <c r="JNK31" s="179"/>
      <c r="JNL31" s="196"/>
      <c r="JNM31" s="196"/>
      <c r="JNN31" s="161"/>
      <c r="JNO31" s="193"/>
      <c r="JNP31" s="193"/>
      <c r="JNQ31" s="194"/>
      <c r="JNR31" s="194"/>
      <c r="JNS31" s="194"/>
      <c r="JNT31" s="194"/>
      <c r="JNU31" s="194"/>
      <c r="JNV31" s="161"/>
      <c r="JNW31" s="161"/>
      <c r="JNX31" s="194"/>
      <c r="JNY31" s="161"/>
      <c r="JNZ31" s="193"/>
      <c r="JOA31" s="194"/>
      <c r="JOB31" s="161"/>
      <c r="JOC31" s="161"/>
      <c r="JOD31" s="161"/>
      <c r="JOE31" s="194"/>
      <c r="JOF31" s="194"/>
      <c r="JOG31" s="194"/>
      <c r="JOH31" s="161"/>
      <c r="JOI31" s="194"/>
      <c r="JOJ31" s="194"/>
      <c r="JOK31" s="161"/>
      <c r="JOL31" s="194"/>
      <c r="JOM31" s="194"/>
      <c r="JON31" s="194"/>
      <c r="JOO31" s="194"/>
      <c r="JOP31" s="194"/>
      <c r="JOQ31" s="194"/>
      <c r="JOR31" s="161"/>
      <c r="JOS31" s="195"/>
      <c r="JOT31" s="195"/>
      <c r="JOU31" s="161"/>
      <c r="JOV31" s="161"/>
      <c r="JOW31" s="161"/>
      <c r="JOX31" s="161"/>
      <c r="JOY31" s="196"/>
      <c r="JOZ31" s="196"/>
      <c r="JPA31" s="192"/>
      <c r="JPB31" s="181"/>
      <c r="JPC31" s="180"/>
      <c r="JPD31" s="197"/>
      <c r="JPE31" s="179"/>
      <c r="JPF31" s="196"/>
      <c r="JPG31" s="179"/>
      <c r="JPH31" s="196"/>
      <c r="JPI31" s="196"/>
      <c r="JPJ31" s="161"/>
      <c r="JPK31" s="193"/>
      <c r="JPL31" s="193"/>
      <c r="JPM31" s="194"/>
      <c r="JPN31" s="194"/>
      <c r="JPO31" s="194"/>
      <c r="JPP31" s="194"/>
      <c r="JPQ31" s="194"/>
      <c r="JPR31" s="161"/>
      <c r="JPS31" s="161"/>
      <c r="JPT31" s="194"/>
      <c r="JPU31" s="161"/>
      <c r="JPV31" s="193"/>
      <c r="JPW31" s="194"/>
      <c r="JPX31" s="161"/>
      <c r="JPY31" s="161"/>
      <c r="JPZ31" s="161"/>
      <c r="JQA31" s="194"/>
      <c r="JQB31" s="194"/>
      <c r="JQC31" s="194"/>
      <c r="JQD31" s="161"/>
      <c r="JQE31" s="194"/>
      <c r="JQF31" s="194"/>
      <c r="JQG31" s="161"/>
      <c r="JQH31" s="194"/>
      <c r="JQI31" s="194"/>
      <c r="JQJ31" s="194"/>
      <c r="JQK31" s="194"/>
      <c r="JQL31" s="194"/>
      <c r="JQM31" s="194"/>
      <c r="JQN31" s="161"/>
      <c r="JQO31" s="195"/>
      <c r="JQP31" s="195"/>
      <c r="JQQ31" s="161"/>
      <c r="JQR31" s="161"/>
      <c r="JQS31" s="161"/>
      <c r="JQT31" s="161"/>
      <c r="JQU31" s="196"/>
      <c r="JQV31" s="196"/>
      <c r="JQW31" s="192"/>
      <c r="JQX31" s="181"/>
      <c r="JQY31" s="180"/>
      <c r="JQZ31" s="197"/>
      <c r="JRA31" s="179"/>
      <c r="JRB31" s="196"/>
      <c r="JRC31" s="179"/>
      <c r="JRD31" s="196"/>
      <c r="JRE31" s="196"/>
      <c r="JRF31" s="161"/>
      <c r="JRG31" s="193"/>
      <c r="JRH31" s="193"/>
      <c r="JRI31" s="194"/>
      <c r="JRJ31" s="194"/>
      <c r="JRK31" s="194"/>
      <c r="JRL31" s="194"/>
      <c r="JRM31" s="194"/>
      <c r="JRN31" s="161"/>
      <c r="JRO31" s="161"/>
      <c r="JRP31" s="194"/>
      <c r="JRQ31" s="161"/>
      <c r="JRR31" s="193"/>
      <c r="JRS31" s="194"/>
      <c r="JRT31" s="161"/>
      <c r="JRU31" s="161"/>
      <c r="JRV31" s="161"/>
      <c r="JRW31" s="194"/>
      <c r="JRX31" s="194"/>
      <c r="JRY31" s="194"/>
      <c r="JRZ31" s="161"/>
      <c r="JSA31" s="194"/>
      <c r="JSB31" s="194"/>
      <c r="JSC31" s="161"/>
      <c r="JSD31" s="194"/>
      <c r="JSE31" s="194"/>
      <c r="JSF31" s="194"/>
      <c r="JSG31" s="194"/>
      <c r="JSH31" s="194"/>
      <c r="JSI31" s="194"/>
      <c r="JSJ31" s="161"/>
      <c r="JSK31" s="195"/>
      <c r="JSL31" s="195"/>
      <c r="JSM31" s="161"/>
      <c r="JSN31" s="161"/>
      <c r="JSO31" s="161"/>
      <c r="JSP31" s="161"/>
      <c r="JSQ31" s="196"/>
      <c r="JSR31" s="196"/>
      <c r="JSS31" s="192"/>
      <c r="JST31" s="181"/>
      <c r="JSU31" s="180"/>
      <c r="JSV31" s="197"/>
      <c r="JSW31" s="179"/>
      <c r="JSX31" s="196"/>
      <c r="JSY31" s="179"/>
      <c r="JSZ31" s="196"/>
      <c r="JTA31" s="196"/>
      <c r="JTB31" s="161"/>
      <c r="JTC31" s="193"/>
      <c r="JTD31" s="193"/>
      <c r="JTE31" s="194"/>
      <c r="JTF31" s="194"/>
      <c r="JTG31" s="194"/>
      <c r="JTH31" s="194"/>
      <c r="JTI31" s="194"/>
      <c r="JTJ31" s="161"/>
      <c r="JTK31" s="161"/>
      <c r="JTL31" s="194"/>
      <c r="JTM31" s="161"/>
      <c r="JTN31" s="193"/>
      <c r="JTO31" s="194"/>
      <c r="JTP31" s="161"/>
      <c r="JTQ31" s="161"/>
      <c r="JTR31" s="161"/>
      <c r="JTS31" s="194"/>
      <c r="JTT31" s="194"/>
      <c r="JTU31" s="194"/>
      <c r="JTV31" s="161"/>
      <c r="JTW31" s="194"/>
      <c r="JTX31" s="194"/>
      <c r="JTY31" s="161"/>
      <c r="JTZ31" s="194"/>
      <c r="JUA31" s="194"/>
      <c r="JUB31" s="194"/>
      <c r="JUC31" s="194"/>
      <c r="JUD31" s="194"/>
      <c r="JUE31" s="194"/>
      <c r="JUF31" s="161"/>
      <c r="JUG31" s="195"/>
      <c r="JUH31" s="195"/>
      <c r="JUI31" s="161"/>
      <c r="JUJ31" s="161"/>
      <c r="JUK31" s="161"/>
      <c r="JUL31" s="161"/>
      <c r="JUM31" s="196"/>
      <c r="JUN31" s="196"/>
      <c r="JUO31" s="192"/>
      <c r="JUP31" s="181"/>
      <c r="JUQ31" s="180"/>
      <c r="JUR31" s="197"/>
      <c r="JUS31" s="179"/>
      <c r="JUT31" s="196"/>
      <c r="JUU31" s="179"/>
      <c r="JUV31" s="196"/>
      <c r="JUW31" s="196"/>
      <c r="JUX31" s="161"/>
      <c r="JUY31" s="193"/>
      <c r="JUZ31" s="193"/>
      <c r="JVA31" s="194"/>
      <c r="JVB31" s="194"/>
      <c r="JVC31" s="194"/>
      <c r="JVD31" s="194"/>
      <c r="JVE31" s="194"/>
      <c r="JVF31" s="161"/>
      <c r="JVG31" s="161"/>
      <c r="JVH31" s="194"/>
      <c r="JVI31" s="161"/>
      <c r="JVJ31" s="193"/>
      <c r="JVK31" s="194"/>
      <c r="JVL31" s="161"/>
      <c r="JVM31" s="161"/>
      <c r="JVN31" s="161"/>
      <c r="JVO31" s="194"/>
      <c r="JVP31" s="194"/>
      <c r="JVQ31" s="194"/>
      <c r="JVR31" s="161"/>
      <c r="JVS31" s="194"/>
      <c r="JVT31" s="194"/>
      <c r="JVU31" s="161"/>
      <c r="JVV31" s="194"/>
      <c r="JVW31" s="194"/>
      <c r="JVX31" s="194"/>
      <c r="JVY31" s="194"/>
      <c r="JVZ31" s="194"/>
      <c r="JWA31" s="194"/>
      <c r="JWB31" s="161"/>
      <c r="JWC31" s="195"/>
      <c r="JWD31" s="195"/>
      <c r="JWE31" s="161"/>
      <c r="JWF31" s="161"/>
      <c r="JWG31" s="161"/>
      <c r="JWH31" s="161"/>
      <c r="JWI31" s="196"/>
      <c r="JWJ31" s="196"/>
      <c r="JWK31" s="192"/>
      <c r="JWL31" s="181"/>
      <c r="JWM31" s="180"/>
      <c r="JWN31" s="197"/>
      <c r="JWO31" s="179"/>
      <c r="JWP31" s="196"/>
      <c r="JWQ31" s="179"/>
      <c r="JWR31" s="196"/>
      <c r="JWS31" s="196"/>
      <c r="JWT31" s="161"/>
      <c r="JWU31" s="193"/>
      <c r="JWV31" s="193"/>
      <c r="JWW31" s="194"/>
      <c r="JWX31" s="194"/>
      <c r="JWY31" s="194"/>
      <c r="JWZ31" s="194"/>
      <c r="JXA31" s="194"/>
      <c r="JXB31" s="161"/>
      <c r="JXC31" s="161"/>
      <c r="JXD31" s="194"/>
      <c r="JXE31" s="161"/>
      <c r="JXF31" s="193"/>
      <c r="JXG31" s="194"/>
      <c r="JXH31" s="161"/>
      <c r="JXI31" s="161"/>
      <c r="JXJ31" s="161"/>
      <c r="JXK31" s="194"/>
      <c r="JXL31" s="194"/>
      <c r="JXM31" s="194"/>
      <c r="JXN31" s="161"/>
      <c r="JXO31" s="194"/>
      <c r="JXP31" s="194"/>
      <c r="JXQ31" s="161"/>
      <c r="JXR31" s="194"/>
      <c r="JXS31" s="194"/>
      <c r="JXT31" s="194"/>
      <c r="JXU31" s="194"/>
      <c r="JXV31" s="194"/>
      <c r="JXW31" s="194"/>
      <c r="JXX31" s="161"/>
      <c r="JXY31" s="195"/>
      <c r="JXZ31" s="195"/>
      <c r="JYA31" s="161"/>
      <c r="JYB31" s="161"/>
      <c r="JYC31" s="161"/>
      <c r="JYD31" s="161"/>
      <c r="JYE31" s="196"/>
      <c r="JYF31" s="196"/>
      <c r="JYG31" s="192"/>
      <c r="JYH31" s="181"/>
      <c r="JYI31" s="180"/>
      <c r="JYJ31" s="197"/>
      <c r="JYK31" s="179"/>
      <c r="JYL31" s="196"/>
      <c r="JYM31" s="179"/>
      <c r="JYN31" s="196"/>
      <c r="JYO31" s="196"/>
      <c r="JYP31" s="161"/>
      <c r="JYQ31" s="193"/>
      <c r="JYR31" s="193"/>
      <c r="JYS31" s="194"/>
      <c r="JYT31" s="194"/>
      <c r="JYU31" s="194"/>
      <c r="JYV31" s="194"/>
      <c r="JYW31" s="194"/>
      <c r="JYX31" s="161"/>
      <c r="JYY31" s="161"/>
      <c r="JYZ31" s="194"/>
      <c r="JZA31" s="161"/>
      <c r="JZB31" s="193"/>
      <c r="JZC31" s="194"/>
      <c r="JZD31" s="161"/>
      <c r="JZE31" s="161"/>
      <c r="JZF31" s="161"/>
      <c r="JZG31" s="194"/>
      <c r="JZH31" s="194"/>
      <c r="JZI31" s="194"/>
      <c r="JZJ31" s="161"/>
      <c r="JZK31" s="194"/>
      <c r="JZL31" s="194"/>
      <c r="JZM31" s="161"/>
      <c r="JZN31" s="194"/>
      <c r="JZO31" s="194"/>
      <c r="JZP31" s="194"/>
      <c r="JZQ31" s="194"/>
      <c r="JZR31" s="194"/>
      <c r="JZS31" s="194"/>
      <c r="JZT31" s="161"/>
      <c r="JZU31" s="195"/>
      <c r="JZV31" s="195"/>
      <c r="JZW31" s="161"/>
      <c r="JZX31" s="161"/>
      <c r="JZY31" s="161"/>
      <c r="JZZ31" s="161"/>
      <c r="KAA31" s="196"/>
      <c r="KAB31" s="196"/>
      <c r="KAC31" s="192"/>
      <c r="KAD31" s="181"/>
      <c r="KAE31" s="180"/>
      <c r="KAF31" s="197"/>
      <c r="KAG31" s="179"/>
      <c r="KAH31" s="196"/>
      <c r="KAI31" s="179"/>
      <c r="KAJ31" s="196"/>
      <c r="KAK31" s="196"/>
      <c r="KAL31" s="161"/>
      <c r="KAM31" s="193"/>
      <c r="KAN31" s="193"/>
      <c r="KAO31" s="194"/>
      <c r="KAP31" s="194"/>
      <c r="KAQ31" s="194"/>
      <c r="KAR31" s="194"/>
      <c r="KAS31" s="194"/>
      <c r="KAT31" s="161"/>
      <c r="KAU31" s="161"/>
      <c r="KAV31" s="194"/>
      <c r="KAW31" s="161"/>
      <c r="KAX31" s="193"/>
      <c r="KAY31" s="194"/>
      <c r="KAZ31" s="161"/>
      <c r="KBA31" s="161"/>
      <c r="KBB31" s="161"/>
      <c r="KBC31" s="194"/>
      <c r="KBD31" s="194"/>
      <c r="KBE31" s="194"/>
      <c r="KBF31" s="161"/>
      <c r="KBG31" s="194"/>
      <c r="KBH31" s="194"/>
      <c r="KBI31" s="161"/>
      <c r="KBJ31" s="194"/>
      <c r="KBK31" s="194"/>
      <c r="KBL31" s="194"/>
      <c r="KBM31" s="194"/>
      <c r="KBN31" s="194"/>
      <c r="KBO31" s="194"/>
      <c r="KBP31" s="161"/>
      <c r="KBQ31" s="195"/>
      <c r="KBR31" s="195"/>
      <c r="KBS31" s="161"/>
      <c r="KBT31" s="161"/>
      <c r="KBU31" s="161"/>
      <c r="KBV31" s="161"/>
      <c r="KBW31" s="196"/>
      <c r="KBX31" s="196"/>
      <c r="KBY31" s="192"/>
      <c r="KBZ31" s="181"/>
      <c r="KCA31" s="180"/>
      <c r="KCB31" s="197"/>
      <c r="KCC31" s="179"/>
      <c r="KCD31" s="196"/>
      <c r="KCE31" s="179"/>
      <c r="KCF31" s="196"/>
      <c r="KCG31" s="196"/>
      <c r="KCH31" s="161"/>
      <c r="KCI31" s="193"/>
      <c r="KCJ31" s="193"/>
      <c r="KCK31" s="194"/>
      <c r="KCL31" s="194"/>
      <c r="KCM31" s="194"/>
      <c r="KCN31" s="194"/>
      <c r="KCO31" s="194"/>
      <c r="KCP31" s="161"/>
      <c r="KCQ31" s="161"/>
      <c r="KCR31" s="194"/>
      <c r="KCS31" s="161"/>
      <c r="KCT31" s="193"/>
      <c r="KCU31" s="194"/>
      <c r="KCV31" s="161"/>
      <c r="KCW31" s="161"/>
      <c r="KCX31" s="161"/>
      <c r="KCY31" s="194"/>
      <c r="KCZ31" s="194"/>
      <c r="KDA31" s="194"/>
      <c r="KDB31" s="161"/>
      <c r="KDC31" s="194"/>
      <c r="KDD31" s="194"/>
      <c r="KDE31" s="161"/>
      <c r="KDF31" s="194"/>
      <c r="KDG31" s="194"/>
      <c r="KDH31" s="194"/>
      <c r="KDI31" s="194"/>
      <c r="KDJ31" s="194"/>
      <c r="KDK31" s="194"/>
      <c r="KDL31" s="161"/>
      <c r="KDM31" s="195"/>
      <c r="KDN31" s="195"/>
      <c r="KDO31" s="161"/>
      <c r="KDP31" s="161"/>
      <c r="KDQ31" s="161"/>
      <c r="KDR31" s="161"/>
      <c r="KDS31" s="196"/>
      <c r="KDT31" s="196"/>
      <c r="KDU31" s="192"/>
      <c r="KDV31" s="181"/>
      <c r="KDW31" s="180"/>
      <c r="KDX31" s="197"/>
      <c r="KDY31" s="179"/>
      <c r="KDZ31" s="196"/>
      <c r="KEA31" s="179"/>
      <c r="KEB31" s="196"/>
      <c r="KEC31" s="196"/>
      <c r="KED31" s="161"/>
      <c r="KEE31" s="193"/>
      <c r="KEF31" s="193"/>
      <c r="KEG31" s="194"/>
      <c r="KEH31" s="194"/>
      <c r="KEI31" s="194"/>
      <c r="KEJ31" s="194"/>
      <c r="KEK31" s="194"/>
      <c r="KEL31" s="161"/>
      <c r="KEM31" s="161"/>
      <c r="KEN31" s="194"/>
      <c r="KEO31" s="161"/>
      <c r="KEP31" s="193"/>
      <c r="KEQ31" s="194"/>
      <c r="KER31" s="161"/>
      <c r="KES31" s="161"/>
      <c r="KET31" s="161"/>
      <c r="KEU31" s="194"/>
      <c r="KEV31" s="194"/>
      <c r="KEW31" s="194"/>
      <c r="KEX31" s="161"/>
      <c r="KEY31" s="194"/>
      <c r="KEZ31" s="194"/>
      <c r="KFA31" s="161"/>
      <c r="KFB31" s="194"/>
      <c r="KFC31" s="194"/>
      <c r="KFD31" s="194"/>
      <c r="KFE31" s="194"/>
      <c r="KFF31" s="194"/>
      <c r="KFG31" s="194"/>
      <c r="KFH31" s="161"/>
      <c r="KFI31" s="195"/>
      <c r="KFJ31" s="195"/>
      <c r="KFK31" s="161"/>
      <c r="KFL31" s="161"/>
      <c r="KFM31" s="161"/>
      <c r="KFN31" s="161"/>
      <c r="KFO31" s="196"/>
      <c r="KFP31" s="196"/>
      <c r="KFQ31" s="192"/>
      <c r="KFR31" s="181"/>
      <c r="KFS31" s="180"/>
      <c r="KFT31" s="197"/>
      <c r="KFU31" s="179"/>
      <c r="KFV31" s="196"/>
      <c r="KFW31" s="179"/>
      <c r="KFX31" s="196"/>
      <c r="KFY31" s="196"/>
      <c r="KFZ31" s="161"/>
      <c r="KGA31" s="193"/>
      <c r="KGB31" s="193"/>
      <c r="KGC31" s="194"/>
      <c r="KGD31" s="194"/>
      <c r="KGE31" s="194"/>
      <c r="KGF31" s="194"/>
      <c r="KGG31" s="194"/>
      <c r="KGH31" s="161"/>
      <c r="KGI31" s="161"/>
      <c r="KGJ31" s="194"/>
      <c r="KGK31" s="161"/>
      <c r="KGL31" s="193"/>
      <c r="KGM31" s="194"/>
      <c r="KGN31" s="161"/>
      <c r="KGO31" s="161"/>
      <c r="KGP31" s="161"/>
      <c r="KGQ31" s="194"/>
      <c r="KGR31" s="194"/>
      <c r="KGS31" s="194"/>
      <c r="KGT31" s="161"/>
      <c r="KGU31" s="194"/>
      <c r="KGV31" s="194"/>
      <c r="KGW31" s="161"/>
      <c r="KGX31" s="194"/>
      <c r="KGY31" s="194"/>
      <c r="KGZ31" s="194"/>
      <c r="KHA31" s="194"/>
      <c r="KHB31" s="194"/>
      <c r="KHC31" s="194"/>
      <c r="KHD31" s="161"/>
      <c r="KHE31" s="195"/>
      <c r="KHF31" s="195"/>
      <c r="KHG31" s="161"/>
      <c r="KHH31" s="161"/>
      <c r="KHI31" s="161"/>
      <c r="KHJ31" s="161"/>
      <c r="KHK31" s="196"/>
      <c r="KHL31" s="196"/>
      <c r="KHM31" s="192"/>
      <c r="KHN31" s="181"/>
      <c r="KHO31" s="180"/>
      <c r="KHP31" s="197"/>
      <c r="KHQ31" s="179"/>
      <c r="KHR31" s="196"/>
      <c r="KHS31" s="179"/>
      <c r="KHT31" s="196"/>
      <c r="KHU31" s="196"/>
      <c r="KHV31" s="161"/>
      <c r="KHW31" s="193"/>
      <c r="KHX31" s="193"/>
      <c r="KHY31" s="194"/>
      <c r="KHZ31" s="194"/>
      <c r="KIA31" s="194"/>
      <c r="KIB31" s="194"/>
      <c r="KIC31" s="194"/>
      <c r="KID31" s="161"/>
      <c r="KIE31" s="161"/>
      <c r="KIF31" s="194"/>
      <c r="KIG31" s="161"/>
      <c r="KIH31" s="193"/>
      <c r="KII31" s="194"/>
      <c r="KIJ31" s="161"/>
      <c r="KIK31" s="161"/>
      <c r="KIL31" s="161"/>
      <c r="KIM31" s="194"/>
      <c r="KIN31" s="194"/>
      <c r="KIO31" s="194"/>
      <c r="KIP31" s="161"/>
      <c r="KIQ31" s="194"/>
      <c r="KIR31" s="194"/>
      <c r="KIS31" s="161"/>
      <c r="KIT31" s="194"/>
      <c r="KIU31" s="194"/>
      <c r="KIV31" s="194"/>
      <c r="KIW31" s="194"/>
      <c r="KIX31" s="194"/>
      <c r="KIY31" s="194"/>
      <c r="KIZ31" s="161"/>
      <c r="KJA31" s="195"/>
      <c r="KJB31" s="195"/>
      <c r="KJC31" s="161"/>
      <c r="KJD31" s="161"/>
      <c r="KJE31" s="161"/>
      <c r="KJF31" s="161"/>
      <c r="KJG31" s="196"/>
      <c r="KJH31" s="196"/>
      <c r="KJI31" s="192"/>
      <c r="KJJ31" s="181"/>
      <c r="KJK31" s="180"/>
      <c r="KJL31" s="197"/>
      <c r="KJM31" s="179"/>
      <c r="KJN31" s="196"/>
      <c r="KJO31" s="179"/>
      <c r="KJP31" s="196"/>
      <c r="KJQ31" s="196"/>
      <c r="KJR31" s="161"/>
      <c r="KJS31" s="193"/>
      <c r="KJT31" s="193"/>
      <c r="KJU31" s="194"/>
      <c r="KJV31" s="194"/>
      <c r="KJW31" s="194"/>
      <c r="KJX31" s="194"/>
      <c r="KJY31" s="194"/>
      <c r="KJZ31" s="161"/>
      <c r="KKA31" s="161"/>
      <c r="KKB31" s="194"/>
      <c r="KKC31" s="161"/>
      <c r="KKD31" s="193"/>
      <c r="KKE31" s="194"/>
      <c r="KKF31" s="161"/>
      <c r="KKG31" s="161"/>
      <c r="KKH31" s="161"/>
      <c r="KKI31" s="194"/>
      <c r="KKJ31" s="194"/>
      <c r="KKK31" s="194"/>
      <c r="KKL31" s="161"/>
      <c r="KKM31" s="194"/>
      <c r="KKN31" s="194"/>
      <c r="KKO31" s="161"/>
      <c r="KKP31" s="194"/>
      <c r="KKQ31" s="194"/>
      <c r="KKR31" s="194"/>
      <c r="KKS31" s="194"/>
      <c r="KKT31" s="194"/>
      <c r="KKU31" s="194"/>
      <c r="KKV31" s="161"/>
      <c r="KKW31" s="195"/>
      <c r="KKX31" s="195"/>
      <c r="KKY31" s="161"/>
      <c r="KKZ31" s="161"/>
      <c r="KLA31" s="161"/>
      <c r="KLB31" s="161"/>
      <c r="KLC31" s="196"/>
      <c r="KLD31" s="196"/>
      <c r="KLE31" s="192"/>
      <c r="KLF31" s="181"/>
      <c r="KLG31" s="180"/>
      <c r="KLH31" s="197"/>
      <c r="KLI31" s="179"/>
      <c r="KLJ31" s="196"/>
      <c r="KLK31" s="179"/>
      <c r="KLL31" s="196"/>
      <c r="KLM31" s="196"/>
      <c r="KLN31" s="161"/>
      <c r="KLO31" s="193"/>
      <c r="KLP31" s="193"/>
      <c r="KLQ31" s="194"/>
      <c r="KLR31" s="194"/>
      <c r="KLS31" s="194"/>
      <c r="KLT31" s="194"/>
      <c r="KLU31" s="194"/>
      <c r="KLV31" s="161"/>
      <c r="KLW31" s="161"/>
      <c r="KLX31" s="194"/>
      <c r="KLY31" s="161"/>
      <c r="KLZ31" s="193"/>
      <c r="KMA31" s="194"/>
      <c r="KMB31" s="161"/>
      <c r="KMC31" s="161"/>
      <c r="KMD31" s="161"/>
      <c r="KME31" s="194"/>
      <c r="KMF31" s="194"/>
      <c r="KMG31" s="194"/>
      <c r="KMH31" s="161"/>
      <c r="KMI31" s="194"/>
      <c r="KMJ31" s="194"/>
      <c r="KMK31" s="161"/>
      <c r="KML31" s="194"/>
      <c r="KMM31" s="194"/>
      <c r="KMN31" s="194"/>
      <c r="KMO31" s="194"/>
      <c r="KMP31" s="194"/>
      <c r="KMQ31" s="194"/>
      <c r="KMR31" s="161"/>
      <c r="KMS31" s="195"/>
      <c r="KMT31" s="195"/>
      <c r="KMU31" s="161"/>
      <c r="KMV31" s="161"/>
      <c r="KMW31" s="161"/>
      <c r="KMX31" s="161"/>
      <c r="KMY31" s="196"/>
      <c r="KMZ31" s="196"/>
      <c r="KNA31" s="192"/>
      <c r="KNB31" s="181"/>
      <c r="KNC31" s="180"/>
      <c r="KND31" s="197"/>
      <c r="KNE31" s="179"/>
      <c r="KNF31" s="196"/>
      <c r="KNG31" s="179"/>
      <c r="KNH31" s="196"/>
      <c r="KNI31" s="196"/>
      <c r="KNJ31" s="161"/>
      <c r="KNK31" s="193"/>
      <c r="KNL31" s="193"/>
      <c r="KNM31" s="194"/>
      <c r="KNN31" s="194"/>
      <c r="KNO31" s="194"/>
      <c r="KNP31" s="194"/>
      <c r="KNQ31" s="194"/>
      <c r="KNR31" s="161"/>
      <c r="KNS31" s="161"/>
      <c r="KNT31" s="194"/>
      <c r="KNU31" s="161"/>
      <c r="KNV31" s="193"/>
      <c r="KNW31" s="194"/>
      <c r="KNX31" s="161"/>
      <c r="KNY31" s="161"/>
      <c r="KNZ31" s="161"/>
      <c r="KOA31" s="194"/>
      <c r="KOB31" s="194"/>
      <c r="KOC31" s="194"/>
      <c r="KOD31" s="161"/>
      <c r="KOE31" s="194"/>
      <c r="KOF31" s="194"/>
      <c r="KOG31" s="161"/>
      <c r="KOH31" s="194"/>
      <c r="KOI31" s="194"/>
      <c r="KOJ31" s="194"/>
      <c r="KOK31" s="194"/>
      <c r="KOL31" s="194"/>
      <c r="KOM31" s="194"/>
      <c r="KON31" s="161"/>
      <c r="KOO31" s="195"/>
      <c r="KOP31" s="195"/>
      <c r="KOQ31" s="161"/>
      <c r="KOR31" s="161"/>
      <c r="KOS31" s="161"/>
      <c r="KOT31" s="161"/>
      <c r="KOU31" s="196"/>
      <c r="KOV31" s="196"/>
      <c r="KOW31" s="192"/>
      <c r="KOX31" s="181"/>
      <c r="KOY31" s="180"/>
      <c r="KOZ31" s="197"/>
      <c r="KPA31" s="179"/>
      <c r="KPB31" s="196"/>
      <c r="KPC31" s="179"/>
      <c r="KPD31" s="196"/>
      <c r="KPE31" s="196"/>
      <c r="KPF31" s="161"/>
      <c r="KPG31" s="193"/>
      <c r="KPH31" s="193"/>
      <c r="KPI31" s="194"/>
      <c r="KPJ31" s="194"/>
      <c r="KPK31" s="194"/>
      <c r="KPL31" s="194"/>
      <c r="KPM31" s="194"/>
      <c r="KPN31" s="161"/>
      <c r="KPO31" s="161"/>
      <c r="KPP31" s="194"/>
      <c r="KPQ31" s="161"/>
      <c r="KPR31" s="193"/>
      <c r="KPS31" s="194"/>
      <c r="KPT31" s="161"/>
      <c r="KPU31" s="161"/>
      <c r="KPV31" s="161"/>
      <c r="KPW31" s="194"/>
      <c r="KPX31" s="194"/>
      <c r="KPY31" s="194"/>
      <c r="KPZ31" s="161"/>
      <c r="KQA31" s="194"/>
      <c r="KQB31" s="194"/>
      <c r="KQC31" s="161"/>
      <c r="KQD31" s="194"/>
      <c r="KQE31" s="194"/>
      <c r="KQF31" s="194"/>
      <c r="KQG31" s="194"/>
      <c r="KQH31" s="194"/>
      <c r="KQI31" s="194"/>
      <c r="KQJ31" s="161"/>
      <c r="KQK31" s="195"/>
      <c r="KQL31" s="195"/>
      <c r="KQM31" s="161"/>
      <c r="KQN31" s="161"/>
      <c r="KQO31" s="161"/>
      <c r="KQP31" s="161"/>
      <c r="KQQ31" s="196"/>
      <c r="KQR31" s="196"/>
      <c r="KQS31" s="192"/>
      <c r="KQT31" s="181"/>
      <c r="KQU31" s="180"/>
      <c r="KQV31" s="197"/>
      <c r="KQW31" s="179"/>
      <c r="KQX31" s="196"/>
      <c r="KQY31" s="179"/>
      <c r="KQZ31" s="196"/>
      <c r="KRA31" s="196"/>
      <c r="KRB31" s="161"/>
      <c r="KRC31" s="193"/>
      <c r="KRD31" s="193"/>
      <c r="KRE31" s="194"/>
      <c r="KRF31" s="194"/>
      <c r="KRG31" s="194"/>
      <c r="KRH31" s="194"/>
      <c r="KRI31" s="194"/>
      <c r="KRJ31" s="161"/>
      <c r="KRK31" s="161"/>
      <c r="KRL31" s="194"/>
      <c r="KRM31" s="161"/>
      <c r="KRN31" s="193"/>
      <c r="KRO31" s="194"/>
      <c r="KRP31" s="161"/>
      <c r="KRQ31" s="161"/>
      <c r="KRR31" s="161"/>
      <c r="KRS31" s="194"/>
      <c r="KRT31" s="194"/>
      <c r="KRU31" s="194"/>
      <c r="KRV31" s="161"/>
      <c r="KRW31" s="194"/>
      <c r="KRX31" s="194"/>
      <c r="KRY31" s="161"/>
      <c r="KRZ31" s="194"/>
      <c r="KSA31" s="194"/>
      <c r="KSB31" s="194"/>
      <c r="KSC31" s="194"/>
      <c r="KSD31" s="194"/>
      <c r="KSE31" s="194"/>
      <c r="KSF31" s="161"/>
      <c r="KSG31" s="195"/>
      <c r="KSH31" s="195"/>
      <c r="KSI31" s="161"/>
      <c r="KSJ31" s="161"/>
      <c r="KSK31" s="161"/>
      <c r="KSL31" s="161"/>
      <c r="KSM31" s="196"/>
      <c r="KSN31" s="196"/>
      <c r="KSO31" s="192"/>
      <c r="KSP31" s="181"/>
      <c r="KSQ31" s="180"/>
      <c r="KSR31" s="197"/>
      <c r="KSS31" s="179"/>
      <c r="KST31" s="196"/>
      <c r="KSU31" s="179"/>
      <c r="KSV31" s="196"/>
      <c r="KSW31" s="196"/>
      <c r="KSX31" s="161"/>
      <c r="KSY31" s="193"/>
      <c r="KSZ31" s="193"/>
      <c r="KTA31" s="194"/>
      <c r="KTB31" s="194"/>
      <c r="KTC31" s="194"/>
      <c r="KTD31" s="194"/>
      <c r="KTE31" s="194"/>
      <c r="KTF31" s="161"/>
      <c r="KTG31" s="161"/>
      <c r="KTH31" s="194"/>
      <c r="KTI31" s="161"/>
      <c r="KTJ31" s="193"/>
      <c r="KTK31" s="194"/>
      <c r="KTL31" s="161"/>
      <c r="KTM31" s="161"/>
      <c r="KTN31" s="161"/>
      <c r="KTO31" s="194"/>
      <c r="KTP31" s="194"/>
      <c r="KTQ31" s="194"/>
      <c r="KTR31" s="161"/>
      <c r="KTS31" s="194"/>
      <c r="KTT31" s="194"/>
      <c r="KTU31" s="161"/>
      <c r="KTV31" s="194"/>
      <c r="KTW31" s="194"/>
      <c r="KTX31" s="194"/>
      <c r="KTY31" s="194"/>
      <c r="KTZ31" s="194"/>
      <c r="KUA31" s="194"/>
      <c r="KUB31" s="161"/>
      <c r="KUC31" s="195"/>
      <c r="KUD31" s="195"/>
      <c r="KUE31" s="161"/>
      <c r="KUF31" s="161"/>
      <c r="KUG31" s="161"/>
      <c r="KUH31" s="161"/>
      <c r="KUI31" s="196"/>
      <c r="KUJ31" s="196"/>
      <c r="KUK31" s="192"/>
      <c r="KUL31" s="181"/>
      <c r="KUM31" s="180"/>
      <c r="KUN31" s="197"/>
      <c r="KUO31" s="179"/>
      <c r="KUP31" s="196"/>
      <c r="KUQ31" s="179"/>
      <c r="KUR31" s="196"/>
      <c r="KUS31" s="196"/>
      <c r="KUT31" s="161"/>
      <c r="KUU31" s="193"/>
      <c r="KUV31" s="193"/>
      <c r="KUW31" s="194"/>
      <c r="KUX31" s="194"/>
      <c r="KUY31" s="194"/>
      <c r="KUZ31" s="194"/>
      <c r="KVA31" s="194"/>
      <c r="KVB31" s="161"/>
      <c r="KVC31" s="161"/>
      <c r="KVD31" s="194"/>
      <c r="KVE31" s="161"/>
      <c r="KVF31" s="193"/>
      <c r="KVG31" s="194"/>
      <c r="KVH31" s="161"/>
      <c r="KVI31" s="161"/>
      <c r="KVJ31" s="161"/>
      <c r="KVK31" s="194"/>
      <c r="KVL31" s="194"/>
      <c r="KVM31" s="194"/>
      <c r="KVN31" s="161"/>
      <c r="KVO31" s="194"/>
      <c r="KVP31" s="194"/>
      <c r="KVQ31" s="161"/>
      <c r="KVR31" s="194"/>
      <c r="KVS31" s="194"/>
      <c r="KVT31" s="194"/>
      <c r="KVU31" s="194"/>
      <c r="KVV31" s="194"/>
      <c r="KVW31" s="194"/>
      <c r="KVX31" s="161"/>
      <c r="KVY31" s="195"/>
      <c r="KVZ31" s="195"/>
      <c r="KWA31" s="161"/>
      <c r="KWB31" s="161"/>
      <c r="KWC31" s="161"/>
      <c r="KWD31" s="161"/>
      <c r="KWE31" s="196"/>
      <c r="KWF31" s="196"/>
      <c r="KWG31" s="192"/>
      <c r="KWH31" s="181"/>
      <c r="KWI31" s="180"/>
      <c r="KWJ31" s="197"/>
      <c r="KWK31" s="179"/>
      <c r="KWL31" s="196"/>
      <c r="KWM31" s="179"/>
      <c r="KWN31" s="196"/>
      <c r="KWO31" s="196"/>
      <c r="KWP31" s="161"/>
      <c r="KWQ31" s="193"/>
      <c r="KWR31" s="193"/>
      <c r="KWS31" s="194"/>
      <c r="KWT31" s="194"/>
      <c r="KWU31" s="194"/>
      <c r="KWV31" s="194"/>
      <c r="KWW31" s="194"/>
      <c r="KWX31" s="161"/>
      <c r="KWY31" s="161"/>
      <c r="KWZ31" s="194"/>
      <c r="KXA31" s="161"/>
      <c r="KXB31" s="193"/>
      <c r="KXC31" s="194"/>
      <c r="KXD31" s="161"/>
      <c r="KXE31" s="161"/>
      <c r="KXF31" s="161"/>
      <c r="KXG31" s="194"/>
      <c r="KXH31" s="194"/>
      <c r="KXI31" s="194"/>
      <c r="KXJ31" s="161"/>
      <c r="KXK31" s="194"/>
      <c r="KXL31" s="194"/>
      <c r="KXM31" s="161"/>
      <c r="KXN31" s="194"/>
      <c r="KXO31" s="194"/>
      <c r="KXP31" s="194"/>
      <c r="KXQ31" s="194"/>
      <c r="KXR31" s="194"/>
      <c r="KXS31" s="194"/>
      <c r="KXT31" s="161"/>
      <c r="KXU31" s="195"/>
      <c r="KXV31" s="195"/>
      <c r="KXW31" s="161"/>
      <c r="KXX31" s="161"/>
      <c r="KXY31" s="161"/>
      <c r="KXZ31" s="161"/>
      <c r="KYA31" s="196"/>
      <c r="KYB31" s="196"/>
      <c r="KYC31" s="192"/>
      <c r="KYD31" s="181"/>
      <c r="KYE31" s="180"/>
      <c r="KYF31" s="197"/>
      <c r="KYG31" s="179"/>
      <c r="KYH31" s="196"/>
      <c r="KYI31" s="179"/>
      <c r="KYJ31" s="196"/>
      <c r="KYK31" s="196"/>
      <c r="KYL31" s="161"/>
      <c r="KYM31" s="193"/>
      <c r="KYN31" s="193"/>
      <c r="KYO31" s="194"/>
      <c r="KYP31" s="194"/>
      <c r="KYQ31" s="194"/>
      <c r="KYR31" s="194"/>
      <c r="KYS31" s="194"/>
      <c r="KYT31" s="161"/>
      <c r="KYU31" s="161"/>
      <c r="KYV31" s="194"/>
      <c r="KYW31" s="161"/>
      <c r="KYX31" s="193"/>
      <c r="KYY31" s="194"/>
      <c r="KYZ31" s="161"/>
      <c r="KZA31" s="161"/>
      <c r="KZB31" s="161"/>
      <c r="KZC31" s="194"/>
      <c r="KZD31" s="194"/>
      <c r="KZE31" s="194"/>
      <c r="KZF31" s="161"/>
      <c r="KZG31" s="194"/>
      <c r="KZH31" s="194"/>
      <c r="KZI31" s="161"/>
      <c r="KZJ31" s="194"/>
      <c r="KZK31" s="194"/>
      <c r="KZL31" s="194"/>
      <c r="KZM31" s="194"/>
      <c r="KZN31" s="194"/>
      <c r="KZO31" s="194"/>
      <c r="KZP31" s="161"/>
      <c r="KZQ31" s="195"/>
      <c r="KZR31" s="195"/>
      <c r="KZS31" s="161"/>
      <c r="KZT31" s="161"/>
      <c r="KZU31" s="161"/>
      <c r="KZV31" s="161"/>
      <c r="KZW31" s="196"/>
      <c r="KZX31" s="196"/>
      <c r="KZY31" s="192"/>
      <c r="KZZ31" s="181"/>
      <c r="LAA31" s="180"/>
      <c r="LAB31" s="197"/>
      <c r="LAC31" s="179"/>
      <c r="LAD31" s="196"/>
      <c r="LAE31" s="179"/>
      <c r="LAF31" s="196"/>
      <c r="LAG31" s="196"/>
      <c r="LAH31" s="161"/>
      <c r="LAI31" s="193"/>
      <c r="LAJ31" s="193"/>
      <c r="LAK31" s="194"/>
      <c r="LAL31" s="194"/>
      <c r="LAM31" s="194"/>
      <c r="LAN31" s="194"/>
      <c r="LAO31" s="194"/>
      <c r="LAP31" s="161"/>
      <c r="LAQ31" s="161"/>
      <c r="LAR31" s="194"/>
      <c r="LAS31" s="161"/>
      <c r="LAT31" s="193"/>
      <c r="LAU31" s="194"/>
      <c r="LAV31" s="161"/>
      <c r="LAW31" s="161"/>
      <c r="LAX31" s="161"/>
      <c r="LAY31" s="194"/>
      <c r="LAZ31" s="194"/>
      <c r="LBA31" s="194"/>
      <c r="LBB31" s="161"/>
      <c r="LBC31" s="194"/>
      <c r="LBD31" s="194"/>
      <c r="LBE31" s="161"/>
      <c r="LBF31" s="194"/>
      <c r="LBG31" s="194"/>
      <c r="LBH31" s="194"/>
      <c r="LBI31" s="194"/>
      <c r="LBJ31" s="194"/>
      <c r="LBK31" s="194"/>
      <c r="LBL31" s="161"/>
      <c r="LBM31" s="195"/>
      <c r="LBN31" s="195"/>
      <c r="LBO31" s="161"/>
      <c r="LBP31" s="161"/>
      <c r="LBQ31" s="161"/>
      <c r="LBR31" s="161"/>
      <c r="LBS31" s="196"/>
      <c r="LBT31" s="196"/>
      <c r="LBU31" s="192"/>
      <c r="LBV31" s="181"/>
      <c r="LBW31" s="180"/>
      <c r="LBX31" s="197"/>
      <c r="LBY31" s="179"/>
      <c r="LBZ31" s="196"/>
      <c r="LCA31" s="179"/>
      <c r="LCB31" s="196"/>
      <c r="LCC31" s="196"/>
      <c r="LCD31" s="161"/>
      <c r="LCE31" s="193"/>
      <c r="LCF31" s="193"/>
      <c r="LCG31" s="194"/>
      <c r="LCH31" s="194"/>
      <c r="LCI31" s="194"/>
      <c r="LCJ31" s="194"/>
      <c r="LCK31" s="194"/>
      <c r="LCL31" s="161"/>
      <c r="LCM31" s="161"/>
      <c r="LCN31" s="194"/>
      <c r="LCO31" s="161"/>
      <c r="LCP31" s="193"/>
      <c r="LCQ31" s="194"/>
      <c r="LCR31" s="161"/>
      <c r="LCS31" s="161"/>
      <c r="LCT31" s="161"/>
      <c r="LCU31" s="194"/>
      <c r="LCV31" s="194"/>
      <c r="LCW31" s="194"/>
      <c r="LCX31" s="161"/>
      <c r="LCY31" s="194"/>
      <c r="LCZ31" s="194"/>
      <c r="LDA31" s="161"/>
      <c r="LDB31" s="194"/>
      <c r="LDC31" s="194"/>
      <c r="LDD31" s="194"/>
      <c r="LDE31" s="194"/>
      <c r="LDF31" s="194"/>
      <c r="LDG31" s="194"/>
      <c r="LDH31" s="161"/>
      <c r="LDI31" s="195"/>
      <c r="LDJ31" s="195"/>
      <c r="LDK31" s="161"/>
      <c r="LDL31" s="161"/>
      <c r="LDM31" s="161"/>
      <c r="LDN31" s="161"/>
      <c r="LDO31" s="196"/>
      <c r="LDP31" s="196"/>
      <c r="LDQ31" s="192"/>
      <c r="LDR31" s="181"/>
      <c r="LDS31" s="180"/>
      <c r="LDT31" s="197"/>
      <c r="LDU31" s="179"/>
      <c r="LDV31" s="196"/>
      <c r="LDW31" s="179"/>
      <c r="LDX31" s="196"/>
      <c r="LDY31" s="196"/>
      <c r="LDZ31" s="161"/>
      <c r="LEA31" s="193"/>
      <c r="LEB31" s="193"/>
      <c r="LEC31" s="194"/>
      <c r="LED31" s="194"/>
      <c r="LEE31" s="194"/>
      <c r="LEF31" s="194"/>
      <c r="LEG31" s="194"/>
      <c r="LEH31" s="161"/>
      <c r="LEI31" s="161"/>
      <c r="LEJ31" s="194"/>
      <c r="LEK31" s="161"/>
      <c r="LEL31" s="193"/>
      <c r="LEM31" s="194"/>
      <c r="LEN31" s="161"/>
      <c r="LEO31" s="161"/>
      <c r="LEP31" s="161"/>
      <c r="LEQ31" s="194"/>
      <c r="LER31" s="194"/>
      <c r="LES31" s="194"/>
      <c r="LET31" s="161"/>
      <c r="LEU31" s="194"/>
      <c r="LEV31" s="194"/>
      <c r="LEW31" s="161"/>
      <c r="LEX31" s="194"/>
      <c r="LEY31" s="194"/>
      <c r="LEZ31" s="194"/>
      <c r="LFA31" s="194"/>
      <c r="LFB31" s="194"/>
      <c r="LFC31" s="194"/>
      <c r="LFD31" s="161"/>
      <c r="LFE31" s="195"/>
      <c r="LFF31" s="195"/>
      <c r="LFG31" s="161"/>
      <c r="LFH31" s="161"/>
      <c r="LFI31" s="161"/>
      <c r="LFJ31" s="161"/>
      <c r="LFK31" s="196"/>
      <c r="LFL31" s="196"/>
      <c r="LFM31" s="192"/>
      <c r="LFN31" s="181"/>
      <c r="LFO31" s="180"/>
      <c r="LFP31" s="197"/>
      <c r="LFQ31" s="179"/>
      <c r="LFR31" s="196"/>
      <c r="LFS31" s="179"/>
      <c r="LFT31" s="196"/>
      <c r="LFU31" s="196"/>
      <c r="LFV31" s="161"/>
      <c r="LFW31" s="193"/>
      <c r="LFX31" s="193"/>
      <c r="LFY31" s="194"/>
      <c r="LFZ31" s="194"/>
      <c r="LGA31" s="194"/>
      <c r="LGB31" s="194"/>
      <c r="LGC31" s="194"/>
      <c r="LGD31" s="161"/>
      <c r="LGE31" s="161"/>
      <c r="LGF31" s="194"/>
      <c r="LGG31" s="161"/>
      <c r="LGH31" s="193"/>
      <c r="LGI31" s="194"/>
      <c r="LGJ31" s="161"/>
      <c r="LGK31" s="161"/>
      <c r="LGL31" s="161"/>
      <c r="LGM31" s="194"/>
      <c r="LGN31" s="194"/>
      <c r="LGO31" s="194"/>
      <c r="LGP31" s="161"/>
      <c r="LGQ31" s="194"/>
      <c r="LGR31" s="194"/>
      <c r="LGS31" s="161"/>
      <c r="LGT31" s="194"/>
      <c r="LGU31" s="194"/>
      <c r="LGV31" s="194"/>
      <c r="LGW31" s="194"/>
      <c r="LGX31" s="194"/>
      <c r="LGY31" s="194"/>
      <c r="LGZ31" s="161"/>
      <c r="LHA31" s="195"/>
      <c r="LHB31" s="195"/>
      <c r="LHC31" s="161"/>
      <c r="LHD31" s="161"/>
      <c r="LHE31" s="161"/>
      <c r="LHF31" s="161"/>
      <c r="LHG31" s="196"/>
      <c r="LHH31" s="196"/>
      <c r="LHI31" s="192"/>
      <c r="LHJ31" s="181"/>
      <c r="LHK31" s="180"/>
      <c r="LHL31" s="197"/>
      <c r="LHM31" s="179"/>
      <c r="LHN31" s="196"/>
      <c r="LHO31" s="179"/>
      <c r="LHP31" s="196"/>
      <c r="LHQ31" s="196"/>
      <c r="LHR31" s="161"/>
      <c r="LHS31" s="193"/>
      <c r="LHT31" s="193"/>
      <c r="LHU31" s="194"/>
      <c r="LHV31" s="194"/>
      <c r="LHW31" s="194"/>
      <c r="LHX31" s="194"/>
      <c r="LHY31" s="194"/>
      <c r="LHZ31" s="161"/>
      <c r="LIA31" s="161"/>
      <c r="LIB31" s="194"/>
      <c r="LIC31" s="161"/>
      <c r="LID31" s="193"/>
      <c r="LIE31" s="194"/>
      <c r="LIF31" s="161"/>
      <c r="LIG31" s="161"/>
      <c r="LIH31" s="161"/>
      <c r="LII31" s="194"/>
      <c r="LIJ31" s="194"/>
      <c r="LIK31" s="194"/>
      <c r="LIL31" s="161"/>
      <c r="LIM31" s="194"/>
      <c r="LIN31" s="194"/>
      <c r="LIO31" s="161"/>
      <c r="LIP31" s="194"/>
      <c r="LIQ31" s="194"/>
      <c r="LIR31" s="194"/>
      <c r="LIS31" s="194"/>
      <c r="LIT31" s="194"/>
      <c r="LIU31" s="194"/>
      <c r="LIV31" s="161"/>
      <c r="LIW31" s="195"/>
      <c r="LIX31" s="195"/>
      <c r="LIY31" s="161"/>
      <c r="LIZ31" s="161"/>
      <c r="LJA31" s="161"/>
      <c r="LJB31" s="161"/>
      <c r="LJC31" s="196"/>
      <c r="LJD31" s="196"/>
      <c r="LJE31" s="192"/>
      <c r="LJF31" s="181"/>
      <c r="LJG31" s="180"/>
      <c r="LJH31" s="197"/>
      <c r="LJI31" s="179"/>
      <c r="LJJ31" s="196"/>
      <c r="LJK31" s="179"/>
      <c r="LJL31" s="196"/>
      <c r="LJM31" s="196"/>
      <c r="LJN31" s="161"/>
      <c r="LJO31" s="193"/>
      <c r="LJP31" s="193"/>
      <c r="LJQ31" s="194"/>
      <c r="LJR31" s="194"/>
      <c r="LJS31" s="194"/>
      <c r="LJT31" s="194"/>
      <c r="LJU31" s="194"/>
      <c r="LJV31" s="161"/>
      <c r="LJW31" s="161"/>
      <c r="LJX31" s="194"/>
      <c r="LJY31" s="161"/>
      <c r="LJZ31" s="193"/>
      <c r="LKA31" s="194"/>
      <c r="LKB31" s="161"/>
      <c r="LKC31" s="161"/>
      <c r="LKD31" s="161"/>
      <c r="LKE31" s="194"/>
      <c r="LKF31" s="194"/>
      <c r="LKG31" s="194"/>
      <c r="LKH31" s="161"/>
      <c r="LKI31" s="194"/>
      <c r="LKJ31" s="194"/>
      <c r="LKK31" s="161"/>
      <c r="LKL31" s="194"/>
      <c r="LKM31" s="194"/>
      <c r="LKN31" s="194"/>
      <c r="LKO31" s="194"/>
      <c r="LKP31" s="194"/>
      <c r="LKQ31" s="194"/>
      <c r="LKR31" s="161"/>
      <c r="LKS31" s="195"/>
      <c r="LKT31" s="195"/>
      <c r="LKU31" s="161"/>
      <c r="LKV31" s="161"/>
      <c r="LKW31" s="161"/>
      <c r="LKX31" s="161"/>
      <c r="LKY31" s="196"/>
      <c r="LKZ31" s="196"/>
      <c r="LLA31" s="192"/>
      <c r="LLB31" s="181"/>
      <c r="LLC31" s="180"/>
      <c r="LLD31" s="197"/>
      <c r="LLE31" s="179"/>
      <c r="LLF31" s="196"/>
      <c r="LLG31" s="179"/>
      <c r="LLH31" s="196"/>
      <c r="LLI31" s="196"/>
      <c r="LLJ31" s="161"/>
      <c r="LLK31" s="193"/>
      <c r="LLL31" s="193"/>
      <c r="LLM31" s="194"/>
      <c r="LLN31" s="194"/>
      <c r="LLO31" s="194"/>
      <c r="LLP31" s="194"/>
      <c r="LLQ31" s="194"/>
      <c r="LLR31" s="161"/>
      <c r="LLS31" s="161"/>
      <c r="LLT31" s="194"/>
      <c r="LLU31" s="161"/>
      <c r="LLV31" s="193"/>
      <c r="LLW31" s="194"/>
      <c r="LLX31" s="161"/>
      <c r="LLY31" s="161"/>
      <c r="LLZ31" s="161"/>
      <c r="LMA31" s="194"/>
      <c r="LMB31" s="194"/>
      <c r="LMC31" s="194"/>
      <c r="LMD31" s="161"/>
      <c r="LME31" s="194"/>
      <c r="LMF31" s="194"/>
      <c r="LMG31" s="161"/>
      <c r="LMH31" s="194"/>
      <c r="LMI31" s="194"/>
      <c r="LMJ31" s="194"/>
      <c r="LMK31" s="194"/>
      <c r="LML31" s="194"/>
      <c r="LMM31" s="194"/>
      <c r="LMN31" s="161"/>
      <c r="LMO31" s="195"/>
      <c r="LMP31" s="195"/>
      <c r="LMQ31" s="161"/>
      <c r="LMR31" s="161"/>
      <c r="LMS31" s="161"/>
      <c r="LMT31" s="161"/>
      <c r="LMU31" s="196"/>
      <c r="LMV31" s="196"/>
      <c r="LMW31" s="192"/>
      <c r="LMX31" s="181"/>
      <c r="LMY31" s="180"/>
      <c r="LMZ31" s="197"/>
      <c r="LNA31" s="179"/>
      <c r="LNB31" s="196"/>
      <c r="LNC31" s="179"/>
      <c r="LND31" s="196"/>
      <c r="LNE31" s="196"/>
      <c r="LNF31" s="161"/>
      <c r="LNG31" s="193"/>
      <c r="LNH31" s="193"/>
      <c r="LNI31" s="194"/>
      <c r="LNJ31" s="194"/>
      <c r="LNK31" s="194"/>
      <c r="LNL31" s="194"/>
      <c r="LNM31" s="194"/>
      <c r="LNN31" s="161"/>
      <c r="LNO31" s="161"/>
      <c r="LNP31" s="194"/>
      <c r="LNQ31" s="161"/>
      <c r="LNR31" s="193"/>
      <c r="LNS31" s="194"/>
      <c r="LNT31" s="161"/>
      <c r="LNU31" s="161"/>
      <c r="LNV31" s="161"/>
      <c r="LNW31" s="194"/>
      <c r="LNX31" s="194"/>
      <c r="LNY31" s="194"/>
      <c r="LNZ31" s="161"/>
      <c r="LOA31" s="194"/>
      <c r="LOB31" s="194"/>
      <c r="LOC31" s="161"/>
      <c r="LOD31" s="194"/>
      <c r="LOE31" s="194"/>
      <c r="LOF31" s="194"/>
      <c r="LOG31" s="194"/>
      <c r="LOH31" s="194"/>
      <c r="LOI31" s="194"/>
      <c r="LOJ31" s="161"/>
      <c r="LOK31" s="195"/>
      <c r="LOL31" s="195"/>
      <c r="LOM31" s="161"/>
      <c r="LON31" s="161"/>
      <c r="LOO31" s="161"/>
      <c r="LOP31" s="161"/>
      <c r="LOQ31" s="196"/>
      <c r="LOR31" s="196"/>
      <c r="LOS31" s="192"/>
      <c r="LOT31" s="181"/>
      <c r="LOU31" s="180"/>
      <c r="LOV31" s="197"/>
      <c r="LOW31" s="179"/>
      <c r="LOX31" s="196"/>
      <c r="LOY31" s="179"/>
      <c r="LOZ31" s="196"/>
      <c r="LPA31" s="196"/>
      <c r="LPB31" s="161"/>
      <c r="LPC31" s="193"/>
      <c r="LPD31" s="193"/>
      <c r="LPE31" s="194"/>
      <c r="LPF31" s="194"/>
      <c r="LPG31" s="194"/>
      <c r="LPH31" s="194"/>
      <c r="LPI31" s="194"/>
      <c r="LPJ31" s="161"/>
      <c r="LPK31" s="161"/>
      <c r="LPL31" s="194"/>
      <c r="LPM31" s="161"/>
      <c r="LPN31" s="193"/>
      <c r="LPO31" s="194"/>
      <c r="LPP31" s="161"/>
      <c r="LPQ31" s="161"/>
      <c r="LPR31" s="161"/>
      <c r="LPS31" s="194"/>
      <c r="LPT31" s="194"/>
      <c r="LPU31" s="194"/>
      <c r="LPV31" s="161"/>
      <c r="LPW31" s="194"/>
      <c r="LPX31" s="194"/>
      <c r="LPY31" s="161"/>
      <c r="LPZ31" s="194"/>
      <c r="LQA31" s="194"/>
      <c r="LQB31" s="194"/>
      <c r="LQC31" s="194"/>
      <c r="LQD31" s="194"/>
      <c r="LQE31" s="194"/>
      <c r="LQF31" s="161"/>
      <c r="LQG31" s="195"/>
      <c r="LQH31" s="195"/>
      <c r="LQI31" s="161"/>
      <c r="LQJ31" s="161"/>
      <c r="LQK31" s="161"/>
      <c r="LQL31" s="161"/>
      <c r="LQM31" s="196"/>
      <c r="LQN31" s="196"/>
      <c r="LQO31" s="192"/>
      <c r="LQP31" s="181"/>
      <c r="LQQ31" s="180"/>
      <c r="LQR31" s="197"/>
      <c r="LQS31" s="179"/>
      <c r="LQT31" s="196"/>
      <c r="LQU31" s="179"/>
      <c r="LQV31" s="196"/>
      <c r="LQW31" s="196"/>
      <c r="LQX31" s="161"/>
      <c r="LQY31" s="193"/>
      <c r="LQZ31" s="193"/>
      <c r="LRA31" s="194"/>
      <c r="LRB31" s="194"/>
      <c r="LRC31" s="194"/>
      <c r="LRD31" s="194"/>
      <c r="LRE31" s="194"/>
      <c r="LRF31" s="161"/>
      <c r="LRG31" s="161"/>
      <c r="LRH31" s="194"/>
      <c r="LRI31" s="161"/>
      <c r="LRJ31" s="193"/>
      <c r="LRK31" s="194"/>
      <c r="LRL31" s="161"/>
      <c r="LRM31" s="161"/>
      <c r="LRN31" s="161"/>
      <c r="LRO31" s="194"/>
      <c r="LRP31" s="194"/>
      <c r="LRQ31" s="194"/>
      <c r="LRR31" s="161"/>
      <c r="LRS31" s="194"/>
      <c r="LRT31" s="194"/>
      <c r="LRU31" s="161"/>
      <c r="LRV31" s="194"/>
      <c r="LRW31" s="194"/>
      <c r="LRX31" s="194"/>
      <c r="LRY31" s="194"/>
      <c r="LRZ31" s="194"/>
      <c r="LSA31" s="194"/>
      <c r="LSB31" s="161"/>
      <c r="LSC31" s="195"/>
      <c r="LSD31" s="195"/>
      <c r="LSE31" s="161"/>
      <c r="LSF31" s="161"/>
      <c r="LSG31" s="161"/>
      <c r="LSH31" s="161"/>
      <c r="LSI31" s="196"/>
      <c r="LSJ31" s="196"/>
      <c r="LSK31" s="192"/>
      <c r="LSL31" s="181"/>
      <c r="LSM31" s="180"/>
      <c r="LSN31" s="197"/>
      <c r="LSO31" s="179"/>
      <c r="LSP31" s="196"/>
      <c r="LSQ31" s="179"/>
      <c r="LSR31" s="196"/>
      <c r="LSS31" s="196"/>
      <c r="LST31" s="161"/>
      <c r="LSU31" s="193"/>
      <c r="LSV31" s="193"/>
      <c r="LSW31" s="194"/>
      <c r="LSX31" s="194"/>
      <c r="LSY31" s="194"/>
      <c r="LSZ31" s="194"/>
      <c r="LTA31" s="194"/>
      <c r="LTB31" s="161"/>
      <c r="LTC31" s="161"/>
      <c r="LTD31" s="194"/>
      <c r="LTE31" s="161"/>
      <c r="LTF31" s="193"/>
      <c r="LTG31" s="194"/>
      <c r="LTH31" s="161"/>
      <c r="LTI31" s="161"/>
      <c r="LTJ31" s="161"/>
      <c r="LTK31" s="194"/>
      <c r="LTL31" s="194"/>
      <c r="LTM31" s="194"/>
      <c r="LTN31" s="161"/>
      <c r="LTO31" s="194"/>
      <c r="LTP31" s="194"/>
      <c r="LTQ31" s="161"/>
      <c r="LTR31" s="194"/>
      <c r="LTS31" s="194"/>
      <c r="LTT31" s="194"/>
      <c r="LTU31" s="194"/>
      <c r="LTV31" s="194"/>
      <c r="LTW31" s="194"/>
      <c r="LTX31" s="161"/>
      <c r="LTY31" s="195"/>
      <c r="LTZ31" s="195"/>
      <c r="LUA31" s="161"/>
      <c r="LUB31" s="161"/>
      <c r="LUC31" s="161"/>
      <c r="LUD31" s="161"/>
      <c r="LUE31" s="196"/>
      <c r="LUF31" s="196"/>
      <c r="LUG31" s="192"/>
      <c r="LUH31" s="181"/>
      <c r="LUI31" s="180"/>
      <c r="LUJ31" s="197"/>
      <c r="LUK31" s="179"/>
      <c r="LUL31" s="196"/>
      <c r="LUM31" s="179"/>
      <c r="LUN31" s="196"/>
      <c r="LUO31" s="196"/>
      <c r="LUP31" s="161"/>
      <c r="LUQ31" s="193"/>
      <c r="LUR31" s="193"/>
      <c r="LUS31" s="194"/>
      <c r="LUT31" s="194"/>
      <c r="LUU31" s="194"/>
      <c r="LUV31" s="194"/>
      <c r="LUW31" s="194"/>
      <c r="LUX31" s="161"/>
      <c r="LUY31" s="161"/>
      <c r="LUZ31" s="194"/>
      <c r="LVA31" s="161"/>
      <c r="LVB31" s="193"/>
      <c r="LVC31" s="194"/>
      <c r="LVD31" s="161"/>
      <c r="LVE31" s="161"/>
      <c r="LVF31" s="161"/>
      <c r="LVG31" s="194"/>
      <c r="LVH31" s="194"/>
      <c r="LVI31" s="194"/>
      <c r="LVJ31" s="161"/>
      <c r="LVK31" s="194"/>
      <c r="LVL31" s="194"/>
      <c r="LVM31" s="161"/>
      <c r="LVN31" s="194"/>
      <c r="LVO31" s="194"/>
      <c r="LVP31" s="194"/>
      <c r="LVQ31" s="194"/>
      <c r="LVR31" s="194"/>
      <c r="LVS31" s="194"/>
      <c r="LVT31" s="161"/>
      <c r="LVU31" s="195"/>
      <c r="LVV31" s="195"/>
      <c r="LVW31" s="161"/>
      <c r="LVX31" s="161"/>
      <c r="LVY31" s="161"/>
      <c r="LVZ31" s="161"/>
      <c r="LWA31" s="196"/>
      <c r="LWB31" s="196"/>
      <c r="LWC31" s="192"/>
      <c r="LWD31" s="181"/>
      <c r="LWE31" s="180"/>
      <c r="LWF31" s="197"/>
      <c r="LWG31" s="179"/>
      <c r="LWH31" s="196"/>
      <c r="LWI31" s="179"/>
      <c r="LWJ31" s="196"/>
      <c r="LWK31" s="196"/>
      <c r="LWL31" s="161"/>
      <c r="LWM31" s="193"/>
      <c r="LWN31" s="193"/>
      <c r="LWO31" s="194"/>
      <c r="LWP31" s="194"/>
      <c r="LWQ31" s="194"/>
      <c r="LWR31" s="194"/>
      <c r="LWS31" s="194"/>
      <c r="LWT31" s="161"/>
      <c r="LWU31" s="161"/>
      <c r="LWV31" s="194"/>
      <c r="LWW31" s="161"/>
      <c r="LWX31" s="193"/>
      <c r="LWY31" s="194"/>
      <c r="LWZ31" s="161"/>
      <c r="LXA31" s="161"/>
      <c r="LXB31" s="161"/>
      <c r="LXC31" s="194"/>
      <c r="LXD31" s="194"/>
      <c r="LXE31" s="194"/>
      <c r="LXF31" s="161"/>
      <c r="LXG31" s="194"/>
      <c r="LXH31" s="194"/>
      <c r="LXI31" s="161"/>
      <c r="LXJ31" s="194"/>
      <c r="LXK31" s="194"/>
      <c r="LXL31" s="194"/>
      <c r="LXM31" s="194"/>
      <c r="LXN31" s="194"/>
      <c r="LXO31" s="194"/>
      <c r="LXP31" s="161"/>
      <c r="LXQ31" s="195"/>
      <c r="LXR31" s="195"/>
      <c r="LXS31" s="161"/>
      <c r="LXT31" s="161"/>
      <c r="LXU31" s="161"/>
      <c r="LXV31" s="161"/>
      <c r="LXW31" s="196"/>
      <c r="LXX31" s="196"/>
      <c r="LXY31" s="192"/>
      <c r="LXZ31" s="181"/>
      <c r="LYA31" s="180"/>
      <c r="LYB31" s="197"/>
      <c r="LYC31" s="179"/>
      <c r="LYD31" s="196"/>
      <c r="LYE31" s="179"/>
      <c r="LYF31" s="196"/>
      <c r="LYG31" s="196"/>
      <c r="LYH31" s="161"/>
      <c r="LYI31" s="193"/>
      <c r="LYJ31" s="193"/>
      <c r="LYK31" s="194"/>
      <c r="LYL31" s="194"/>
      <c r="LYM31" s="194"/>
      <c r="LYN31" s="194"/>
      <c r="LYO31" s="194"/>
      <c r="LYP31" s="161"/>
      <c r="LYQ31" s="161"/>
      <c r="LYR31" s="194"/>
      <c r="LYS31" s="161"/>
      <c r="LYT31" s="193"/>
      <c r="LYU31" s="194"/>
      <c r="LYV31" s="161"/>
      <c r="LYW31" s="161"/>
      <c r="LYX31" s="161"/>
      <c r="LYY31" s="194"/>
      <c r="LYZ31" s="194"/>
      <c r="LZA31" s="194"/>
      <c r="LZB31" s="161"/>
      <c r="LZC31" s="194"/>
      <c r="LZD31" s="194"/>
      <c r="LZE31" s="161"/>
      <c r="LZF31" s="194"/>
      <c r="LZG31" s="194"/>
      <c r="LZH31" s="194"/>
      <c r="LZI31" s="194"/>
      <c r="LZJ31" s="194"/>
      <c r="LZK31" s="194"/>
      <c r="LZL31" s="161"/>
      <c r="LZM31" s="195"/>
      <c r="LZN31" s="195"/>
      <c r="LZO31" s="161"/>
      <c r="LZP31" s="161"/>
      <c r="LZQ31" s="161"/>
      <c r="LZR31" s="161"/>
      <c r="LZS31" s="196"/>
      <c r="LZT31" s="196"/>
      <c r="LZU31" s="192"/>
      <c r="LZV31" s="181"/>
      <c r="LZW31" s="180"/>
      <c r="LZX31" s="197"/>
      <c r="LZY31" s="179"/>
      <c r="LZZ31" s="196"/>
      <c r="MAA31" s="179"/>
      <c r="MAB31" s="196"/>
      <c r="MAC31" s="196"/>
      <c r="MAD31" s="161"/>
      <c r="MAE31" s="193"/>
      <c r="MAF31" s="193"/>
      <c r="MAG31" s="194"/>
      <c r="MAH31" s="194"/>
      <c r="MAI31" s="194"/>
      <c r="MAJ31" s="194"/>
      <c r="MAK31" s="194"/>
      <c r="MAL31" s="161"/>
      <c r="MAM31" s="161"/>
      <c r="MAN31" s="194"/>
      <c r="MAO31" s="161"/>
      <c r="MAP31" s="193"/>
      <c r="MAQ31" s="194"/>
      <c r="MAR31" s="161"/>
      <c r="MAS31" s="161"/>
      <c r="MAT31" s="161"/>
      <c r="MAU31" s="194"/>
      <c r="MAV31" s="194"/>
      <c r="MAW31" s="194"/>
      <c r="MAX31" s="161"/>
      <c r="MAY31" s="194"/>
      <c r="MAZ31" s="194"/>
      <c r="MBA31" s="161"/>
      <c r="MBB31" s="194"/>
      <c r="MBC31" s="194"/>
      <c r="MBD31" s="194"/>
      <c r="MBE31" s="194"/>
      <c r="MBF31" s="194"/>
      <c r="MBG31" s="194"/>
      <c r="MBH31" s="161"/>
      <c r="MBI31" s="195"/>
      <c r="MBJ31" s="195"/>
      <c r="MBK31" s="161"/>
      <c r="MBL31" s="161"/>
      <c r="MBM31" s="161"/>
      <c r="MBN31" s="161"/>
      <c r="MBO31" s="196"/>
      <c r="MBP31" s="196"/>
      <c r="MBQ31" s="192"/>
      <c r="MBR31" s="181"/>
      <c r="MBS31" s="180"/>
      <c r="MBT31" s="197"/>
      <c r="MBU31" s="179"/>
      <c r="MBV31" s="196"/>
      <c r="MBW31" s="179"/>
      <c r="MBX31" s="196"/>
      <c r="MBY31" s="196"/>
      <c r="MBZ31" s="161"/>
      <c r="MCA31" s="193"/>
      <c r="MCB31" s="193"/>
      <c r="MCC31" s="194"/>
      <c r="MCD31" s="194"/>
      <c r="MCE31" s="194"/>
      <c r="MCF31" s="194"/>
      <c r="MCG31" s="194"/>
      <c r="MCH31" s="161"/>
      <c r="MCI31" s="161"/>
      <c r="MCJ31" s="194"/>
      <c r="MCK31" s="161"/>
      <c r="MCL31" s="193"/>
      <c r="MCM31" s="194"/>
      <c r="MCN31" s="161"/>
      <c r="MCO31" s="161"/>
      <c r="MCP31" s="161"/>
      <c r="MCQ31" s="194"/>
      <c r="MCR31" s="194"/>
      <c r="MCS31" s="194"/>
      <c r="MCT31" s="161"/>
      <c r="MCU31" s="194"/>
      <c r="MCV31" s="194"/>
      <c r="MCW31" s="161"/>
      <c r="MCX31" s="194"/>
      <c r="MCY31" s="194"/>
      <c r="MCZ31" s="194"/>
      <c r="MDA31" s="194"/>
      <c r="MDB31" s="194"/>
      <c r="MDC31" s="194"/>
      <c r="MDD31" s="161"/>
      <c r="MDE31" s="195"/>
      <c r="MDF31" s="195"/>
      <c r="MDG31" s="161"/>
      <c r="MDH31" s="161"/>
      <c r="MDI31" s="161"/>
      <c r="MDJ31" s="161"/>
      <c r="MDK31" s="196"/>
      <c r="MDL31" s="196"/>
      <c r="MDM31" s="192"/>
      <c r="MDN31" s="181"/>
      <c r="MDO31" s="180"/>
      <c r="MDP31" s="197"/>
      <c r="MDQ31" s="179"/>
      <c r="MDR31" s="196"/>
      <c r="MDS31" s="179"/>
      <c r="MDT31" s="196"/>
      <c r="MDU31" s="196"/>
      <c r="MDV31" s="161"/>
      <c r="MDW31" s="193"/>
      <c r="MDX31" s="193"/>
      <c r="MDY31" s="194"/>
      <c r="MDZ31" s="194"/>
      <c r="MEA31" s="194"/>
      <c r="MEB31" s="194"/>
      <c r="MEC31" s="194"/>
      <c r="MED31" s="161"/>
      <c r="MEE31" s="161"/>
      <c r="MEF31" s="194"/>
      <c r="MEG31" s="161"/>
      <c r="MEH31" s="193"/>
      <c r="MEI31" s="194"/>
      <c r="MEJ31" s="161"/>
      <c r="MEK31" s="161"/>
      <c r="MEL31" s="161"/>
      <c r="MEM31" s="194"/>
      <c r="MEN31" s="194"/>
      <c r="MEO31" s="194"/>
      <c r="MEP31" s="161"/>
      <c r="MEQ31" s="194"/>
      <c r="MER31" s="194"/>
      <c r="MES31" s="161"/>
      <c r="MET31" s="194"/>
      <c r="MEU31" s="194"/>
      <c r="MEV31" s="194"/>
      <c r="MEW31" s="194"/>
      <c r="MEX31" s="194"/>
      <c r="MEY31" s="194"/>
      <c r="MEZ31" s="161"/>
      <c r="MFA31" s="195"/>
      <c r="MFB31" s="195"/>
      <c r="MFC31" s="161"/>
      <c r="MFD31" s="161"/>
      <c r="MFE31" s="161"/>
      <c r="MFF31" s="161"/>
      <c r="MFG31" s="196"/>
      <c r="MFH31" s="196"/>
      <c r="MFI31" s="192"/>
      <c r="MFJ31" s="181"/>
      <c r="MFK31" s="180"/>
      <c r="MFL31" s="197"/>
      <c r="MFM31" s="179"/>
      <c r="MFN31" s="196"/>
      <c r="MFO31" s="179"/>
      <c r="MFP31" s="196"/>
      <c r="MFQ31" s="196"/>
      <c r="MFR31" s="161"/>
      <c r="MFS31" s="193"/>
      <c r="MFT31" s="193"/>
      <c r="MFU31" s="194"/>
      <c r="MFV31" s="194"/>
      <c r="MFW31" s="194"/>
      <c r="MFX31" s="194"/>
      <c r="MFY31" s="194"/>
      <c r="MFZ31" s="161"/>
      <c r="MGA31" s="161"/>
      <c r="MGB31" s="194"/>
      <c r="MGC31" s="161"/>
      <c r="MGD31" s="193"/>
      <c r="MGE31" s="194"/>
      <c r="MGF31" s="161"/>
      <c r="MGG31" s="161"/>
      <c r="MGH31" s="161"/>
      <c r="MGI31" s="194"/>
      <c r="MGJ31" s="194"/>
      <c r="MGK31" s="194"/>
      <c r="MGL31" s="161"/>
      <c r="MGM31" s="194"/>
      <c r="MGN31" s="194"/>
      <c r="MGO31" s="161"/>
      <c r="MGP31" s="194"/>
      <c r="MGQ31" s="194"/>
      <c r="MGR31" s="194"/>
      <c r="MGS31" s="194"/>
      <c r="MGT31" s="194"/>
      <c r="MGU31" s="194"/>
      <c r="MGV31" s="161"/>
      <c r="MGW31" s="195"/>
      <c r="MGX31" s="195"/>
      <c r="MGY31" s="161"/>
      <c r="MGZ31" s="161"/>
      <c r="MHA31" s="161"/>
      <c r="MHB31" s="161"/>
      <c r="MHC31" s="196"/>
      <c r="MHD31" s="196"/>
      <c r="MHE31" s="192"/>
      <c r="MHF31" s="181"/>
      <c r="MHG31" s="180"/>
      <c r="MHH31" s="197"/>
      <c r="MHI31" s="179"/>
      <c r="MHJ31" s="196"/>
      <c r="MHK31" s="179"/>
      <c r="MHL31" s="196"/>
      <c r="MHM31" s="196"/>
      <c r="MHN31" s="161"/>
      <c r="MHO31" s="193"/>
      <c r="MHP31" s="193"/>
      <c r="MHQ31" s="194"/>
      <c r="MHR31" s="194"/>
      <c r="MHS31" s="194"/>
      <c r="MHT31" s="194"/>
      <c r="MHU31" s="194"/>
      <c r="MHV31" s="161"/>
      <c r="MHW31" s="161"/>
      <c r="MHX31" s="194"/>
      <c r="MHY31" s="161"/>
      <c r="MHZ31" s="193"/>
      <c r="MIA31" s="194"/>
      <c r="MIB31" s="161"/>
      <c r="MIC31" s="161"/>
      <c r="MID31" s="161"/>
      <c r="MIE31" s="194"/>
      <c r="MIF31" s="194"/>
      <c r="MIG31" s="194"/>
      <c r="MIH31" s="161"/>
      <c r="MII31" s="194"/>
      <c r="MIJ31" s="194"/>
      <c r="MIK31" s="161"/>
      <c r="MIL31" s="194"/>
      <c r="MIM31" s="194"/>
      <c r="MIN31" s="194"/>
      <c r="MIO31" s="194"/>
      <c r="MIP31" s="194"/>
      <c r="MIQ31" s="194"/>
      <c r="MIR31" s="161"/>
      <c r="MIS31" s="195"/>
      <c r="MIT31" s="195"/>
      <c r="MIU31" s="161"/>
      <c r="MIV31" s="161"/>
      <c r="MIW31" s="161"/>
      <c r="MIX31" s="161"/>
      <c r="MIY31" s="196"/>
      <c r="MIZ31" s="196"/>
      <c r="MJA31" s="192"/>
      <c r="MJB31" s="181"/>
      <c r="MJC31" s="180"/>
      <c r="MJD31" s="197"/>
      <c r="MJE31" s="179"/>
      <c r="MJF31" s="196"/>
      <c r="MJG31" s="179"/>
      <c r="MJH31" s="196"/>
      <c r="MJI31" s="196"/>
      <c r="MJJ31" s="161"/>
      <c r="MJK31" s="193"/>
      <c r="MJL31" s="193"/>
      <c r="MJM31" s="194"/>
      <c r="MJN31" s="194"/>
      <c r="MJO31" s="194"/>
      <c r="MJP31" s="194"/>
      <c r="MJQ31" s="194"/>
      <c r="MJR31" s="161"/>
      <c r="MJS31" s="161"/>
      <c r="MJT31" s="194"/>
      <c r="MJU31" s="161"/>
      <c r="MJV31" s="193"/>
      <c r="MJW31" s="194"/>
      <c r="MJX31" s="161"/>
      <c r="MJY31" s="161"/>
      <c r="MJZ31" s="161"/>
      <c r="MKA31" s="194"/>
      <c r="MKB31" s="194"/>
      <c r="MKC31" s="194"/>
      <c r="MKD31" s="161"/>
      <c r="MKE31" s="194"/>
      <c r="MKF31" s="194"/>
      <c r="MKG31" s="161"/>
      <c r="MKH31" s="194"/>
      <c r="MKI31" s="194"/>
      <c r="MKJ31" s="194"/>
      <c r="MKK31" s="194"/>
      <c r="MKL31" s="194"/>
      <c r="MKM31" s="194"/>
      <c r="MKN31" s="161"/>
      <c r="MKO31" s="195"/>
      <c r="MKP31" s="195"/>
      <c r="MKQ31" s="161"/>
      <c r="MKR31" s="161"/>
      <c r="MKS31" s="161"/>
      <c r="MKT31" s="161"/>
      <c r="MKU31" s="196"/>
      <c r="MKV31" s="196"/>
      <c r="MKW31" s="192"/>
      <c r="MKX31" s="181"/>
      <c r="MKY31" s="180"/>
      <c r="MKZ31" s="197"/>
      <c r="MLA31" s="179"/>
      <c r="MLB31" s="196"/>
      <c r="MLC31" s="179"/>
      <c r="MLD31" s="196"/>
      <c r="MLE31" s="196"/>
      <c r="MLF31" s="161"/>
      <c r="MLG31" s="193"/>
      <c r="MLH31" s="193"/>
      <c r="MLI31" s="194"/>
      <c r="MLJ31" s="194"/>
      <c r="MLK31" s="194"/>
      <c r="MLL31" s="194"/>
      <c r="MLM31" s="194"/>
      <c r="MLN31" s="161"/>
      <c r="MLO31" s="161"/>
      <c r="MLP31" s="194"/>
      <c r="MLQ31" s="161"/>
      <c r="MLR31" s="193"/>
      <c r="MLS31" s="194"/>
      <c r="MLT31" s="161"/>
      <c r="MLU31" s="161"/>
      <c r="MLV31" s="161"/>
      <c r="MLW31" s="194"/>
      <c r="MLX31" s="194"/>
      <c r="MLY31" s="194"/>
      <c r="MLZ31" s="161"/>
      <c r="MMA31" s="194"/>
      <c r="MMB31" s="194"/>
      <c r="MMC31" s="161"/>
      <c r="MMD31" s="194"/>
      <c r="MME31" s="194"/>
      <c r="MMF31" s="194"/>
      <c r="MMG31" s="194"/>
      <c r="MMH31" s="194"/>
      <c r="MMI31" s="194"/>
      <c r="MMJ31" s="161"/>
      <c r="MMK31" s="195"/>
      <c r="MML31" s="195"/>
      <c r="MMM31" s="161"/>
      <c r="MMN31" s="161"/>
      <c r="MMO31" s="161"/>
      <c r="MMP31" s="161"/>
      <c r="MMQ31" s="196"/>
      <c r="MMR31" s="196"/>
      <c r="MMS31" s="192"/>
      <c r="MMT31" s="181"/>
      <c r="MMU31" s="180"/>
      <c r="MMV31" s="197"/>
      <c r="MMW31" s="179"/>
      <c r="MMX31" s="196"/>
      <c r="MMY31" s="179"/>
      <c r="MMZ31" s="196"/>
      <c r="MNA31" s="196"/>
      <c r="MNB31" s="161"/>
      <c r="MNC31" s="193"/>
      <c r="MND31" s="193"/>
      <c r="MNE31" s="194"/>
      <c r="MNF31" s="194"/>
      <c r="MNG31" s="194"/>
      <c r="MNH31" s="194"/>
      <c r="MNI31" s="194"/>
      <c r="MNJ31" s="161"/>
      <c r="MNK31" s="161"/>
      <c r="MNL31" s="194"/>
      <c r="MNM31" s="161"/>
      <c r="MNN31" s="193"/>
      <c r="MNO31" s="194"/>
      <c r="MNP31" s="161"/>
      <c r="MNQ31" s="161"/>
      <c r="MNR31" s="161"/>
      <c r="MNS31" s="194"/>
      <c r="MNT31" s="194"/>
      <c r="MNU31" s="194"/>
      <c r="MNV31" s="161"/>
      <c r="MNW31" s="194"/>
      <c r="MNX31" s="194"/>
      <c r="MNY31" s="161"/>
      <c r="MNZ31" s="194"/>
      <c r="MOA31" s="194"/>
      <c r="MOB31" s="194"/>
      <c r="MOC31" s="194"/>
      <c r="MOD31" s="194"/>
      <c r="MOE31" s="194"/>
      <c r="MOF31" s="161"/>
      <c r="MOG31" s="195"/>
      <c r="MOH31" s="195"/>
      <c r="MOI31" s="161"/>
      <c r="MOJ31" s="161"/>
      <c r="MOK31" s="161"/>
      <c r="MOL31" s="161"/>
      <c r="MOM31" s="196"/>
      <c r="MON31" s="196"/>
      <c r="MOO31" s="192"/>
      <c r="MOP31" s="181"/>
      <c r="MOQ31" s="180"/>
      <c r="MOR31" s="197"/>
      <c r="MOS31" s="179"/>
      <c r="MOT31" s="196"/>
      <c r="MOU31" s="179"/>
      <c r="MOV31" s="196"/>
      <c r="MOW31" s="196"/>
      <c r="MOX31" s="161"/>
      <c r="MOY31" s="193"/>
      <c r="MOZ31" s="193"/>
      <c r="MPA31" s="194"/>
      <c r="MPB31" s="194"/>
      <c r="MPC31" s="194"/>
      <c r="MPD31" s="194"/>
      <c r="MPE31" s="194"/>
      <c r="MPF31" s="161"/>
      <c r="MPG31" s="161"/>
      <c r="MPH31" s="194"/>
      <c r="MPI31" s="161"/>
      <c r="MPJ31" s="193"/>
      <c r="MPK31" s="194"/>
      <c r="MPL31" s="161"/>
      <c r="MPM31" s="161"/>
      <c r="MPN31" s="161"/>
      <c r="MPO31" s="194"/>
      <c r="MPP31" s="194"/>
      <c r="MPQ31" s="194"/>
      <c r="MPR31" s="161"/>
      <c r="MPS31" s="194"/>
      <c r="MPT31" s="194"/>
      <c r="MPU31" s="161"/>
      <c r="MPV31" s="194"/>
      <c r="MPW31" s="194"/>
      <c r="MPX31" s="194"/>
      <c r="MPY31" s="194"/>
      <c r="MPZ31" s="194"/>
      <c r="MQA31" s="194"/>
      <c r="MQB31" s="161"/>
      <c r="MQC31" s="195"/>
      <c r="MQD31" s="195"/>
      <c r="MQE31" s="161"/>
      <c r="MQF31" s="161"/>
      <c r="MQG31" s="161"/>
      <c r="MQH31" s="161"/>
      <c r="MQI31" s="196"/>
      <c r="MQJ31" s="196"/>
      <c r="MQK31" s="192"/>
      <c r="MQL31" s="181"/>
      <c r="MQM31" s="180"/>
      <c r="MQN31" s="197"/>
      <c r="MQO31" s="179"/>
      <c r="MQP31" s="196"/>
      <c r="MQQ31" s="179"/>
      <c r="MQR31" s="196"/>
      <c r="MQS31" s="196"/>
      <c r="MQT31" s="161"/>
      <c r="MQU31" s="193"/>
      <c r="MQV31" s="193"/>
      <c r="MQW31" s="194"/>
      <c r="MQX31" s="194"/>
      <c r="MQY31" s="194"/>
      <c r="MQZ31" s="194"/>
      <c r="MRA31" s="194"/>
      <c r="MRB31" s="161"/>
      <c r="MRC31" s="161"/>
      <c r="MRD31" s="194"/>
      <c r="MRE31" s="161"/>
      <c r="MRF31" s="193"/>
      <c r="MRG31" s="194"/>
      <c r="MRH31" s="161"/>
      <c r="MRI31" s="161"/>
      <c r="MRJ31" s="161"/>
      <c r="MRK31" s="194"/>
      <c r="MRL31" s="194"/>
      <c r="MRM31" s="194"/>
      <c r="MRN31" s="161"/>
      <c r="MRO31" s="194"/>
      <c r="MRP31" s="194"/>
      <c r="MRQ31" s="161"/>
      <c r="MRR31" s="194"/>
      <c r="MRS31" s="194"/>
      <c r="MRT31" s="194"/>
      <c r="MRU31" s="194"/>
      <c r="MRV31" s="194"/>
      <c r="MRW31" s="194"/>
      <c r="MRX31" s="161"/>
      <c r="MRY31" s="195"/>
      <c r="MRZ31" s="195"/>
      <c r="MSA31" s="161"/>
      <c r="MSB31" s="161"/>
      <c r="MSC31" s="161"/>
      <c r="MSD31" s="161"/>
      <c r="MSE31" s="196"/>
      <c r="MSF31" s="196"/>
      <c r="MSG31" s="192"/>
      <c r="MSH31" s="181"/>
      <c r="MSI31" s="180"/>
      <c r="MSJ31" s="197"/>
      <c r="MSK31" s="179"/>
      <c r="MSL31" s="196"/>
      <c r="MSM31" s="179"/>
      <c r="MSN31" s="196"/>
      <c r="MSO31" s="196"/>
      <c r="MSP31" s="161"/>
      <c r="MSQ31" s="193"/>
      <c r="MSR31" s="193"/>
      <c r="MSS31" s="194"/>
      <c r="MST31" s="194"/>
      <c r="MSU31" s="194"/>
      <c r="MSV31" s="194"/>
      <c r="MSW31" s="194"/>
      <c r="MSX31" s="161"/>
      <c r="MSY31" s="161"/>
      <c r="MSZ31" s="194"/>
      <c r="MTA31" s="161"/>
      <c r="MTB31" s="193"/>
      <c r="MTC31" s="194"/>
      <c r="MTD31" s="161"/>
      <c r="MTE31" s="161"/>
      <c r="MTF31" s="161"/>
      <c r="MTG31" s="194"/>
      <c r="MTH31" s="194"/>
      <c r="MTI31" s="194"/>
      <c r="MTJ31" s="161"/>
      <c r="MTK31" s="194"/>
      <c r="MTL31" s="194"/>
      <c r="MTM31" s="161"/>
      <c r="MTN31" s="194"/>
      <c r="MTO31" s="194"/>
      <c r="MTP31" s="194"/>
      <c r="MTQ31" s="194"/>
      <c r="MTR31" s="194"/>
      <c r="MTS31" s="194"/>
      <c r="MTT31" s="161"/>
      <c r="MTU31" s="195"/>
      <c r="MTV31" s="195"/>
      <c r="MTW31" s="161"/>
      <c r="MTX31" s="161"/>
      <c r="MTY31" s="161"/>
      <c r="MTZ31" s="161"/>
      <c r="MUA31" s="196"/>
      <c r="MUB31" s="196"/>
      <c r="MUC31" s="192"/>
      <c r="MUD31" s="181"/>
      <c r="MUE31" s="180"/>
      <c r="MUF31" s="197"/>
      <c r="MUG31" s="179"/>
      <c r="MUH31" s="196"/>
      <c r="MUI31" s="179"/>
      <c r="MUJ31" s="196"/>
      <c r="MUK31" s="196"/>
      <c r="MUL31" s="161"/>
      <c r="MUM31" s="193"/>
      <c r="MUN31" s="193"/>
      <c r="MUO31" s="194"/>
      <c r="MUP31" s="194"/>
      <c r="MUQ31" s="194"/>
      <c r="MUR31" s="194"/>
      <c r="MUS31" s="194"/>
      <c r="MUT31" s="161"/>
      <c r="MUU31" s="161"/>
      <c r="MUV31" s="194"/>
      <c r="MUW31" s="161"/>
      <c r="MUX31" s="193"/>
      <c r="MUY31" s="194"/>
      <c r="MUZ31" s="161"/>
      <c r="MVA31" s="161"/>
      <c r="MVB31" s="161"/>
      <c r="MVC31" s="194"/>
      <c r="MVD31" s="194"/>
      <c r="MVE31" s="194"/>
      <c r="MVF31" s="161"/>
      <c r="MVG31" s="194"/>
      <c r="MVH31" s="194"/>
      <c r="MVI31" s="161"/>
      <c r="MVJ31" s="194"/>
      <c r="MVK31" s="194"/>
      <c r="MVL31" s="194"/>
      <c r="MVM31" s="194"/>
      <c r="MVN31" s="194"/>
      <c r="MVO31" s="194"/>
      <c r="MVP31" s="161"/>
      <c r="MVQ31" s="195"/>
      <c r="MVR31" s="195"/>
      <c r="MVS31" s="161"/>
      <c r="MVT31" s="161"/>
      <c r="MVU31" s="161"/>
      <c r="MVV31" s="161"/>
      <c r="MVW31" s="196"/>
      <c r="MVX31" s="196"/>
      <c r="MVY31" s="192"/>
      <c r="MVZ31" s="181"/>
      <c r="MWA31" s="180"/>
      <c r="MWB31" s="197"/>
      <c r="MWC31" s="179"/>
      <c r="MWD31" s="196"/>
      <c r="MWE31" s="179"/>
      <c r="MWF31" s="196"/>
      <c r="MWG31" s="196"/>
      <c r="MWH31" s="161"/>
      <c r="MWI31" s="193"/>
      <c r="MWJ31" s="193"/>
      <c r="MWK31" s="194"/>
      <c r="MWL31" s="194"/>
      <c r="MWM31" s="194"/>
      <c r="MWN31" s="194"/>
      <c r="MWO31" s="194"/>
      <c r="MWP31" s="161"/>
      <c r="MWQ31" s="161"/>
      <c r="MWR31" s="194"/>
      <c r="MWS31" s="161"/>
      <c r="MWT31" s="193"/>
      <c r="MWU31" s="194"/>
      <c r="MWV31" s="161"/>
      <c r="MWW31" s="161"/>
      <c r="MWX31" s="161"/>
      <c r="MWY31" s="194"/>
      <c r="MWZ31" s="194"/>
      <c r="MXA31" s="194"/>
      <c r="MXB31" s="161"/>
      <c r="MXC31" s="194"/>
      <c r="MXD31" s="194"/>
      <c r="MXE31" s="161"/>
      <c r="MXF31" s="194"/>
      <c r="MXG31" s="194"/>
      <c r="MXH31" s="194"/>
      <c r="MXI31" s="194"/>
      <c r="MXJ31" s="194"/>
      <c r="MXK31" s="194"/>
      <c r="MXL31" s="161"/>
      <c r="MXM31" s="195"/>
      <c r="MXN31" s="195"/>
      <c r="MXO31" s="161"/>
      <c r="MXP31" s="161"/>
      <c r="MXQ31" s="161"/>
      <c r="MXR31" s="161"/>
      <c r="MXS31" s="196"/>
      <c r="MXT31" s="196"/>
      <c r="MXU31" s="192"/>
      <c r="MXV31" s="181"/>
      <c r="MXW31" s="180"/>
      <c r="MXX31" s="197"/>
      <c r="MXY31" s="179"/>
      <c r="MXZ31" s="196"/>
      <c r="MYA31" s="179"/>
      <c r="MYB31" s="196"/>
      <c r="MYC31" s="196"/>
      <c r="MYD31" s="161"/>
      <c r="MYE31" s="193"/>
      <c r="MYF31" s="193"/>
      <c r="MYG31" s="194"/>
      <c r="MYH31" s="194"/>
      <c r="MYI31" s="194"/>
      <c r="MYJ31" s="194"/>
      <c r="MYK31" s="194"/>
      <c r="MYL31" s="161"/>
      <c r="MYM31" s="161"/>
      <c r="MYN31" s="194"/>
      <c r="MYO31" s="161"/>
      <c r="MYP31" s="193"/>
      <c r="MYQ31" s="194"/>
      <c r="MYR31" s="161"/>
      <c r="MYS31" s="161"/>
      <c r="MYT31" s="161"/>
      <c r="MYU31" s="194"/>
      <c r="MYV31" s="194"/>
      <c r="MYW31" s="194"/>
      <c r="MYX31" s="161"/>
      <c r="MYY31" s="194"/>
      <c r="MYZ31" s="194"/>
      <c r="MZA31" s="161"/>
      <c r="MZB31" s="194"/>
      <c r="MZC31" s="194"/>
      <c r="MZD31" s="194"/>
      <c r="MZE31" s="194"/>
      <c r="MZF31" s="194"/>
      <c r="MZG31" s="194"/>
      <c r="MZH31" s="161"/>
      <c r="MZI31" s="195"/>
      <c r="MZJ31" s="195"/>
      <c r="MZK31" s="161"/>
      <c r="MZL31" s="161"/>
      <c r="MZM31" s="161"/>
      <c r="MZN31" s="161"/>
      <c r="MZO31" s="196"/>
      <c r="MZP31" s="196"/>
      <c r="MZQ31" s="192"/>
      <c r="MZR31" s="181"/>
      <c r="MZS31" s="180"/>
      <c r="MZT31" s="197"/>
      <c r="MZU31" s="179"/>
      <c r="MZV31" s="196"/>
      <c r="MZW31" s="179"/>
      <c r="MZX31" s="196"/>
      <c r="MZY31" s="196"/>
      <c r="MZZ31" s="161"/>
      <c r="NAA31" s="193"/>
      <c r="NAB31" s="193"/>
      <c r="NAC31" s="194"/>
      <c r="NAD31" s="194"/>
      <c r="NAE31" s="194"/>
      <c r="NAF31" s="194"/>
      <c r="NAG31" s="194"/>
      <c r="NAH31" s="161"/>
      <c r="NAI31" s="161"/>
      <c r="NAJ31" s="194"/>
      <c r="NAK31" s="161"/>
      <c r="NAL31" s="193"/>
      <c r="NAM31" s="194"/>
      <c r="NAN31" s="161"/>
      <c r="NAO31" s="161"/>
      <c r="NAP31" s="161"/>
      <c r="NAQ31" s="194"/>
      <c r="NAR31" s="194"/>
      <c r="NAS31" s="194"/>
      <c r="NAT31" s="161"/>
      <c r="NAU31" s="194"/>
      <c r="NAV31" s="194"/>
      <c r="NAW31" s="161"/>
      <c r="NAX31" s="194"/>
      <c r="NAY31" s="194"/>
      <c r="NAZ31" s="194"/>
      <c r="NBA31" s="194"/>
      <c r="NBB31" s="194"/>
      <c r="NBC31" s="194"/>
      <c r="NBD31" s="161"/>
      <c r="NBE31" s="195"/>
      <c r="NBF31" s="195"/>
      <c r="NBG31" s="161"/>
      <c r="NBH31" s="161"/>
      <c r="NBI31" s="161"/>
      <c r="NBJ31" s="161"/>
      <c r="NBK31" s="196"/>
      <c r="NBL31" s="196"/>
      <c r="NBM31" s="192"/>
      <c r="NBN31" s="181"/>
      <c r="NBO31" s="180"/>
      <c r="NBP31" s="197"/>
      <c r="NBQ31" s="179"/>
      <c r="NBR31" s="196"/>
      <c r="NBS31" s="179"/>
      <c r="NBT31" s="196"/>
      <c r="NBU31" s="196"/>
      <c r="NBV31" s="161"/>
      <c r="NBW31" s="193"/>
      <c r="NBX31" s="193"/>
      <c r="NBY31" s="194"/>
      <c r="NBZ31" s="194"/>
      <c r="NCA31" s="194"/>
      <c r="NCB31" s="194"/>
      <c r="NCC31" s="194"/>
      <c r="NCD31" s="161"/>
      <c r="NCE31" s="161"/>
      <c r="NCF31" s="194"/>
      <c r="NCG31" s="161"/>
      <c r="NCH31" s="193"/>
      <c r="NCI31" s="194"/>
      <c r="NCJ31" s="161"/>
      <c r="NCK31" s="161"/>
      <c r="NCL31" s="161"/>
      <c r="NCM31" s="194"/>
      <c r="NCN31" s="194"/>
      <c r="NCO31" s="194"/>
      <c r="NCP31" s="161"/>
      <c r="NCQ31" s="194"/>
      <c r="NCR31" s="194"/>
      <c r="NCS31" s="161"/>
      <c r="NCT31" s="194"/>
      <c r="NCU31" s="194"/>
      <c r="NCV31" s="194"/>
      <c r="NCW31" s="194"/>
      <c r="NCX31" s="194"/>
      <c r="NCY31" s="194"/>
      <c r="NCZ31" s="161"/>
      <c r="NDA31" s="195"/>
      <c r="NDB31" s="195"/>
      <c r="NDC31" s="161"/>
      <c r="NDD31" s="161"/>
      <c r="NDE31" s="161"/>
      <c r="NDF31" s="161"/>
      <c r="NDG31" s="196"/>
      <c r="NDH31" s="196"/>
      <c r="NDI31" s="192"/>
      <c r="NDJ31" s="181"/>
      <c r="NDK31" s="180"/>
      <c r="NDL31" s="197"/>
      <c r="NDM31" s="179"/>
      <c r="NDN31" s="196"/>
      <c r="NDO31" s="179"/>
      <c r="NDP31" s="196"/>
      <c r="NDQ31" s="196"/>
      <c r="NDR31" s="161"/>
      <c r="NDS31" s="193"/>
      <c r="NDT31" s="193"/>
      <c r="NDU31" s="194"/>
      <c r="NDV31" s="194"/>
      <c r="NDW31" s="194"/>
      <c r="NDX31" s="194"/>
      <c r="NDY31" s="194"/>
      <c r="NDZ31" s="161"/>
      <c r="NEA31" s="161"/>
      <c r="NEB31" s="194"/>
      <c r="NEC31" s="161"/>
      <c r="NED31" s="193"/>
      <c r="NEE31" s="194"/>
      <c r="NEF31" s="161"/>
      <c r="NEG31" s="161"/>
      <c r="NEH31" s="161"/>
      <c r="NEI31" s="194"/>
      <c r="NEJ31" s="194"/>
      <c r="NEK31" s="194"/>
      <c r="NEL31" s="161"/>
      <c r="NEM31" s="194"/>
      <c r="NEN31" s="194"/>
      <c r="NEO31" s="161"/>
      <c r="NEP31" s="194"/>
      <c r="NEQ31" s="194"/>
      <c r="NER31" s="194"/>
      <c r="NES31" s="194"/>
      <c r="NET31" s="194"/>
      <c r="NEU31" s="194"/>
      <c r="NEV31" s="161"/>
      <c r="NEW31" s="195"/>
      <c r="NEX31" s="195"/>
      <c r="NEY31" s="161"/>
      <c r="NEZ31" s="161"/>
      <c r="NFA31" s="161"/>
      <c r="NFB31" s="161"/>
      <c r="NFC31" s="196"/>
      <c r="NFD31" s="196"/>
      <c r="NFE31" s="192"/>
      <c r="NFF31" s="181"/>
      <c r="NFG31" s="180"/>
      <c r="NFH31" s="197"/>
      <c r="NFI31" s="179"/>
      <c r="NFJ31" s="196"/>
      <c r="NFK31" s="179"/>
      <c r="NFL31" s="196"/>
      <c r="NFM31" s="196"/>
      <c r="NFN31" s="161"/>
      <c r="NFO31" s="193"/>
      <c r="NFP31" s="193"/>
      <c r="NFQ31" s="194"/>
      <c r="NFR31" s="194"/>
      <c r="NFS31" s="194"/>
      <c r="NFT31" s="194"/>
      <c r="NFU31" s="194"/>
      <c r="NFV31" s="161"/>
      <c r="NFW31" s="161"/>
      <c r="NFX31" s="194"/>
      <c r="NFY31" s="161"/>
      <c r="NFZ31" s="193"/>
      <c r="NGA31" s="194"/>
      <c r="NGB31" s="161"/>
      <c r="NGC31" s="161"/>
      <c r="NGD31" s="161"/>
      <c r="NGE31" s="194"/>
      <c r="NGF31" s="194"/>
      <c r="NGG31" s="194"/>
      <c r="NGH31" s="161"/>
      <c r="NGI31" s="194"/>
      <c r="NGJ31" s="194"/>
      <c r="NGK31" s="161"/>
      <c r="NGL31" s="194"/>
      <c r="NGM31" s="194"/>
      <c r="NGN31" s="194"/>
      <c r="NGO31" s="194"/>
      <c r="NGP31" s="194"/>
      <c r="NGQ31" s="194"/>
      <c r="NGR31" s="161"/>
      <c r="NGS31" s="195"/>
      <c r="NGT31" s="195"/>
      <c r="NGU31" s="161"/>
      <c r="NGV31" s="161"/>
      <c r="NGW31" s="161"/>
      <c r="NGX31" s="161"/>
      <c r="NGY31" s="196"/>
      <c r="NGZ31" s="196"/>
      <c r="NHA31" s="192"/>
      <c r="NHB31" s="181"/>
      <c r="NHC31" s="180"/>
      <c r="NHD31" s="197"/>
      <c r="NHE31" s="179"/>
      <c r="NHF31" s="196"/>
      <c r="NHG31" s="179"/>
      <c r="NHH31" s="196"/>
      <c r="NHI31" s="196"/>
      <c r="NHJ31" s="161"/>
      <c r="NHK31" s="193"/>
      <c r="NHL31" s="193"/>
      <c r="NHM31" s="194"/>
      <c r="NHN31" s="194"/>
      <c r="NHO31" s="194"/>
      <c r="NHP31" s="194"/>
      <c r="NHQ31" s="194"/>
      <c r="NHR31" s="161"/>
      <c r="NHS31" s="161"/>
      <c r="NHT31" s="194"/>
      <c r="NHU31" s="161"/>
      <c r="NHV31" s="193"/>
      <c r="NHW31" s="194"/>
      <c r="NHX31" s="161"/>
      <c r="NHY31" s="161"/>
      <c r="NHZ31" s="161"/>
      <c r="NIA31" s="194"/>
      <c r="NIB31" s="194"/>
      <c r="NIC31" s="194"/>
      <c r="NID31" s="161"/>
      <c r="NIE31" s="194"/>
      <c r="NIF31" s="194"/>
      <c r="NIG31" s="161"/>
      <c r="NIH31" s="194"/>
      <c r="NII31" s="194"/>
      <c r="NIJ31" s="194"/>
      <c r="NIK31" s="194"/>
      <c r="NIL31" s="194"/>
      <c r="NIM31" s="194"/>
      <c r="NIN31" s="161"/>
      <c r="NIO31" s="195"/>
      <c r="NIP31" s="195"/>
      <c r="NIQ31" s="161"/>
      <c r="NIR31" s="161"/>
      <c r="NIS31" s="161"/>
      <c r="NIT31" s="161"/>
      <c r="NIU31" s="196"/>
      <c r="NIV31" s="196"/>
      <c r="NIW31" s="192"/>
      <c r="NIX31" s="181"/>
      <c r="NIY31" s="180"/>
      <c r="NIZ31" s="197"/>
      <c r="NJA31" s="179"/>
      <c r="NJB31" s="196"/>
      <c r="NJC31" s="179"/>
      <c r="NJD31" s="196"/>
      <c r="NJE31" s="196"/>
      <c r="NJF31" s="161"/>
      <c r="NJG31" s="193"/>
      <c r="NJH31" s="193"/>
      <c r="NJI31" s="194"/>
      <c r="NJJ31" s="194"/>
      <c r="NJK31" s="194"/>
      <c r="NJL31" s="194"/>
      <c r="NJM31" s="194"/>
      <c r="NJN31" s="161"/>
      <c r="NJO31" s="161"/>
      <c r="NJP31" s="194"/>
      <c r="NJQ31" s="161"/>
      <c r="NJR31" s="193"/>
      <c r="NJS31" s="194"/>
      <c r="NJT31" s="161"/>
      <c r="NJU31" s="161"/>
      <c r="NJV31" s="161"/>
      <c r="NJW31" s="194"/>
      <c r="NJX31" s="194"/>
      <c r="NJY31" s="194"/>
      <c r="NJZ31" s="161"/>
      <c r="NKA31" s="194"/>
      <c r="NKB31" s="194"/>
      <c r="NKC31" s="161"/>
      <c r="NKD31" s="194"/>
      <c r="NKE31" s="194"/>
      <c r="NKF31" s="194"/>
      <c r="NKG31" s="194"/>
      <c r="NKH31" s="194"/>
      <c r="NKI31" s="194"/>
      <c r="NKJ31" s="161"/>
      <c r="NKK31" s="195"/>
      <c r="NKL31" s="195"/>
      <c r="NKM31" s="161"/>
      <c r="NKN31" s="161"/>
      <c r="NKO31" s="161"/>
      <c r="NKP31" s="161"/>
      <c r="NKQ31" s="196"/>
      <c r="NKR31" s="196"/>
      <c r="NKS31" s="192"/>
      <c r="NKT31" s="181"/>
      <c r="NKU31" s="180"/>
      <c r="NKV31" s="197"/>
      <c r="NKW31" s="179"/>
      <c r="NKX31" s="196"/>
      <c r="NKY31" s="179"/>
      <c r="NKZ31" s="196"/>
      <c r="NLA31" s="196"/>
      <c r="NLB31" s="161"/>
      <c r="NLC31" s="193"/>
      <c r="NLD31" s="193"/>
      <c r="NLE31" s="194"/>
      <c r="NLF31" s="194"/>
      <c r="NLG31" s="194"/>
      <c r="NLH31" s="194"/>
      <c r="NLI31" s="194"/>
      <c r="NLJ31" s="161"/>
      <c r="NLK31" s="161"/>
      <c r="NLL31" s="194"/>
      <c r="NLM31" s="161"/>
      <c r="NLN31" s="193"/>
      <c r="NLO31" s="194"/>
      <c r="NLP31" s="161"/>
      <c r="NLQ31" s="161"/>
      <c r="NLR31" s="161"/>
      <c r="NLS31" s="194"/>
      <c r="NLT31" s="194"/>
      <c r="NLU31" s="194"/>
      <c r="NLV31" s="161"/>
      <c r="NLW31" s="194"/>
      <c r="NLX31" s="194"/>
      <c r="NLY31" s="161"/>
      <c r="NLZ31" s="194"/>
      <c r="NMA31" s="194"/>
      <c r="NMB31" s="194"/>
      <c r="NMC31" s="194"/>
      <c r="NMD31" s="194"/>
      <c r="NME31" s="194"/>
      <c r="NMF31" s="161"/>
      <c r="NMG31" s="195"/>
      <c r="NMH31" s="195"/>
      <c r="NMI31" s="161"/>
      <c r="NMJ31" s="161"/>
      <c r="NMK31" s="161"/>
      <c r="NML31" s="161"/>
      <c r="NMM31" s="196"/>
      <c r="NMN31" s="196"/>
      <c r="NMO31" s="192"/>
      <c r="NMP31" s="181"/>
      <c r="NMQ31" s="180"/>
      <c r="NMR31" s="197"/>
      <c r="NMS31" s="179"/>
      <c r="NMT31" s="196"/>
      <c r="NMU31" s="179"/>
      <c r="NMV31" s="196"/>
      <c r="NMW31" s="196"/>
      <c r="NMX31" s="161"/>
      <c r="NMY31" s="193"/>
      <c r="NMZ31" s="193"/>
      <c r="NNA31" s="194"/>
      <c r="NNB31" s="194"/>
      <c r="NNC31" s="194"/>
      <c r="NND31" s="194"/>
      <c r="NNE31" s="194"/>
      <c r="NNF31" s="161"/>
      <c r="NNG31" s="161"/>
      <c r="NNH31" s="194"/>
      <c r="NNI31" s="161"/>
      <c r="NNJ31" s="193"/>
      <c r="NNK31" s="194"/>
      <c r="NNL31" s="161"/>
      <c r="NNM31" s="161"/>
      <c r="NNN31" s="161"/>
      <c r="NNO31" s="194"/>
      <c r="NNP31" s="194"/>
      <c r="NNQ31" s="194"/>
      <c r="NNR31" s="161"/>
      <c r="NNS31" s="194"/>
      <c r="NNT31" s="194"/>
      <c r="NNU31" s="161"/>
      <c r="NNV31" s="194"/>
      <c r="NNW31" s="194"/>
      <c r="NNX31" s="194"/>
      <c r="NNY31" s="194"/>
      <c r="NNZ31" s="194"/>
      <c r="NOA31" s="194"/>
      <c r="NOB31" s="161"/>
      <c r="NOC31" s="195"/>
      <c r="NOD31" s="195"/>
      <c r="NOE31" s="161"/>
      <c r="NOF31" s="161"/>
      <c r="NOG31" s="161"/>
      <c r="NOH31" s="161"/>
      <c r="NOI31" s="196"/>
      <c r="NOJ31" s="196"/>
      <c r="NOK31" s="192"/>
      <c r="NOL31" s="181"/>
      <c r="NOM31" s="180"/>
      <c r="NON31" s="197"/>
      <c r="NOO31" s="179"/>
      <c r="NOP31" s="196"/>
      <c r="NOQ31" s="179"/>
      <c r="NOR31" s="196"/>
      <c r="NOS31" s="196"/>
      <c r="NOT31" s="161"/>
      <c r="NOU31" s="193"/>
      <c r="NOV31" s="193"/>
      <c r="NOW31" s="194"/>
      <c r="NOX31" s="194"/>
      <c r="NOY31" s="194"/>
      <c r="NOZ31" s="194"/>
      <c r="NPA31" s="194"/>
      <c r="NPB31" s="161"/>
      <c r="NPC31" s="161"/>
      <c r="NPD31" s="194"/>
      <c r="NPE31" s="161"/>
      <c r="NPF31" s="193"/>
      <c r="NPG31" s="194"/>
      <c r="NPH31" s="161"/>
      <c r="NPI31" s="161"/>
      <c r="NPJ31" s="161"/>
      <c r="NPK31" s="194"/>
      <c r="NPL31" s="194"/>
      <c r="NPM31" s="194"/>
      <c r="NPN31" s="161"/>
      <c r="NPO31" s="194"/>
      <c r="NPP31" s="194"/>
      <c r="NPQ31" s="161"/>
      <c r="NPR31" s="194"/>
      <c r="NPS31" s="194"/>
      <c r="NPT31" s="194"/>
      <c r="NPU31" s="194"/>
      <c r="NPV31" s="194"/>
      <c r="NPW31" s="194"/>
      <c r="NPX31" s="161"/>
      <c r="NPY31" s="195"/>
      <c r="NPZ31" s="195"/>
      <c r="NQA31" s="161"/>
      <c r="NQB31" s="161"/>
      <c r="NQC31" s="161"/>
      <c r="NQD31" s="161"/>
      <c r="NQE31" s="196"/>
      <c r="NQF31" s="196"/>
      <c r="NQG31" s="192"/>
      <c r="NQH31" s="181"/>
      <c r="NQI31" s="180"/>
      <c r="NQJ31" s="197"/>
      <c r="NQK31" s="179"/>
      <c r="NQL31" s="196"/>
      <c r="NQM31" s="179"/>
      <c r="NQN31" s="196"/>
      <c r="NQO31" s="196"/>
      <c r="NQP31" s="161"/>
      <c r="NQQ31" s="193"/>
      <c r="NQR31" s="193"/>
      <c r="NQS31" s="194"/>
      <c r="NQT31" s="194"/>
      <c r="NQU31" s="194"/>
      <c r="NQV31" s="194"/>
      <c r="NQW31" s="194"/>
      <c r="NQX31" s="161"/>
      <c r="NQY31" s="161"/>
      <c r="NQZ31" s="194"/>
      <c r="NRA31" s="161"/>
      <c r="NRB31" s="193"/>
      <c r="NRC31" s="194"/>
      <c r="NRD31" s="161"/>
      <c r="NRE31" s="161"/>
      <c r="NRF31" s="161"/>
      <c r="NRG31" s="194"/>
      <c r="NRH31" s="194"/>
      <c r="NRI31" s="194"/>
      <c r="NRJ31" s="161"/>
      <c r="NRK31" s="194"/>
      <c r="NRL31" s="194"/>
      <c r="NRM31" s="161"/>
      <c r="NRN31" s="194"/>
      <c r="NRO31" s="194"/>
      <c r="NRP31" s="194"/>
      <c r="NRQ31" s="194"/>
      <c r="NRR31" s="194"/>
      <c r="NRS31" s="194"/>
      <c r="NRT31" s="161"/>
      <c r="NRU31" s="195"/>
      <c r="NRV31" s="195"/>
      <c r="NRW31" s="161"/>
      <c r="NRX31" s="161"/>
      <c r="NRY31" s="161"/>
      <c r="NRZ31" s="161"/>
      <c r="NSA31" s="196"/>
      <c r="NSB31" s="196"/>
      <c r="NSC31" s="192"/>
      <c r="NSD31" s="181"/>
      <c r="NSE31" s="180"/>
      <c r="NSF31" s="197"/>
      <c r="NSG31" s="179"/>
      <c r="NSH31" s="196"/>
      <c r="NSI31" s="179"/>
      <c r="NSJ31" s="196"/>
      <c r="NSK31" s="196"/>
      <c r="NSL31" s="161"/>
      <c r="NSM31" s="193"/>
      <c r="NSN31" s="193"/>
      <c r="NSO31" s="194"/>
      <c r="NSP31" s="194"/>
      <c r="NSQ31" s="194"/>
      <c r="NSR31" s="194"/>
      <c r="NSS31" s="194"/>
      <c r="NST31" s="161"/>
      <c r="NSU31" s="161"/>
      <c r="NSV31" s="194"/>
      <c r="NSW31" s="161"/>
      <c r="NSX31" s="193"/>
      <c r="NSY31" s="194"/>
      <c r="NSZ31" s="161"/>
      <c r="NTA31" s="161"/>
      <c r="NTB31" s="161"/>
      <c r="NTC31" s="194"/>
      <c r="NTD31" s="194"/>
      <c r="NTE31" s="194"/>
      <c r="NTF31" s="161"/>
      <c r="NTG31" s="194"/>
      <c r="NTH31" s="194"/>
      <c r="NTI31" s="161"/>
      <c r="NTJ31" s="194"/>
      <c r="NTK31" s="194"/>
      <c r="NTL31" s="194"/>
      <c r="NTM31" s="194"/>
      <c r="NTN31" s="194"/>
      <c r="NTO31" s="194"/>
      <c r="NTP31" s="161"/>
      <c r="NTQ31" s="195"/>
      <c r="NTR31" s="195"/>
      <c r="NTS31" s="161"/>
      <c r="NTT31" s="161"/>
      <c r="NTU31" s="161"/>
      <c r="NTV31" s="161"/>
      <c r="NTW31" s="196"/>
      <c r="NTX31" s="196"/>
      <c r="NTY31" s="192"/>
      <c r="NTZ31" s="181"/>
      <c r="NUA31" s="180"/>
      <c r="NUB31" s="197"/>
      <c r="NUC31" s="179"/>
      <c r="NUD31" s="196"/>
      <c r="NUE31" s="179"/>
      <c r="NUF31" s="196"/>
      <c r="NUG31" s="196"/>
      <c r="NUH31" s="161"/>
      <c r="NUI31" s="193"/>
      <c r="NUJ31" s="193"/>
      <c r="NUK31" s="194"/>
      <c r="NUL31" s="194"/>
      <c r="NUM31" s="194"/>
      <c r="NUN31" s="194"/>
      <c r="NUO31" s="194"/>
      <c r="NUP31" s="161"/>
      <c r="NUQ31" s="161"/>
      <c r="NUR31" s="194"/>
      <c r="NUS31" s="161"/>
      <c r="NUT31" s="193"/>
      <c r="NUU31" s="194"/>
      <c r="NUV31" s="161"/>
      <c r="NUW31" s="161"/>
      <c r="NUX31" s="161"/>
      <c r="NUY31" s="194"/>
      <c r="NUZ31" s="194"/>
      <c r="NVA31" s="194"/>
      <c r="NVB31" s="161"/>
      <c r="NVC31" s="194"/>
      <c r="NVD31" s="194"/>
      <c r="NVE31" s="161"/>
      <c r="NVF31" s="194"/>
      <c r="NVG31" s="194"/>
      <c r="NVH31" s="194"/>
      <c r="NVI31" s="194"/>
      <c r="NVJ31" s="194"/>
      <c r="NVK31" s="194"/>
      <c r="NVL31" s="161"/>
      <c r="NVM31" s="195"/>
      <c r="NVN31" s="195"/>
      <c r="NVO31" s="161"/>
      <c r="NVP31" s="161"/>
      <c r="NVQ31" s="161"/>
      <c r="NVR31" s="161"/>
      <c r="NVS31" s="196"/>
      <c r="NVT31" s="196"/>
      <c r="NVU31" s="192"/>
      <c r="NVV31" s="181"/>
      <c r="NVW31" s="180"/>
      <c r="NVX31" s="197"/>
      <c r="NVY31" s="179"/>
      <c r="NVZ31" s="196"/>
      <c r="NWA31" s="179"/>
      <c r="NWB31" s="196"/>
      <c r="NWC31" s="196"/>
      <c r="NWD31" s="161"/>
      <c r="NWE31" s="193"/>
      <c r="NWF31" s="193"/>
      <c r="NWG31" s="194"/>
      <c r="NWH31" s="194"/>
      <c r="NWI31" s="194"/>
      <c r="NWJ31" s="194"/>
      <c r="NWK31" s="194"/>
      <c r="NWL31" s="161"/>
      <c r="NWM31" s="161"/>
      <c r="NWN31" s="194"/>
      <c r="NWO31" s="161"/>
      <c r="NWP31" s="193"/>
      <c r="NWQ31" s="194"/>
      <c r="NWR31" s="161"/>
      <c r="NWS31" s="161"/>
      <c r="NWT31" s="161"/>
      <c r="NWU31" s="194"/>
      <c r="NWV31" s="194"/>
      <c r="NWW31" s="194"/>
      <c r="NWX31" s="161"/>
      <c r="NWY31" s="194"/>
      <c r="NWZ31" s="194"/>
      <c r="NXA31" s="161"/>
      <c r="NXB31" s="194"/>
      <c r="NXC31" s="194"/>
      <c r="NXD31" s="194"/>
      <c r="NXE31" s="194"/>
      <c r="NXF31" s="194"/>
      <c r="NXG31" s="194"/>
      <c r="NXH31" s="161"/>
      <c r="NXI31" s="195"/>
      <c r="NXJ31" s="195"/>
      <c r="NXK31" s="161"/>
      <c r="NXL31" s="161"/>
      <c r="NXM31" s="161"/>
      <c r="NXN31" s="161"/>
      <c r="NXO31" s="196"/>
      <c r="NXP31" s="196"/>
      <c r="NXQ31" s="192"/>
      <c r="NXR31" s="181"/>
      <c r="NXS31" s="180"/>
      <c r="NXT31" s="197"/>
      <c r="NXU31" s="179"/>
      <c r="NXV31" s="196"/>
      <c r="NXW31" s="179"/>
      <c r="NXX31" s="196"/>
      <c r="NXY31" s="196"/>
      <c r="NXZ31" s="161"/>
      <c r="NYA31" s="193"/>
      <c r="NYB31" s="193"/>
      <c r="NYC31" s="194"/>
      <c r="NYD31" s="194"/>
      <c r="NYE31" s="194"/>
      <c r="NYF31" s="194"/>
      <c r="NYG31" s="194"/>
      <c r="NYH31" s="161"/>
      <c r="NYI31" s="161"/>
      <c r="NYJ31" s="194"/>
      <c r="NYK31" s="161"/>
      <c r="NYL31" s="193"/>
      <c r="NYM31" s="194"/>
      <c r="NYN31" s="161"/>
      <c r="NYO31" s="161"/>
      <c r="NYP31" s="161"/>
      <c r="NYQ31" s="194"/>
      <c r="NYR31" s="194"/>
      <c r="NYS31" s="194"/>
      <c r="NYT31" s="161"/>
      <c r="NYU31" s="194"/>
      <c r="NYV31" s="194"/>
      <c r="NYW31" s="161"/>
      <c r="NYX31" s="194"/>
      <c r="NYY31" s="194"/>
      <c r="NYZ31" s="194"/>
      <c r="NZA31" s="194"/>
      <c r="NZB31" s="194"/>
      <c r="NZC31" s="194"/>
      <c r="NZD31" s="161"/>
      <c r="NZE31" s="195"/>
      <c r="NZF31" s="195"/>
      <c r="NZG31" s="161"/>
      <c r="NZH31" s="161"/>
      <c r="NZI31" s="161"/>
      <c r="NZJ31" s="161"/>
      <c r="NZK31" s="196"/>
      <c r="NZL31" s="196"/>
      <c r="NZM31" s="192"/>
      <c r="NZN31" s="181"/>
      <c r="NZO31" s="180"/>
      <c r="NZP31" s="197"/>
      <c r="NZQ31" s="179"/>
      <c r="NZR31" s="196"/>
      <c r="NZS31" s="179"/>
      <c r="NZT31" s="196"/>
      <c r="NZU31" s="196"/>
      <c r="NZV31" s="161"/>
      <c r="NZW31" s="193"/>
      <c r="NZX31" s="193"/>
      <c r="NZY31" s="194"/>
      <c r="NZZ31" s="194"/>
      <c r="OAA31" s="194"/>
      <c r="OAB31" s="194"/>
      <c r="OAC31" s="194"/>
      <c r="OAD31" s="161"/>
      <c r="OAE31" s="161"/>
      <c r="OAF31" s="194"/>
      <c r="OAG31" s="161"/>
      <c r="OAH31" s="193"/>
      <c r="OAI31" s="194"/>
      <c r="OAJ31" s="161"/>
      <c r="OAK31" s="161"/>
      <c r="OAL31" s="161"/>
      <c r="OAM31" s="194"/>
      <c r="OAN31" s="194"/>
      <c r="OAO31" s="194"/>
      <c r="OAP31" s="161"/>
      <c r="OAQ31" s="194"/>
      <c r="OAR31" s="194"/>
      <c r="OAS31" s="161"/>
      <c r="OAT31" s="194"/>
      <c r="OAU31" s="194"/>
      <c r="OAV31" s="194"/>
      <c r="OAW31" s="194"/>
      <c r="OAX31" s="194"/>
      <c r="OAY31" s="194"/>
      <c r="OAZ31" s="161"/>
      <c r="OBA31" s="195"/>
      <c r="OBB31" s="195"/>
      <c r="OBC31" s="161"/>
      <c r="OBD31" s="161"/>
      <c r="OBE31" s="161"/>
      <c r="OBF31" s="161"/>
      <c r="OBG31" s="196"/>
      <c r="OBH31" s="196"/>
      <c r="OBI31" s="192"/>
      <c r="OBJ31" s="181"/>
      <c r="OBK31" s="180"/>
      <c r="OBL31" s="197"/>
      <c r="OBM31" s="179"/>
      <c r="OBN31" s="196"/>
      <c r="OBO31" s="179"/>
      <c r="OBP31" s="196"/>
      <c r="OBQ31" s="196"/>
      <c r="OBR31" s="161"/>
      <c r="OBS31" s="193"/>
      <c r="OBT31" s="193"/>
      <c r="OBU31" s="194"/>
      <c r="OBV31" s="194"/>
      <c r="OBW31" s="194"/>
      <c r="OBX31" s="194"/>
      <c r="OBY31" s="194"/>
      <c r="OBZ31" s="161"/>
      <c r="OCA31" s="161"/>
      <c r="OCB31" s="194"/>
      <c r="OCC31" s="161"/>
      <c r="OCD31" s="193"/>
      <c r="OCE31" s="194"/>
      <c r="OCF31" s="161"/>
      <c r="OCG31" s="161"/>
      <c r="OCH31" s="161"/>
      <c r="OCI31" s="194"/>
      <c r="OCJ31" s="194"/>
      <c r="OCK31" s="194"/>
      <c r="OCL31" s="161"/>
      <c r="OCM31" s="194"/>
      <c r="OCN31" s="194"/>
      <c r="OCO31" s="161"/>
      <c r="OCP31" s="194"/>
      <c r="OCQ31" s="194"/>
      <c r="OCR31" s="194"/>
      <c r="OCS31" s="194"/>
      <c r="OCT31" s="194"/>
      <c r="OCU31" s="194"/>
      <c r="OCV31" s="161"/>
      <c r="OCW31" s="195"/>
      <c r="OCX31" s="195"/>
      <c r="OCY31" s="161"/>
      <c r="OCZ31" s="161"/>
      <c r="ODA31" s="161"/>
      <c r="ODB31" s="161"/>
      <c r="ODC31" s="196"/>
      <c r="ODD31" s="196"/>
      <c r="ODE31" s="192"/>
      <c r="ODF31" s="181"/>
      <c r="ODG31" s="180"/>
      <c r="ODH31" s="197"/>
      <c r="ODI31" s="179"/>
      <c r="ODJ31" s="196"/>
      <c r="ODK31" s="179"/>
      <c r="ODL31" s="196"/>
      <c r="ODM31" s="196"/>
      <c r="ODN31" s="161"/>
      <c r="ODO31" s="193"/>
      <c r="ODP31" s="193"/>
      <c r="ODQ31" s="194"/>
      <c r="ODR31" s="194"/>
      <c r="ODS31" s="194"/>
      <c r="ODT31" s="194"/>
      <c r="ODU31" s="194"/>
      <c r="ODV31" s="161"/>
      <c r="ODW31" s="161"/>
      <c r="ODX31" s="194"/>
      <c r="ODY31" s="161"/>
      <c r="ODZ31" s="193"/>
      <c r="OEA31" s="194"/>
      <c r="OEB31" s="161"/>
      <c r="OEC31" s="161"/>
      <c r="OED31" s="161"/>
      <c r="OEE31" s="194"/>
      <c r="OEF31" s="194"/>
      <c r="OEG31" s="194"/>
      <c r="OEH31" s="161"/>
      <c r="OEI31" s="194"/>
      <c r="OEJ31" s="194"/>
      <c r="OEK31" s="161"/>
      <c r="OEL31" s="194"/>
      <c r="OEM31" s="194"/>
      <c r="OEN31" s="194"/>
      <c r="OEO31" s="194"/>
      <c r="OEP31" s="194"/>
      <c r="OEQ31" s="194"/>
      <c r="OER31" s="161"/>
      <c r="OES31" s="195"/>
      <c r="OET31" s="195"/>
      <c r="OEU31" s="161"/>
      <c r="OEV31" s="161"/>
      <c r="OEW31" s="161"/>
      <c r="OEX31" s="161"/>
      <c r="OEY31" s="196"/>
      <c r="OEZ31" s="196"/>
      <c r="OFA31" s="192"/>
      <c r="OFB31" s="181"/>
      <c r="OFC31" s="180"/>
      <c r="OFD31" s="197"/>
      <c r="OFE31" s="179"/>
      <c r="OFF31" s="196"/>
      <c r="OFG31" s="179"/>
      <c r="OFH31" s="196"/>
      <c r="OFI31" s="196"/>
      <c r="OFJ31" s="161"/>
      <c r="OFK31" s="193"/>
      <c r="OFL31" s="193"/>
      <c r="OFM31" s="194"/>
      <c r="OFN31" s="194"/>
      <c r="OFO31" s="194"/>
      <c r="OFP31" s="194"/>
      <c r="OFQ31" s="194"/>
      <c r="OFR31" s="161"/>
      <c r="OFS31" s="161"/>
      <c r="OFT31" s="194"/>
      <c r="OFU31" s="161"/>
      <c r="OFV31" s="193"/>
      <c r="OFW31" s="194"/>
      <c r="OFX31" s="161"/>
      <c r="OFY31" s="161"/>
      <c r="OFZ31" s="161"/>
      <c r="OGA31" s="194"/>
      <c r="OGB31" s="194"/>
      <c r="OGC31" s="194"/>
      <c r="OGD31" s="161"/>
      <c r="OGE31" s="194"/>
      <c r="OGF31" s="194"/>
      <c r="OGG31" s="161"/>
      <c r="OGH31" s="194"/>
      <c r="OGI31" s="194"/>
      <c r="OGJ31" s="194"/>
      <c r="OGK31" s="194"/>
      <c r="OGL31" s="194"/>
      <c r="OGM31" s="194"/>
      <c r="OGN31" s="161"/>
      <c r="OGO31" s="195"/>
      <c r="OGP31" s="195"/>
      <c r="OGQ31" s="161"/>
      <c r="OGR31" s="161"/>
      <c r="OGS31" s="161"/>
      <c r="OGT31" s="161"/>
      <c r="OGU31" s="196"/>
      <c r="OGV31" s="196"/>
      <c r="OGW31" s="192"/>
      <c r="OGX31" s="181"/>
      <c r="OGY31" s="180"/>
      <c r="OGZ31" s="197"/>
      <c r="OHA31" s="179"/>
      <c r="OHB31" s="196"/>
      <c r="OHC31" s="179"/>
      <c r="OHD31" s="196"/>
      <c r="OHE31" s="196"/>
      <c r="OHF31" s="161"/>
      <c r="OHG31" s="193"/>
      <c r="OHH31" s="193"/>
      <c r="OHI31" s="194"/>
      <c r="OHJ31" s="194"/>
      <c r="OHK31" s="194"/>
      <c r="OHL31" s="194"/>
      <c r="OHM31" s="194"/>
      <c r="OHN31" s="161"/>
      <c r="OHO31" s="161"/>
      <c r="OHP31" s="194"/>
      <c r="OHQ31" s="161"/>
      <c r="OHR31" s="193"/>
      <c r="OHS31" s="194"/>
      <c r="OHT31" s="161"/>
      <c r="OHU31" s="161"/>
      <c r="OHV31" s="161"/>
      <c r="OHW31" s="194"/>
      <c r="OHX31" s="194"/>
      <c r="OHY31" s="194"/>
      <c r="OHZ31" s="161"/>
      <c r="OIA31" s="194"/>
      <c r="OIB31" s="194"/>
      <c r="OIC31" s="161"/>
      <c r="OID31" s="194"/>
      <c r="OIE31" s="194"/>
      <c r="OIF31" s="194"/>
      <c r="OIG31" s="194"/>
      <c r="OIH31" s="194"/>
      <c r="OII31" s="194"/>
      <c r="OIJ31" s="161"/>
      <c r="OIK31" s="195"/>
      <c r="OIL31" s="195"/>
      <c r="OIM31" s="161"/>
      <c r="OIN31" s="161"/>
      <c r="OIO31" s="161"/>
      <c r="OIP31" s="161"/>
      <c r="OIQ31" s="196"/>
      <c r="OIR31" s="196"/>
      <c r="OIS31" s="192"/>
      <c r="OIT31" s="181"/>
      <c r="OIU31" s="180"/>
      <c r="OIV31" s="197"/>
      <c r="OIW31" s="179"/>
      <c r="OIX31" s="196"/>
      <c r="OIY31" s="179"/>
      <c r="OIZ31" s="196"/>
      <c r="OJA31" s="196"/>
      <c r="OJB31" s="161"/>
      <c r="OJC31" s="193"/>
      <c r="OJD31" s="193"/>
      <c r="OJE31" s="194"/>
      <c r="OJF31" s="194"/>
      <c r="OJG31" s="194"/>
      <c r="OJH31" s="194"/>
      <c r="OJI31" s="194"/>
      <c r="OJJ31" s="161"/>
      <c r="OJK31" s="161"/>
      <c r="OJL31" s="194"/>
      <c r="OJM31" s="161"/>
      <c r="OJN31" s="193"/>
      <c r="OJO31" s="194"/>
      <c r="OJP31" s="161"/>
      <c r="OJQ31" s="161"/>
      <c r="OJR31" s="161"/>
      <c r="OJS31" s="194"/>
      <c r="OJT31" s="194"/>
      <c r="OJU31" s="194"/>
      <c r="OJV31" s="161"/>
      <c r="OJW31" s="194"/>
      <c r="OJX31" s="194"/>
      <c r="OJY31" s="161"/>
      <c r="OJZ31" s="194"/>
      <c r="OKA31" s="194"/>
      <c r="OKB31" s="194"/>
      <c r="OKC31" s="194"/>
      <c r="OKD31" s="194"/>
      <c r="OKE31" s="194"/>
      <c r="OKF31" s="161"/>
      <c r="OKG31" s="195"/>
      <c r="OKH31" s="195"/>
      <c r="OKI31" s="161"/>
      <c r="OKJ31" s="161"/>
      <c r="OKK31" s="161"/>
      <c r="OKL31" s="161"/>
      <c r="OKM31" s="196"/>
      <c r="OKN31" s="196"/>
      <c r="OKO31" s="192"/>
      <c r="OKP31" s="181"/>
      <c r="OKQ31" s="180"/>
      <c r="OKR31" s="197"/>
      <c r="OKS31" s="179"/>
      <c r="OKT31" s="196"/>
      <c r="OKU31" s="179"/>
      <c r="OKV31" s="196"/>
      <c r="OKW31" s="196"/>
      <c r="OKX31" s="161"/>
      <c r="OKY31" s="193"/>
      <c r="OKZ31" s="193"/>
      <c r="OLA31" s="194"/>
      <c r="OLB31" s="194"/>
      <c r="OLC31" s="194"/>
      <c r="OLD31" s="194"/>
      <c r="OLE31" s="194"/>
      <c r="OLF31" s="161"/>
      <c r="OLG31" s="161"/>
      <c r="OLH31" s="194"/>
      <c r="OLI31" s="161"/>
      <c r="OLJ31" s="193"/>
      <c r="OLK31" s="194"/>
      <c r="OLL31" s="161"/>
      <c r="OLM31" s="161"/>
      <c r="OLN31" s="161"/>
      <c r="OLO31" s="194"/>
      <c r="OLP31" s="194"/>
      <c r="OLQ31" s="194"/>
      <c r="OLR31" s="161"/>
      <c r="OLS31" s="194"/>
      <c r="OLT31" s="194"/>
      <c r="OLU31" s="161"/>
      <c r="OLV31" s="194"/>
      <c r="OLW31" s="194"/>
      <c r="OLX31" s="194"/>
      <c r="OLY31" s="194"/>
      <c r="OLZ31" s="194"/>
      <c r="OMA31" s="194"/>
      <c r="OMB31" s="161"/>
      <c r="OMC31" s="195"/>
      <c r="OMD31" s="195"/>
      <c r="OME31" s="161"/>
      <c r="OMF31" s="161"/>
      <c r="OMG31" s="161"/>
      <c r="OMH31" s="161"/>
      <c r="OMI31" s="196"/>
      <c r="OMJ31" s="196"/>
      <c r="OMK31" s="192"/>
      <c r="OML31" s="181"/>
      <c r="OMM31" s="180"/>
      <c r="OMN31" s="197"/>
      <c r="OMO31" s="179"/>
      <c r="OMP31" s="196"/>
      <c r="OMQ31" s="179"/>
      <c r="OMR31" s="196"/>
      <c r="OMS31" s="196"/>
      <c r="OMT31" s="161"/>
      <c r="OMU31" s="193"/>
      <c r="OMV31" s="193"/>
      <c r="OMW31" s="194"/>
      <c r="OMX31" s="194"/>
      <c r="OMY31" s="194"/>
      <c r="OMZ31" s="194"/>
      <c r="ONA31" s="194"/>
      <c r="ONB31" s="161"/>
      <c r="ONC31" s="161"/>
      <c r="OND31" s="194"/>
      <c r="ONE31" s="161"/>
      <c r="ONF31" s="193"/>
      <c r="ONG31" s="194"/>
      <c r="ONH31" s="161"/>
      <c r="ONI31" s="161"/>
      <c r="ONJ31" s="161"/>
      <c r="ONK31" s="194"/>
      <c r="ONL31" s="194"/>
      <c r="ONM31" s="194"/>
      <c r="ONN31" s="161"/>
      <c r="ONO31" s="194"/>
      <c r="ONP31" s="194"/>
      <c r="ONQ31" s="161"/>
      <c r="ONR31" s="194"/>
      <c r="ONS31" s="194"/>
      <c r="ONT31" s="194"/>
      <c r="ONU31" s="194"/>
      <c r="ONV31" s="194"/>
      <c r="ONW31" s="194"/>
      <c r="ONX31" s="161"/>
      <c r="ONY31" s="195"/>
      <c r="ONZ31" s="195"/>
      <c r="OOA31" s="161"/>
      <c r="OOB31" s="161"/>
      <c r="OOC31" s="161"/>
      <c r="OOD31" s="161"/>
      <c r="OOE31" s="196"/>
      <c r="OOF31" s="196"/>
      <c r="OOG31" s="192"/>
      <c r="OOH31" s="181"/>
      <c r="OOI31" s="180"/>
      <c r="OOJ31" s="197"/>
      <c r="OOK31" s="179"/>
      <c r="OOL31" s="196"/>
      <c r="OOM31" s="179"/>
      <c r="OON31" s="196"/>
      <c r="OOO31" s="196"/>
      <c r="OOP31" s="161"/>
      <c r="OOQ31" s="193"/>
      <c r="OOR31" s="193"/>
      <c r="OOS31" s="194"/>
      <c r="OOT31" s="194"/>
      <c r="OOU31" s="194"/>
      <c r="OOV31" s="194"/>
      <c r="OOW31" s="194"/>
      <c r="OOX31" s="161"/>
      <c r="OOY31" s="161"/>
      <c r="OOZ31" s="194"/>
      <c r="OPA31" s="161"/>
      <c r="OPB31" s="193"/>
      <c r="OPC31" s="194"/>
      <c r="OPD31" s="161"/>
      <c r="OPE31" s="161"/>
      <c r="OPF31" s="161"/>
      <c r="OPG31" s="194"/>
      <c r="OPH31" s="194"/>
      <c r="OPI31" s="194"/>
      <c r="OPJ31" s="161"/>
      <c r="OPK31" s="194"/>
      <c r="OPL31" s="194"/>
      <c r="OPM31" s="161"/>
      <c r="OPN31" s="194"/>
      <c r="OPO31" s="194"/>
      <c r="OPP31" s="194"/>
      <c r="OPQ31" s="194"/>
      <c r="OPR31" s="194"/>
      <c r="OPS31" s="194"/>
      <c r="OPT31" s="161"/>
      <c r="OPU31" s="195"/>
      <c r="OPV31" s="195"/>
      <c r="OPW31" s="161"/>
      <c r="OPX31" s="161"/>
      <c r="OPY31" s="161"/>
      <c r="OPZ31" s="161"/>
      <c r="OQA31" s="196"/>
      <c r="OQB31" s="196"/>
      <c r="OQC31" s="192"/>
      <c r="OQD31" s="181"/>
      <c r="OQE31" s="180"/>
      <c r="OQF31" s="197"/>
      <c r="OQG31" s="179"/>
      <c r="OQH31" s="196"/>
      <c r="OQI31" s="179"/>
      <c r="OQJ31" s="196"/>
      <c r="OQK31" s="196"/>
      <c r="OQL31" s="161"/>
      <c r="OQM31" s="193"/>
      <c r="OQN31" s="193"/>
      <c r="OQO31" s="194"/>
      <c r="OQP31" s="194"/>
      <c r="OQQ31" s="194"/>
      <c r="OQR31" s="194"/>
      <c r="OQS31" s="194"/>
      <c r="OQT31" s="161"/>
      <c r="OQU31" s="161"/>
      <c r="OQV31" s="194"/>
      <c r="OQW31" s="161"/>
      <c r="OQX31" s="193"/>
      <c r="OQY31" s="194"/>
      <c r="OQZ31" s="161"/>
      <c r="ORA31" s="161"/>
      <c r="ORB31" s="161"/>
      <c r="ORC31" s="194"/>
      <c r="ORD31" s="194"/>
      <c r="ORE31" s="194"/>
      <c r="ORF31" s="161"/>
      <c r="ORG31" s="194"/>
      <c r="ORH31" s="194"/>
      <c r="ORI31" s="161"/>
      <c r="ORJ31" s="194"/>
      <c r="ORK31" s="194"/>
      <c r="ORL31" s="194"/>
      <c r="ORM31" s="194"/>
      <c r="ORN31" s="194"/>
      <c r="ORO31" s="194"/>
      <c r="ORP31" s="161"/>
      <c r="ORQ31" s="195"/>
      <c r="ORR31" s="195"/>
      <c r="ORS31" s="161"/>
      <c r="ORT31" s="161"/>
      <c r="ORU31" s="161"/>
      <c r="ORV31" s="161"/>
      <c r="ORW31" s="196"/>
      <c r="ORX31" s="196"/>
      <c r="ORY31" s="192"/>
      <c r="ORZ31" s="181"/>
      <c r="OSA31" s="180"/>
      <c r="OSB31" s="197"/>
      <c r="OSC31" s="179"/>
      <c r="OSD31" s="196"/>
      <c r="OSE31" s="179"/>
      <c r="OSF31" s="196"/>
      <c r="OSG31" s="196"/>
      <c r="OSH31" s="161"/>
      <c r="OSI31" s="193"/>
      <c r="OSJ31" s="193"/>
      <c r="OSK31" s="194"/>
      <c r="OSL31" s="194"/>
      <c r="OSM31" s="194"/>
      <c r="OSN31" s="194"/>
      <c r="OSO31" s="194"/>
      <c r="OSP31" s="161"/>
      <c r="OSQ31" s="161"/>
      <c r="OSR31" s="194"/>
      <c r="OSS31" s="161"/>
      <c r="OST31" s="193"/>
      <c r="OSU31" s="194"/>
      <c r="OSV31" s="161"/>
      <c r="OSW31" s="161"/>
      <c r="OSX31" s="161"/>
      <c r="OSY31" s="194"/>
      <c r="OSZ31" s="194"/>
      <c r="OTA31" s="194"/>
      <c r="OTB31" s="161"/>
      <c r="OTC31" s="194"/>
      <c r="OTD31" s="194"/>
      <c r="OTE31" s="161"/>
      <c r="OTF31" s="194"/>
      <c r="OTG31" s="194"/>
      <c r="OTH31" s="194"/>
      <c r="OTI31" s="194"/>
      <c r="OTJ31" s="194"/>
      <c r="OTK31" s="194"/>
      <c r="OTL31" s="161"/>
      <c r="OTM31" s="195"/>
      <c r="OTN31" s="195"/>
      <c r="OTO31" s="161"/>
      <c r="OTP31" s="161"/>
      <c r="OTQ31" s="161"/>
      <c r="OTR31" s="161"/>
      <c r="OTS31" s="196"/>
      <c r="OTT31" s="196"/>
      <c r="OTU31" s="192"/>
      <c r="OTV31" s="181"/>
      <c r="OTW31" s="180"/>
      <c r="OTX31" s="197"/>
      <c r="OTY31" s="179"/>
      <c r="OTZ31" s="196"/>
      <c r="OUA31" s="179"/>
      <c r="OUB31" s="196"/>
      <c r="OUC31" s="196"/>
      <c r="OUD31" s="161"/>
      <c r="OUE31" s="193"/>
      <c r="OUF31" s="193"/>
      <c r="OUG31" s="194"/>
      <c r="OUH31" s="194"/>
      <c r="OUI31" s="194"/>
      <c r="OUJ31" s="194"/>
      <c r="OUK31" s="194"/>
      <c r="OUL31" s="161"/>
      <c r="OUM31" s="161"/>
      <c r="OUN31" s="194"/>
      <c r="OUO31" s="161"/>
      <c r="OUP31" s="193"/>
      <c r="OUQ31" s="194"/>
      <c r="OUR31" s="161"/>
      <c r="OUS31" s="161"/>
      <c r="OUT31" s="161"/>
      <c r="OUU31" s="194"/>
      <c r="OUV31" s="194"/>
      <c r="OUW31" s="194"/>
      <c r="OUX31" s="161"/>
      <c r="OUY31" s="194"/>
      <c r="OUZ31" s="194"/>
      <c r="OVA31" s="161"/>
      <c r="OVB31" s="194"/>
      <c r="OVC31" s="194"/>
      <c r="OVD31" s="194"/>
      <c r="OVE31" s="194"/>
      <c r="OVF31" s="194"/>
      <c r="OVG31" s="194"/>
      <c r="OVH31" s="161"/>
      <c r="OVI31" s="195"/>
      <c r="OVJ31" s="195"/>
      <c r="OVK31" s="161"/>
      <c r="OVL31" s="161"/>
      <c r="OVM31" s="161"/>
      <c r="OVN31" s="161"/>
      <c r="OVO31" s="196"/>
      <c r="OVP31" s="196"/>
      <c r="OVQ31" s="192"/>
      <c r="OVR31" s="181"/>
      <c r="OVS31" s="180"/>
      <c r="OVT31" s="197"/>
      <c r="OVU31" s="179"/>
      <c r="OVV31" s="196"/>
      <c r="OVW31" s="179"/>
      <c r="OVX31" s="196"/>
      <c r="OVY31" s="196"/>
      <c r="OVZ31" s="161"/>
      <c r="OWA31" s="193"/>
      <c r="OWB31" s="193"/>
      <c r="OWC31" s="194"/>
      <c r="OWD31" s="194"/>
      <c r="OWE31" s="194"/>
      <c r="OWF31" s="194"/>
      <c r="OWG31" s="194"/>
      <c r="OWH31" s="161"/>
      <c r="OWI31" s="161"/>
      <c r="OWJ31" s="194"/>
      <c r="OWK31" s="161"/>
      <c r="OWL31" s="193"/>
      <c r="OWM31" s="194"/>
      <c r="OWN31" s="161"/>
      <c r="OWO31" s="161"/>
      <c r="OWP31" s="161"/>
      <c r="OWQ31" s="194"/>
      <c r="OWR31" s="194"/>
      <c r="OWS31" s="194"/>
      <c r="OWT31" s="161"/>
      <c r="OWU31" s="194"/>
      <c r="OWV31" s="194"/>
      <c r="OWW31" s="161"/>
      <c r="OWX31" s="194"/>
      <c r="OWY31" s="194"/>
      <c r="OWZ31" s="194"/>
      <c r="OXA31" s="194"/>
      <c r="OXB31" s="194"/>
      <c r="OXC31" s="194"/>
      <c r="OXD31" s="161"/>
      <c r="OXE31" s="195"/>
      <c r="OXF31" s="195"/>
      <c r="OXG31" s="161"/>
      <c r="OXH31" s="161"/>
      <c r="OXI31" s="161"/>
      <c r="OXJ31" s="161"/>
      <c r="OXK31" s="196"/>
      <c r="OXL31" s="196"/>
      <c r="OXM31" s="192"/>
      <c r="OXN31" s="181"/>
      <c r="OXO31" s="180"/>
      <c r="OXP31" s="197"/>
      <c r="OXQ31" s="179"/>
      <c r="OXR31" s="196"/>
      <c r="OXS31" s="179"/>
      <c r="OXT31" s="196"/>
      <c r="OXU31" s="196"/>
      <c r="OXV31" s="161"/>
      <c r="OXW31" s="193"/>
      <c r="OXX31" s="193"/>
      <c r="OXY31" s="194"/>
      <c r="OXZ31" s="194"/>
      <c r="OYA31" s="194"/>
      <c r="OYB31" s="194"/>
      <c r="OYC31" s="194"/>
      <c r="OYD31" s="161"/>
      <c r="OYE31" s="161"/>
      <c r="OYF31" s="194"/>
      <c r="OYG31" s="161"/>
      <c r="OYH31" s="193"/>
      <c r="OYI31" s="194"/>
      <c r="OYJ31" s="161"/>
      <c r="OYK31" s="161"/>
      <c r="OYL31" s="161"/>
      <c r="OYM31" s="194"/>
      <c r="OYN31" s="194"/>
      <c r="OYO31" s="194"/>
      <c r="OYP31" s="161"/>
      <c r="OYQ31" s="194"/>
      <c r="OYR31" s="194"/>
      <c r="OYS31" s="161"/>
      <c r="OYT31" s="194"/>
      <c r="OYU31" s="194"/>
      <c r="OYV31" s="194"/>
      <c r="OYW31" s="194"/>
      <c r="OYX31" s="194"/>
      <c r="OYY31" s="194"/>
      <c r="OYZ31" s="161"/>
      <c r="OZA31" s="195"/>
      <c r="OZB31" s="195"/>
      <c r="OZC31" s="161"/>
      <c r="OZD31" s="161"/>
      <c r="OZE31" s="161"/>
      <c r="OZF31" s="161"/>
      <c r="OZG31" s="196"/>
      <c r="OZH31" s="196"/>
      <c r="OZI31" s="192"/>
      <c r="OZJ31" s="181"/>
      <c r="OZK31" s="180"/>
      <c r="OZL31" s="197"/>
      <c r="OZM31" s="179"/>
      <c r="OZN31" s="196"/>
      <c r="OZO31" s="179"/>
      <c r="OZP31" s="196"/>
      <c r="OZQ31" s="196"/>
      <c r="OZR31" s="161"/>
      <c r="OZS31" s="193"/>
      <c r="OZT31" s="193"/>
      <c r="OZU31" s="194"/>
      <c r="OZV31" s="194"/>
      <c r="OZW31" s="194"/>
      <c r="OZX31" s="194"/>
      <c r="OZY31" s="194"/>
      <c r="OZZ31" s="161"/>
      <c r="PAA31" s="161"/>
      <c r="PAB31" s="194"/>
      <c r="PAC31" s="161"/>
      <c r="PAD31" s="193"/>
      <c r="PAE31" s="194"/>
      <c r="PAF31" s="161"/>
      <c r="PAG31" s="161"/>
      <c r="PAH31" s="161"/>
      <c r="PAI31" s="194"/>
      <c r="PAJ31" s="194"/>
      <c r="PAK31" s="194"/>
      <c r="PAL31" s="161"/>
      <c r="PAM31" s="194"/>
      <c r="PAN31" s="194"/>
      <c r="PAO31" s="161"/>
      <c r="PAP31" s="194"/>
      <c r="PAQ31" s="194"/>
      <c r="PAR31" s="194"/>
      <c r="PAS31" s="194"/>
      <c r="PAT31" s="194"/>
      <c r="PAU31" s="194"/>
      <c r="PAV31" s="161"/>
      <c r="PAW31" s="195"/>
      <c r="PAX31" s="195"/>
      <c r="PAY31" s="161"/>
      <c r="PAZ31" s="161"/>
      <c r="PBA31" s="161"/>
      <c r="PBB31" s="161"/>
      <c r="PBC31" s="196"/>
      <c r="PBD31" s="196"/>
      <c r="PBE31" s="192"/>
      <c r="PBF31" s="181"/>
      <c r="PBG31" s="180"/>
      <c r="PBH31" s="197"/>
      <c r="PBI31" s="179"/>
      <c r="PBJ31" s="196"/>
      <c r="PBK31" s="179"/>
      <c r="PBL31" s="196"/>
      <c r="PBM31" s="196"/>
      <c r="PBN31" s="161"/>
      <c r="PBO31" s="193"/>
      <c r="PBP31" s="193"/>
      <c r="PBQ31" s="194"/>
      <c r="PBR31" s="194"/>
      <c r="PBS31" s="194"/>
      <c r="PBT31" s="194"/>
      <c r="PBU31" s="194"/>
      <c r="PBV31" s="161"/>
      <c r="PBW31" s="161"/>
      <c r="PBX31" s="194"/>
      <c r="PBY31" s="161"/>
      <c r="PBZ31" s="193"/>
      <c r="PCA31" s="194"/>
      <c r="PCB31" s="161"/>
      <c r="PCC31" s="161"/>
      <c r="PCD31" s="161"/>
      <c r="PCE31" s="194"/>
      <c r="PCF31" s="194"/>
      <c r="PCG31" s="194"/>
      <c r="PCH31" s="161"/>
      <c r="PCI31" s="194"/>
      <c r="PCJ31" s="194"/>
      <c r="PCK31" s="161"/>
      <c r="PCL31" s="194"/>
      <c r="PCM31" s="194"/>
      <c r="PCN31" s="194"/>
      <c r="PCO31" s="194"/>
      <c r="PCP31" s="194"/>
      <c r="PCQ31" s="194"/>
      <c r="PCR31" s="161"/>
      <c r="PCS31" s="195"/>
      <c r="PCT31" s="195"/>
      <c r="PCU31" s="161"/>
      <c r="PCV31" s="161"/>
      <c r="PCW31" s="161"/>
      <c r="PCX31" s="161"/>
      <c r="PCY31" s="196"/>
      <c r="PCZ31" s="196"/>
      <c r="PDA31" s="192"/>
      <c r="PDB31" s="181"/>
      <c r="PDC31" s="180"/>
      <c r="PDD31" s="197"/>
      <c r="PDE31" s="179"/>
      <c r="PDF31" s="196"/>
      <c r="PDG31" s="179"/>
      <c r="PDH31" s="196"/>
      <c r="PDI31" s="196"/>
      <c r="PDJ31" s="161"/>
      <c r="PDK31" s="193"/>
      <c r="PDL31" s="193"/>
      <c r="PDM31" s="194"/>
      <c r="PDN31" s="194"/>
      <c r="PDO31" s="194"/>
      <c r="PDP31" s="194"/>
      <c r="PDQ31" s="194"/>
      <c r="PDR31" s="161"/>
      <c r="PDS31" s="161"/>
      <c r="PDT31" s="194"/>
      <c r="PDU31" s="161"/>
      <c r="PDV31" s="193"/>
      <c r="PDW31" s="194"/>
      <c r="PDX31" s="161"/>
      <c r="PDY31" s="161"/>
      <c r="PDZ31" s="161"/>
      <c r="PEA31" s="194"/>
      <c r="PEB31" s="194"/>
      <c r="PEC31" s="194"/>
      <c r="PED31" s="161"/>
      <c r="PEE31" s="194"/>
      <c r="PEF31" s="194"/>
      <c r="PEG31" s="161"/>
      <c r="PEH31" s="194"/>
      <c r="PEI31" s="194"/>
      <c r="PEJ31" s="194"/>
      <c r="PEK31" s="194"/>
      <c r="PEL31" s="194"/>
      <c r="PEM31" s="194"/>
      <c r="PEN31" s="161"/>
      <c r="PEO31" s="195"/>
      <c r="PEP31" s="195"/>
      <c r="PEQ31" s="161"/>
      <c r="PER31" s="161"/>
      <c r="PES31" s="161"/>
      <c r="PET31" s="161"/>
      <c r="PEU31" s="196"/>
      <c r="PEV31" s="196"/>
      <c r="PEW31" s="192"/>
      <c r="PEX31" s="181"/>
      <c r="PEY31" s="180"/>
      <c r="PEZ31" s="197"/>
      <c r="PFA31" s="179"/>
      <c r="PFB31" s="196"/>
      <c r="PFC31" s="179"/>
      <c r="PFD31" s="196"/>
      <c r="PFE31" s="196"/>
      <c r="PFF31" s="161"/>
      <c r="PFG31" s="193"/>
      <c r="PFH31" s="193"/>
      <c r="PFI31" s="194"/>
      <c r="PFJ31" s="194"/>
      <c r="PFK31" s="194"/>
      <c r="PFL31" s="194"/>
      <c r="PFM31" s="194"/>
      <c r="PFN31" s="161"/>
      <c r="PFO31" s="161"/>
      <c r="PFP31" s="194"/>
      <c r="PFQ31" s="161"/>
      <c r="PFR31" s="193"/>
      <c r="PFS31" s="194"/>
      <c r="PFT31" s="161"/>
      <c r="PFU31" s="161"/>
      <c r="PFV31" s="161"/>
      <c r="PFW31" s="194"/>
      <c r="PFX31" s="194"/>
      <c r="PFY31" s="194"/>
      <c r="PFZ31" s="161"/>
      <c r="PGA31" s="194"/>
      <c r="PGB31" s="194"/>
      <c r="PGC31" s="161"/>
      <c r="PGD31" s="194"/>
      <c r="PGE31" s="194"/>
      <c r="PGF31" s="194"/>
      <c r="PGG31" s="194"/>
      <c r="PGH31" s="194"/>
      <c r="PGI31" s="194"/>
      <c r="PGJ31" s="161"/>
      <c r="PGK31" s="195"/>
      <c r="PGL31" s="195"/>
      <c r="PGM31" s="161"/>
      <c r="PGN31" s="161"/>
      <c r="PGO31" s="161"/>
      <c r="PGP31" s="161"/>
      <c r="PGQ31" s="196"/>
      <c r="PGR31" s="196"/>
      <c r="PGS31" s="192"/>
      <c r="PGT31" s="181"/>
      <c r="PGU31" s="180"/>
      <c r="PGV31" s="197"/>
      <c r="PGW31" s="179"/>
      <c r="PGX31" s="196"/>
      <c r="PGY31" s="179"/>
      <c r="PGZ31" s="196"/>
      <c r="PHA31" s="196"/>
      <c r="PHB31" s="161"/>
      <c r="PHC31" s="193"/>
      <c r="PHD31" s="193"/>
      <c r="PHE31" s="194"/>
      <c r="PHF31" s="194"/>
      <c r="PHG31" s="194"/>
      <c r="PHH31" s="194"/>
      <c r="PHI31" s="194"/>
      <c r="PHJ31" s="161"/>
      <c r="PHK31" s="161"/>
      <c r="PHL31" s="194"/>
      <c r="PHM31" s="161"/>
      <c r="PHN31" s="193"/>
      <c r="PHO31" s="194"/>
      <c r="PHP31" s="161"/>
      <c r="PHQ31" s="161"/>
      <c r="PHR31" s="161"/>
      <c r="PHS31" s="194"/>
      <c r="PHT31" s="194"/>
      <c r="PHU31" s="194"/>
      <c r="PHV31" s="161"/>
      <c r="PHW31" s="194"/>
      <c r="PHX31" s="194"/>
      <c r="PHY31" s="161"/>
      <c r="PHZ31" s="194"/>
      <c r="PIA31" s="194"/>
      <c r="PIB31" s="194"/>
      <c r="PIC31" s="194"/>
      <c r="PID31" s="194"/>
      <c r="PIE31" s="194"/>
      <c r="PIF31" s="161"/>
      <c r="PIG31" s="195"/>
      <c r="PIH31" s="195"/>
      <c r="PII31" s="161"/>
      <c r="PIJ31" s="161"/>
      <c r="PIK31" s="161"/>
      <c r="PIL31" s="161"/>
      <c r="PIM31" s="196"/>
      <c r="PIN31" s="196"/>
      <c r="PIO31" s="192"/>
      <c r="PIP31" s="181"/>
      <c r="PIQ31" s="180"/>
      <c r="PIR31" s="197"/>
      <c r="PIS31" s="179"/>
      <c r="PIT31" s="196"/>
      <c r="PIU31" s="179"/>
      <c r="PIV31" s="196"/>
      <c r="PIW31" s="196"/>
      <c r="PIX31" s="161"/>
      <c r="PIY31" s="193"/>
      <c r="PIZ31" s="193"/>
      <c r="PJA31" s="194"/>
      <c r="PJB31" s="194"/>
      <c r="PJC31" s="194"/>
      <c r="PJD31" s="194"/>
      <c r="PJE31" s="194"/>
      <c r="PJF31" s="161"/>
      <c r="PJG31" s="161"/>
      <c r="PJH31" s="194"/>
      <c r="PJI31" s="161"/>
      <c r="PJJ31" s="193"/>
      <c r="PJK31" s="194"/>
      <c r="PJL31" s="161"/>
      <c r="PJM31" s="161"/>
      <c r="PJN31" s="161"/>
      <c r="PJO31" s="194"/>
      <c r="PJP31" s="194"/>
      <c r="PJQ31" s="194"/>
      <c r="PJR31" s="161"/>
      <c r="PJS31" s="194"/>
      <c r="PJT31" s="194"/>
      <c r="PJU31" s="161"/>
      <c r="PJV31" s="194"/>
      <c r="PJW31" s="194"/>
      <c r="PJX31" s="194"/>
      <c r="PJY31" s="194"/>
      <c r="PJZ31" s="194"/>
      <c r="PKA31" s="194"/>
      <c r="PKB31" s="161"/>
      <c r="PKC31" s="195"/>
      <c r="PKD31" s="195"/>
      <c r="PKE31" s="161"/>
      <c r="PKF31" s="161"/>
      <c r="PKG31" s="161"/>
      <c r="PKH31" s="161"/>
      <c r="PKI31" s="196"/>
      <c r="PKJ31" s="196"/>
      <c r="PKK31" s="192"/>
      <c r="PKL31" s="181"/>
      <c r="PKM31" s="180"/>
      <c r="PKN31" s="197"/>
      <c r="PKO31" s="179"/>
      <c r="PKP31" s="196"/>
      <c r="PKQ31" s="179"/>
      <c r="PKR31" s="196"/>
      <c r="PKS31" s="196"/>
      <c r="PKT31" s="161"/>
      <c r="PKU31" s="193"/>
      <c r="PKV31" s="193"/>
      <c r="PKW31" s="194"/>
      <c r="PKX31" s="194"/>
      <c r="PKY31" s="194"/>
      <c r="PKZ31" s="194"/>
      <c r="PLA31" s="194"/>
      <c r="PLB31" s="161"/>
      <c r="PLC31" s="161"/>
      <c r="PLD31" s="194"/>
      <c r="PLE31" s="161"/>
      <c r="PLF31" s="193"/>
      <c r="PLG31" s="194"/>
      <c r="PLH31" s="161"/>
      <c r="PLI31" s="161"/>
      <c r="PLJ31" s="161"/>
      <c r="PLK31" s="194"/>
      <c r="PLL31" s="194"/>
      <c r="PLM31" s="194"/>
      <c r="PLN31" s="161"/>
      <c r="PLO31" s="194"/>
      <c r="PLP31" s="194"/>
      <c r="PLQ31" s="161"/>
      <c r="PLR31" s="194"/>
      <c r="PLS31" s="194"/>
      <c r="PLT31" s="194"/>
      <c r="PLU31" s="194"/>
      <c r="PLV31" s="194"/>
      <c r="PLW31" s="194"/>
      <c r="PLX31" s="161"/>
      <c r="PLY31" s="195"/>
      <c r="PLZ31" s="195"/>
      <c r="PMA31" s="161"/>
      <c r="PMB31" s="161"/>
      <c r="PMC31" s="161"/>
      <c r="PMD31" s="161"/>
      <c r="PME31" s="196"/>
      <c r="PMF31" s="196"/>
      <c r="PMG31" s="192"/>
      <c r="PMH31" s="181"/>
      <c r="PMI31" s="180"/>
      <c r="PMJ31" s="197"/>
      <c r="PMK31" s="179"/>
      <c r="PML31" s="196"/>
      <c r="PMM31" s="179"/>
      <c r="PMN31" s="196"/>
      <c r="PMO31" s="196"/>
      <c r="PMP31" s="161"/>
      <c r="PMQ31" s="193"/>
      <c r="PMR31" s="193"/>
      <c r="PMS31" s="194"/>
      <c r="PMT31" s="194"/>
      <c r="PMU31" s="194"/>
      <c r="PMV31" s="194"/>
      <c r="PMW31" s="194"/>
      <c r="PMX31" s="161"/>
      <c r="PMY31" s="161"/>
      <c r="PMZ31" s="194"/>
      <c r="PNA31" s="161"/>
      <c r="PNB31" s="193"/>
      <c r="PNC31" s="194"/>
      <c r="PND31" s="161"/>
      <c r="PNE31" s="161"/>
      <c r="PNF31" s="161"/>
      <c r="PNG31" s="194"/>
      <c r="PNH31" s="194"/>
      <c r="PNI31" s="194"/>
      <c r="PNJ31" s="161"/>
      <c r="PNK31" s="194"/>
      <c r="PNL31" s="194"/>
      <c r="PNM31" s="161"/>
      <c r="PNN31" s="194"/>
      <c r="PNO31" s="194"/>
      <c r="PNP31" s="194"/>
      <c r="PNQ31" s="194"/>
      <c r="PNR31" s="194"/>
      <c r="PNS31" s="194"/>
      <c r="PNT31" s="161"/>
      <c r="PNU31" s="195"/>
      <c r="PNV31" s="195"/>
      <c r="PNW31" s="161"/>
      <c r="PNX31" s="161"/>
      <c r="PNY31" s="161"/>
      <c r="PNZ31" s="161"/>
      <c r="POA31" s="196"/>
      <c r="POB31" s="196"/>
      <c r="POC31" s="192"/>
      <c r="POD31" s="181"/>
      <c r="POE31" s="180"/>
      <c r="POF31" s="197"/>
      <c r="POG31" s="179"/>
      <c r="POH31" s="196"/>
      <c r="POI31" s="179"/>
      <c r="POJ31" s="196"/>
      <c r="POK31" s="196"/>
      <c r="POL31" s="161"/>
      <c r="POM31" s="193"/>
      <c r="PON31" s="193"/>
      <c r="POO31" s="194"/>
      <c r="POP31" s="194"/>
      <c r="POQ31" s="194"/>
      <c r="POR31" s="194"/>
      <c r="POS31" s="194"/>
      <c r="POT31" s="161"/>
      <c r="POU31" s="161"/>
      <c r="POV31" s="194"/>
      <c r="POW31" s="161"/>
      <c r="POX31" s="193"/>
      <c r="POY31" s="194"/>
      <c r="POZ31" s="161"/>
      <c r="PPA31" s="161"/>
      <c r="PPB31" s="161"/>
      <c r="PPC31" s="194"/>
      <c r="PPD31" s="194"/>
      <c r="PPE31" s="194"/>
      <c r="PPF31" s="161"/>
      <c r="PPG31" s="194"/>
      <c r="PPH31" s="194"/>
      <c r="PPI31" s="161"/>
      <c r="PPJ31" s="194"/>
      <c r="PPK31" s="194"/>
      <c r="PPL31" s="194"/>
      <c r="PPM31" s="194"/>
      <c r="PPN31" s="194"/>
      <c r="PPO31" s="194"/>
      <c r="PPP31" s="161"/>
      <c r="PPQ31" s="195"/>
      <c r="PPR31" s="195"/>
      <c r="PPS31" s="161"/>
      <c r="PPT31" s="161"/>
      <c r="PPU31" s="161"/>
      <c r="PPV31" s="161"/>
      <c r="PPW31" s="196"/>
      <c r="PPX31" s="196"/>
      <c r="PPY31" s="192"/>
      <c r="PPZ31" s="181"/>
      <c r="PQA31" s="180"/>
      <c r="PQB31" s="197"/>
      <c r="PQC31" s="179"/>
      <c r="PQD31" s="196"/>
      <c r="PQE31" s="179"/>
      <c r="PQF31" s="196"/>
      <c r="PQG31" s="196"/>
      <c r="PQH31" s="161"/>
      <c r="PQI31" s="193"/>
      <c r="PQJ31" s="193"/>
      <c r="PQK31" s="194"/>
      <c r="PQL31" s="194"/>
      <c r="PQM31" s="194"/>
      <c r="PQN31" s="194"/>
      <c r="PQO31" s="194"/>
      <c r="PQP31" s="161"/>
      <c r="PQQ31" s="161"/>
      <c r="PQR31" s="194"/>
      <c r="PQS31" s="161"/>
      <c r="PQT31" s="193"/>
      <c r="PQU31" s="194"/>
      <c r="PQV31" s="161"/>
      <c r="PQW31" s="161"/>
      <c r="PQX31" s="161"/>
      <c r="PQY31" s="194"/>
      <c r="PQZ31" s="194"/>
      <c r="PRA31" s="194"/>
      <c r="PRB31" s="161"/>
      <c r="PRC31" s="194"/>
      <c r="PRD31" s="194"/>
      <c r="PRE31" s="161"/>
      <c r="PRF31" s="194"/>
      <c r="PRG31" s="194"/>
      <c r="PRH31" s="194"/>
      <c r="PRI31" s="194"/>
      <c r="PRJ31" s="194"/>
      <c r="PRK31" s="194"/>
      <c r="PRL31" s="161"/>
      <c r="PRM31" s="195"/>
      <c r="PRN31" s="195"/>
      <c r="PRO31" s="161"/>
      <c r="PRP31" s="161"/>
      <c r="PRQ31" s="161"/>
      <c r="PRR31" s="161"/>
      <c r="PRS31" s="196"/>
      <c r="PRT31" s="196"/>
      <c r="PRU31" s="192"/>
      <c r="PRV31" s="181"/>
      <c r="PRW31" s="180"/>
      <c r="PRX31" s="197"/>
      <c r="PRY31" s="179"/>
      <c r="PRZ31" s="196"/>
      <c r="PSA31" s="179"/>
      <c r="PSB31" s="196"/>
      <c r="PSC31" s="196"/>
      <c r="PSD31" s="161"/>
      <c r="PSE31" s="193"/>
      <c r="PSF31" s="193"/>
      <c r="PSG31" s="194"/>
      <c r="PSH31" s="194"/>
      <c r="PSI31" s="194"/>
      <c r="PSJ31" s="194"/>
      <c r="PSK31" s="194"/>
      <c r="PSL31" s="161"/>
      <c r="PSM31" s="161"/>
      <c r="PSN31" s="194"/>
      <c r="PSO31" s="161"/>
      <c r="PSP31" s="193"/>
      <c r="PSQ31" s="194"/>
      <c r="PSR31" s="161"/>
      <c r="PSS31" s="161"/>
      <c r="PST31" s="161"/>
      <c r="PSU31" s="194"/>
      <c r="PSV31" s="194"/>
      <c r="PSW31" s="194"/>
      <c r="PSX31" s="161"/>
      <c r="PSY31" s="194"/>
      <c r="PSZ31" s="194"/>
      <c r="PTA31" s="161"/>
      <c r="PTB31" s="194"/>
      <c r="PTC31" s="194"/>
      <c r="PTD31" s="194"/>
      <c r="PTE31" s="194"/>
      <c r="PTF31" s="194"/>
      <c r="PTG31" s="194"/>
      <c r="PTH31" s="161"/>
      <c r="PTI31" s="195"/>
      <c r="PTJ31" s="195"/>
      <c r="PTK31" s="161"/>
      <c r="PTL31" s="161"/>
      <c r="PTM31" s="161"/>
      <c r="PTN31" s="161"/>
      <c r="PTO31" s="196"/>
      <c r="PTP31" s="196"/>
      <c r="PTQ31" s="192"/>
      <c r="PTR31" s="181"/>
      <c r="PTS31" s="180"/>
      <c r="PTT31" s="197"/>
      <c r="PTU31" s="179"/>
      <c r="PTV31" s="196"/>
      <c r="PTW31" s="179"/>
      <c r="PTX31" s="196"/>
      <c r="PTY31" s="196"/>
      <c r="PTZ31" s="161"/>
      <c r="PUA31" s="193"/>
      <c r="PUB31" s="193"/>
      <c r="PUC31" s="194"/>
      <c r="PUD31" s="194"/>
      <c r="PUE31" s="194"/>
      <c r="PUF31" s="194"/>
      <c r="PUG31" s="194"/>
      <c r="PUH31" s="161"/>
      <c r="PUI31" s="161"/>
      <c r="PUJ31" s="194"/>
      <c r="PUK31" s="161"/>
      <c r="PUL31" s="193"/>
      <c r="PUM31" s="194"/>
      <c r="PUN31" s="161"/>
      <c r="PUO31" s="161"/>
      <c r="PUP31" s="161"/>
      <c r="PUQ31" s="194"/>
      <c r="PUR31" s="194"/>
      <c r="PUS31" s="194"/>
      <c r="PUT31" s="161"/>
      <c r="PUU31" s="194"/>
      <c r="PUV31" s="194"/>
      <c r="PUW31" s="161"/>
      <c r="PUX31" s="194"/>
      <c r="PUY31" s="194"/>
      <c r="PUZ31" s="194"/>
      <c r="PVA31" s="194"/>
      <c r="PVB31" s="194"/>
      <c r="PVC31" s="194"/>
      <c r="PVD31" s="161"/>
      <c r="PVE31" s="195"/>
      <c r="PVF31" s="195"/>
      <c r="PVG31" s="161"/>
      <c r="PVH31" s="161"/>
      <c r="PVI31" s="161"/>
      <c r="PVJ31" s="161"/>
      <c r="PVK31" s="196"/>
      <c r="PVL31" s="196"/>
      <c r="PVM31" s="192"/>
      <c r="PVN31" s="181"/>
      <c r="PVO31" s="180"/>
      <c r="PVP31" s="197"/>
      <c r="PVQ31" s="179"/>
      <c r="PVR31" s="196"/>
      <c r="PVS31" s="179"/>
      <c r="PVT31" s="196"/>
      <c r="PVU31" s="196"/>
      <c r="PVV31" s="161"/>
      <c r="PVW31" s="193"/>
      <c r="PVX31" s="193"/>
      <c r="PVY31" s="194"/>
      <c r="PVZ31" s="194"/>
      <c r="PWA31" s="194"/>
      <c r="PWB31" s="194"/>
      <c r="PWC31" s="194"/>
      <c r="PWD31" s="161"/>
      <c r="PWE31" s="161"/>
      <c r="PWF31" s="194"/>
      <c r="PWG31" s="161"/>
      <c r="PWH31" s="193"/>
      <c r="PWI31" s="194"/>
      <c r="PWJ31" s="161"/>
      <c r="PWK31" s="161"/>
      <c r="PWL31" s="161"/>
      <c r="PWM31" s="194"/>
      <c r="PWN31" s="194"/>
      <c r="PWO31" s="194"/>
      <c r="PWP31" s="161"/>
      <c r="PWQ31" s="194"/>
      <c r="PWR31" s="194"/>
      <c r="PWS31" s="161"/>
      <c r="PWT31" s="194"/>
      <c r="PWU31" s="194"/>
      <c r="PWV31" s="194"/>
      <c r="PWW31" s="194"/>
      <c r="PWX31" s="194"/>
      <c r="PWY31" s="194"/>
      <c r="PWZ31" s="161"/>
      <c r="PXA31" s="195"/>
      <c r="PXB31" s="195"/>
      <c r="PXC31" s="161"/>
      <c r="PXD31" s="161"/>
      <c r="PXE31" s="161"/>
      <c r="PXF31" s="161"/>
      <c r="PXG31" s="196"/>
      <c r="PXH31" s="196"/>
      <c r="PXI31" s="192"/>
      <c r="PXJ31" s="181"/>
      <c r="PXK31" s="180"/>
      <c r="PXL31" s="197"/>
      <c r="PXM31" s="179"/>
      <c r="PXN31" s="196"/>
      <c r="PXO31" s="179"/>
      <c r="PXP31" s="196"/>
      <c r="PXQ31" s="196"/>
      <c r="PXR31" s="161"/>
      <c r="PXS31" s="193"/>
      <c r="PXT31" s="193"/>
      <c r="PXU31" s="194"/>
      <c r="PXV31" s="194"/>
      <c r="PXW31" s="194"/>
      <c r="PXX31" s="194"/>
      <c r="PXY31" s="194"/>
      <c r="PXZ31" s="161"/>
      <c r="PYA31" s="161"/>
      <c r="PYB31" s="194"/>
      <c r="PYC31" s="161"/>
      <c r="PYD31" s="193"/>
      <c r="PYE31" s="194"/>
      <c r="PYF31" s="161"/>
      <c r="PYG31" s="161"/>
      <c r="PYH31" s="161"/>
      <c r="PYI31" s="194"/>
      <c r="PYJ31" s="194"/>
      <c r="PYK31" s="194"/>
      <c r="PYL31" s="161"/>
      <c r="PYM31" s="194"/>
      <c r="PYN31" s="194"/>
      <c r="PYO31" s="161"/>
      <c r="PYP31" s="194"/>
      <c r="PYQ31" s="194"/>
      <c r="PYR31" s="194"/>
      <c r="PYS31" s="194"/>
      <c r="PYT31" s="194"/>
      <c r="PYU31" s="194"/>
      <c r="PYV31" s="161"/>
      <c r="PYW31" s="195"/>
      <c r="PYX31" s="195"/>
      <c r="PYY31" s="161"/>
      <c r="PYZ31" s="161"/>
      <c r="PZA31" s="161"/>
      <c r="PZB31" s="161"/>
      <c r="PZC31" s="196"/>
      <c r="PZD31" s="196"/>
      <c r="PZE31" s="192"/>
      <c r="PZF31" s="181"/>
      <c r="PZG31" s="180"/>
      <c r="PZH31" s="197"/>
      <c r="PZI31" s="179"/>
      <c r="PZJ31" s="196"/>
      <c r="PZK31" s="179"/>
      <c r="PZL31" s="196"/>
      <c r="PZM31" s="196"/>
      <c r="PZN31" s="161"/>
      <c r="PZO31" s="193"/>
      <c r="PZP31" s="193"/>
      <c r="PZQ31" s="194"/>
      <c r="PZR31" s="194"/>
      <c r="PZS31" s="194"/>
      <c r="PZT31" s="194"/>
      <c r="PZU31" s="194"/>
      <c r="PZV31" s="161"/>
      <c r="PZW31" s="161"/>
      <c r="PZX31" s="194"/>
      <c r="PZY31" s="161"/>
      <c r="PZZ31" s="193"/>
      <c r="QAA31" s="194"/>
      <c r="QAB31" s="161"/>
      <c r="QAC31" s="161"/>
      <c r="QAD31" s="161"/>
      <c r="QAE31" s="194"/>
      <c r="QAF31" s="194"/>
      <c r="QAG31" s="194"/>
      <c r="QAH31" s="161"/>
      <c r="QAI31" s="194"/>
      <c r="QAJ31" s="194"/>
      <c r="QAK31" s="161"/>
      <c r="QAL31" s="194"/>
      <c r="QAM31" s="194"/>
      <c r="QAN31" s="194"/>
      <c r="QAO31" s="194"/>
      <c r="QAP31" s="194"/>
      <c r="QAQ31" s="194"/>
      <c r="QAR31" s="161"/>
      <c r="QAS31" s="195"/>
      <c r="QAT31" s="195"/>
      <c r="QAU31" s="161"/>
      <c r="QAV31" s="161"/>
      <c r="QAW31" s="161"/>
      <c r="QAX31" s="161"/>
      <c r="QAY31" s="196"/>
      <c r="QAZ31" s="196"/>
      <c r="QBA31" s="192"/>
      <c r="QBB31" s="181"/>
      <c r="QBC31" s="180"/>
      <c r="QBD31" s="197"/>
      <c r="QBE31" s="179"/>
      <c r="QBF31" s="196"/>
      <c r="QBG31" s="179"/>
      <c r="QBH31" s="196"/>
      <c r="QBI31" s="196"/>
      <c r="QBJ31" s="161"/>
      <c r="QBK31" s="193"/>
      <c r="QBL31" s="193"/>
      <c r="QBM31" s="194"/>
      <c r="QBN31" s="194"/>
      <c r="QBO31" s="194"/>
      <c r="QBP31" s="194"/>
      <c r="QBQ31" s="194"/>
      <c r="QBR31" s="161"/>
      <c r="QBS31" s="161"/>
      <c r="QBT31" s="194"/>
      <c r="QBU31" s="161"/>
      <c r="QBV31" s="193"/>
      <c r="QBW31" s="194"/>
      <c r="QBX31" s="161"/>
      <c r="QBY31" s="161"/>
      <c r="QBZ31" s="161"/>
      <c r="QCA31" s="194"/>
      <c r="QCB31" s="194"/>
      <c r="QCC31" s="194"/>
      <c r="QCD31" s="161"/>
      <c r="QCE31" s="194"/>
      <c r="QCF31" s="194"/>
      <c r="QCG31" s="161"/>
      <c r="QCH31" s="194"/>
      <c r="QCI31" s="194"/>
      <c r="QCJ31" s="194"/>
      <c r="QCK31" s="194"/>
      <c r="QCL31" s="194"/>
      <c r="QCM31" s="194"/>
      <c r="QCN31" s="161"/>
      <c r="QCO31" s="195"/>
      <c r="QCP31" s="195"/>
      <c r="QCQ31" s="161"/>
      <c r="QCR31" s="161"/>
      <c r="QCS31" s="161"/>
      <c r="QCT31" s="161"/>
      <c r="QCU31" s="196"/>
      <c r="QCV31" s="196"/>
      <c r="QCW31" s="192"/>
      <c r="QCX31" s="181"/>
      <c r="QCY31" s="180"/>
      <c r="QCZ31" s="197"/>
      <c r="QDA31" s="179"/>
      <c r="QDB31" s="196"/>
      <c r="QDC31" s="179"/>
      <c r="QDD31" s="196"/>
      <c r="QDE31" s="196"/>
      <c r="QDF31" s="161"/>
      <c r="QDG31" s="193"/>
      <c r="QDH31" s="193"/>
      <c r="QDI31" s="194"/>
      <c r="QDJ31" s="194"/>
      <c r="QDK31" s="194"/>
      <c r="QDL31" s="194"/>
      <c r="QDM31" s="194"/>
      <c r="QDN31" s="161"/>
      <c r="QDO31" s="161"/>
      <c r="QDP31" s="194"/>
      <c r="QDQ31" s="161"/>
      <c r="QDR31" s="193"/>
      <c r="QDS31" s="194"/>
      <c r="QDT31" s="161"/>
      <c r="QDU31" s="161"/>
      <c r="QDV31" s="161"/>
      <c r="QDW31" s="194"/>
      <c r="QDX31" s="194"/>
      <c r="QDY31" s="194"/>
      <c r="QDZ31" s="161"/>
      <c r="QEA31" s="194"/>
      <c r="QEB31" s="194"/>
      <c r="QEC31" s="161"/>
      <c r="QED31" s="194"/>
      <c r="QEE31" s="194"/>
      <c r="QEF31" s="194"/>
      <c r="QEG31" s="194"/>
      <c r="QEH31" s="194"/>
      <c r="QEI31" s="194"/>
      <c r="QEJ31" s="161"/>
      <c r="QEK31" s="195"/>
      <c r="QEL31" s="195"/>
      <c r="QEM31" s="161"/>
      <c r="QEN31" s="161"/>
      <c r="QEO31" s="161"/>
      <c r="QEP31" s="161"/>
      <c r="QEQ31" s="196"/>
      <c r="QER31" s="196"/>
      <c r="QES31" s="192"/>
      <c r="QET31" s="181"/>
      <c r="QEU31" s="180"/>
      <c r="QEV31" s="197"/>
      <c r="QEW31" s="179"/>
      <c r="QEX31" s="196"/>
      <c r="QEY31" s="179"/>
      <c r="QEZ31" s="196"/>
      <c r="QFA31" s="196"/>
      <c r="QFB31" s="161"/>
      <c r="QFC31" s="193"/>
      <c r="QFD31" s="193"/>
      <c r="QFE31" s="194"/>
      <c r="QFF31" s="194"/>
      <c r="QFG31" s="194"/>
      <c r="QFH31" s="194"/>
      <c r="QFI31" s="194"/>
      <c r="QFJ31" s="161"/>
      <c r="QFK31" s="161"/>
      <c r="QFL31" s="194"/>
      <c r="QFM31" s="161"/>
      <c r="QFN31" s="193"/>
      <c r="QFO31" s="194"/>
      <c r="QFP31" s="161"/>
      <c r="QFQ31" s="161"/>
      <c r="QFR31" s="161"/>
      <c r="QFS31" s="194"/>
      <c r="QFT31" s="194"/>
      <c r="QFU31" s="194"/>
      <c r="QFV31" s="161"/>
      <c r="QFW31" s="194"/>
      <c r="QFX31" s="194"/>
      <c r="QFY31" s="161"/>
      <c r="QFZ31" s="194"/>
      <c r="QGA31" s="194"/>
      <c r="QGB31" s="194"/>
      <c r="QGC31" s="194"/>
      <c r="QGD31" s="194"/>
      <c r="QGE31" s="194"/>
      <c r="QGF31" s="161"/>
      <c r="QGG31" s="195"/>
      <c r="QGH31" s="195"/>
      <c r="QGI31" s="161"/>
      <c r="QGJ31" s="161"/>
      <c r="QGK31" s="161"/>
      <c r="QGL31" s="161"/>
      <c r="QGM31" s="196"/>
      <c r="QGN31" s="196"/>
      <c r="QGO31" s="192"/>
      <c r="QGP31" s="181"/>
      <c r="QGQ31" s="180"/>
      <c r="QGR31" s="197"/>
      <c r="QGS31" s="179"/>
      <c r="QGT31" s="196"/>
      <c r="QGU31" s="179"/>
      <c r="QGV31" s="196"/>
      <c r="QGW31" s="196"/>
      <c r="QGX31" s="161"/>
      <c r="QGY31" s="193"/>
      <c r="QGZ31" s="193"/>
      <c r="QHA31" s="194"/>
      <c r="QHB31" s="194"/>
      <c r="QHC31" s="194"/>
      <c r="QHD31" s="194"/>
      <c r="QHE31" s="194"/>
      <c r="QHF31" s="161"/>
      <c r="QHG31" s="161"/>
      <c r="QHH31" s="194"/>
      <c r="QHI31" s="161"/>
      <c r="QHJ31" s="193"/>
      <c r="QHK31" s="194"/>
      <c r="QHL31" s="161"/>
      <c r="QHM31" s="161"/>
      <c r="QHN31" s="161"/>
      <c r="QHO31" s="194"/>
      <c r="QHP31" s="194"/>
      <c r="QHQ31" s="194"/>
      <c r="QHR31" s="161"/>
      <c r="QHS31" s="194"/>
      <c r="QHT31" s="194"/>
      <c r="QHU31" s="161"/>
      <c r="QHV31" s="194"/>
      <c r="QHW31" s="194"/>
      <c r="QHX31" s="194"/>
      <c r="QHY31" s="194"/>
      <c r="QHZ31" s="194"/>
      <c r="QIA31" s="194"/>
      <c r="QIB31" s="161"/>
      <c r="QIC31" s="195"/>
      <c r="QID31" s="195"/>
      <c r="QIE31" s="161"/>
      <c r="QIF31" s="161"/>
      <c r="QIG31" s="161"/>
      <c r="QIH31" s="161"/>
      <c r="QII31" s="196"/>
      <c r="QIJ31" s="196"/>
      <c r="QIK31" s="192"/>
      <c r="QIL31" s="181"/>
      <c r="QIM31" s="180"/>
      <c r="QIN31" s="197"/>
      <c r="QIO31" s="179"/>
      <c r="QIP31" s="196"/>
      <c r="QIQ31" s="179"/>
      <c r="QIR31" s="196"/>
      <c r="QIS31" s="196"/>
      <c r="QIT31" s="161"/>
      <c r="QIU31" s="193"/>
      <c r="QIV31" s="193"/>
      <c r="QIW31" s="194"/>
      <c r="QIX31" s="194"/>
      <c r="QIY31" s="194"/>
      <c r="QIZ31" s="194"/>
      <c r="QJA31" s="194"/>
      <c r="QJB31" s="161"/>
      <c r="QJC31" s="161"/>
      <c r="QJD31" s="194"/>
      <c r="QJE31" s="161"/>
      <c r="QJF31" s="193"/>
      <c r="QJG31" s="194"/>
      <c r="QJH31" s="161"/>
      <c r="QJI31" s="161"/>
      <c r="QJJ31" s="161"/>
      <c r="QJK31" s="194"/>
      <c r="QJL31" s="194"/>
      <c r="QJM31" s="194"/>
      <c r="QJN31" s="161"/>
      <c r="QJO31" s="194"/>
      <c r="QJP31" s="194"/>
      <c r="QJQ31" s="161"/>
      <c r="QJR31" s="194"/>
      <c r="QJS31" s="194"/>
      <c r="QJT31" s="194"/>
      <c r="QJU31" s="194"/>
      <c r="QJV31" s="194"/>
      <c r="QJW31" s="194"/>
      <c r="QJX31" s="161"/>
      <c r="QJY31" s="195"/>
      <c r="QJZ31" s="195"/>
      <c r="QKA31" s="161"/>
      <c r="QKB31" s="161"/>
      <c r="QKC31" s="161"/>
      <c r="QKD31" s="161"/>
      <c r="QKE31" s="196"/>
      <c r="QKF31" s="196"/>
      <c r="QKG31" s="192"/>
      <c r="QKH31" s="181"/>
      <c r="QKI31" s="180"/>
      <c r="QKJ31" s="197"/>
      <c r="QKK31" s="179"/>
      <c r="QKL31" s="196"/>
      <c r="QKM31" s="179"/>
      <c r="QKN31" s="196"/>
      <c r="QKO31" s="196"/>
      <c r="QKP31" s="161"/>
      <c r="QKQ31" s="193"/>
      <c r="QKR31" s="193"/>
      <c r="QKS31" s="194"/>
      <c r="QKT31" s="194"/>
      <c r="QKU31" s="194"/>
      <c r="QKV31" s="194"/>
      <c r="QKW31" s="194"/>
      <c r="QKX31" s="161"/>
      <c r="QKY31" s="161"/>
      <c r="QKZ31" s="194"/>
      <c r="QLA31" s="161"/>
      <c r="QLB31" s="193"/>
      <c r="QLC31" s="194"/>
      <c r="QLD31" s="161"/>
      <c r="QLE31" s="161"/>
      <c r="QLF31" s="161"/>
      <c r="QLG31" s="194"/>
      <c r="QLH31" s="194"/>
      <c r="QLI31" s="194"/>
      <c r="QLJ31" s="161"/>
      <c r="QLK31" s="194"/>
      <c r="QLL31" s="194"/>
      <c r="QLM31" s="161"/>
      <c r="QLN31" s="194"/>
      <c r="QLO31" s="194"/>
      <c r="QLP31" s="194"/>
      <c r="QLQ31" s="194"/>
      <c r="QLR31" s="194"/>
      <c r="QLS31" s="194"/>
      <c r="QLT31" s="161"/>
      <c r="QLU31" s="195"/>
      <c r="QLV31" s="195"/>
      <c r="QLW31" s="161"/>
      <c r="QLX31" s="161"/>
      <c r="QLY31" s="161"/>
      <c r="QLZ31" s="161"/>
      <c r="QMA31" s="196"/>
      <c r="QMB31" s="196"/>
      <c r="QMC31" s="192"/>
      <c r="QMD31" s="181"/>
      <c r="QME31" s="180"/>
      <c r="QMF31" s="197"/>
      <c r="QMG31" s="179"/>
      <c r="QMH31" s="196"/>
      <c r="QMI31" s="179"/>
      <c r="QMJ31" s="196"/>
      <c r="QMK31" s="196"/>
      <c r="QML31" s="161"/>
      <c r="QMM31" s="193"/>
      <c r="QMN31" s="193"/>
      <c r="QMO31" s="194"/>
      <c r="QMP31" s="194"/>
      <c r="QMQ31" s="194"/>
      <c r="QMR31" s="194"/>
      <c r="QMS31" s="194"/>
      <c r="QMT31" s="161"/>
      <c r="QMU31" s="161"/>
      <c r="QMV31" s="194"/>
      <c r="QMW31" s="161"/>
      <c r="QMX31" s="193"/>
      <c r="QMY31" s="194"/>
      <c r="QMZ31" s="161"/>
      <c r="QNA31" s="161"/>
      <c r="QNB31" s="161"/>
      <c r="QNC31" s="194"/>
      <c r="QND31" s="194"/>
      <c r="QNE31" s="194"/>
      <c r="QNF31" s="161"/>
      <c r="QNG31" s="194"/>
      <c r="QNH31" s="194"/>
      <c r="QNI31" s="161"/>
      <c r="QNJ31" s="194"/>
      <c r="QNK31" s="194"/>
      <c r="QNL31" s="194"/>
      <c r="QNM31" s="194"/>
      <c r="QNN31" s="194"/>
      <c r="QNO31" s="194"/>
      <c r="QNP31" s="161"/>
      <c r="QNQ31" s="195"/>
      <c r="QNR31" s="195"/>
      <c r="QNS31" s="161"/>
      <c r="QNT31" s="161"/>
      <c r="QNU31" s="161"/>
      <c r="QNV31" s="161"/>
      <c r="QNW31" s="196"/>
      <c r="QNX31" s="196"/>
      <c r="QNY31" s="192"/>
      <c r="QNZ31" s="181"/>
      <c r="QOA31" s="180"/>
      <c r="QOB31" s="197"/>
      <c r="QOC31" s="179"/>
      <c r="QOD31" s="196"/>
      <c r="QOE31" s="179"/>
      <c r="QOF31" s="196"/>
      <c r="QOG31" s="196"/>
      <c r="QOH31" s="161"/>
      <c r="QOI31" s="193"/>
      <c r="QOJ31" s="193"/>
      <c r="QOK31" s="194"/>
      <c r="QOL31" s="194"/>
      <c r="QOM31" s="194"/>
      <c r="QON31" s="194"/>
      <c r="QOO31" s="194"/>
      <c r="QOP31" s="161"/>
      <c r="QOQ31" s="161"/>
      <c r="QOR31" s="194"/>
      <c r="QOS31" s="161"/>
      <c r="QOT31" s="193"/>
      <c r="QOU31" s="194"/>
      <c r="QOV31" s="161"/>
      <c r="QOW31" s="161"/>
      <c r="QOX31" s="161"/>
      <c r="QOY31" s="194"/>
      <c r="QOZ31" s="194"/>
      <c r="QPA31" s="194"/>
      <c r="QPB31" s="161"/>
      <c r="QPC31" s="194"/>
      <c r="QPD31" s="194"/>
      <c r="QPE31" s="161"/>
      <c r="QPF31" s="194"/>
      <c r="QPG31" s="194"/>
      <c r="QPH31" s="194"/>
      <c r="QPI31" s="194"/>
      <c r="QPJ31" s="194"/>
      <c r="QPK31" s="194"/>
      <c r="QPL31" s="161"/>
      <c r="QPM31" s="195"/>
      <c r="QPN31" s="195"/>
      <c r="QPO31" s="161"/>
      <c r="QPP31" s="161"/>
      <c r="QPQ31" s="161"/>
      <c r="QPR31" s="161"/>
      <c r="QPS31" s="196"/>
      <c r="QPT31" s="196"/>
      <c r="QPU31" s="192"/>
      <c r="QPV31" s="181"/>
      <c r="QPW31" s="180"/>
      <c r="QPX31" s="197"/>
      <c r="QPY31" s="179"/>
      <c r="QPZ31" s="196"/>
      <c r="QQA31" s="179"/>
      <c r="QQB31" s="196"/>
      <c r="QQC31" s="196"/>
      <c r="QQD31" s="161"/>
      <c r="QQE31" s="193"/>
      <c r="QQF31" s="193"/>
      <c r="QQG31" s="194"/>
      <c r="QQH31" s="194"/>
      <c r="QQI31" s="194"/>
      <c r="QQJ31" s="194"/>
      <c r="QQK31" s="194"/>
      <c r="QQL31" s="161"/>
      <c r="QQM31" s="161"/>
      <c r="QQN31" s="194"/>
      <c r="QQO31" s="161"/>
      <c r="QQP31" s="193"/>
      <c r="QQQ31" s="194"/>
      <c r="QQR31" s="161"/>
      <c r="QQS31" s="161"/>
      <c r="QQT31" s="161"/>
      <c r="QQU31" s="194"/>
      <c r="QQV31" s="194"/>
      <c r="QQW31" s="194"/>
      <c r="QQX31" s="161"/>
      <c r="QQY31" s="194"/>
      <c r="QQZ31" s="194"/>
      <c r="QRA31" s="161"/>
      <c r="QRB31" s="194"/>
      <c r="QRC31" s="194"/>
      <c r="QRD31" s="194"/>
      <c r="QRE31" s="194"/>
      <c r="QRF31" s="194"/>
      <c r="QRG31" s="194"/>
      <c r="QRH31" s="161"/>
      <c r="QRI31" s="195"/>
      <c r="QRJ31" s="195"/>
      <c r="QRK31" s="161"/>
      <c r="QRL31" s="161"/>
      <c r="QRM31" s="161"/>
      <c r="QRN31" s="161"/>
      <c r="QRO31" s="196"/>
      <c r="QRP31" s="196"/>
      <c r="QRQ31" s="192"/>
      <c r="QRR31" s="181"/>
      <c r="QRS31" s="180"/>
      <c r="QRT31" s="197"/>
      <c r="QRU31" s="179"/>
      <c r="QRV31" s="196"/>
      <c r="QRW31" s="179"/>
      <c r="QRX31" s="196"/>
      <c r="QRY31" s="196"/>
      <c r="QRZ31" s="161"/>
      <c r="QSA31" s="193"/>
      <c r="QSB31" s="193"/>
      <c r="QSC31" s="194"/>
      <c r="QSD31" s="194"/>
      <c r="QSE31" s="194"/>
      <c r="QSF31" s="194"/>
      <c r="QSG31" s="194"/>
      <c r="QSH31" s="161"/>
      <c r="QSI31" s="161"/>
      <c r="QSJ31" s="194"/>
      <c r="QSK31" s="161"/>
      <c r="QSL31" s="193"/>
      <c r="QSM31" s="194"/>
      <c r="QSN31" s="161"/>
      <c r="QSO31" s="161"/>
      <c r="QSP31" s="161"/>
      <c r="QSQ31" s="194"/>
      <c r="QSR31" s="194"/>
      <c r="QSS31" s="194"/>
      <c r="QST31" s="161"/>
      <c r="QSU31" s="194"/>
      <c r="QSV31" s="194"/>
      <c r="QSW31" s="161"/>
      <c r="QSX31" s="194"/>
      <c r="QSY31" s="194"/>
      <c r="QSZ31" s="194"/>
      <c r="QTA31" s="194"/>
      <c r="QTB31" s="194"/>
      <c r="QTC31" s="194"/>
      <c r="QTD31" s="161"/>
      <c r="QTE31" s="195"/>
      <c r="QTF31" s="195"/>
      <c r="QTG31" s="161"/>
      <c r="QTH31" s="161"/>
      <c r="QTI31" s="161"/>
      <c r="QTJ31" s="161"/>
      <c r="QTK31" s="196"/>
      <c r="QTL31" s="196"/>
      <c r="QTM31" s="192"/>
      <c r="QTN31" s="181"/>
      <c r="QTO31" s="180"/>
      <c r="QTP31" s="197"/>
      <c r="QTQ31" s="179"/>
      <c r="QTR31" s="196"/>
      <c r="QTS31" s="179"/>
      <c r="QTT31" s="196"/>
      <c r="QTU31" s="196"/>
      <c r="QTV31" s="161"/>
      <c r="QTW31" s="193"/>
      <c r="QTX31" s="193"/>
      <c r="QTY31" s="194"/>
      <c r="QTZ31" s="194"/>
      <c r="QUA31" s="194"/>
      <c r="QUB31" s="194"/>
      <c r="QUC31" s="194"/>
      <c r="QUD31" s="161"/>
      <c r="QUE31" s="161"/>
      <c r="QUF31" s="194"/>
      <c r="QUG31" s="161"/>
      <c r="QUH31" s="193"/>
      <c r="QUI31" s="194"/>
      <c r="QUJ31" s="161"/>
      <c r="QUK31" s="161"/>
      <c r="QUL31" s="161"/>
      <c r="QUM31" s="194"/>
      <c r="QUN31" s="194"/>
      <c r="QUO31" s="194"/>
      <c r="QUP31" s="161"/>
      <c r="QUQ31" s="194"/>
      <c r="QUR31" s="194"/>
      <c r="QUS31" s="161"/>
      <c r="QUT31" s="194"/>
      <c r="QUU31" s="194"/>
      <c r="QUV31" s="194"/>
      <c r="QUW31" s="194"/>
      <c r="QUX31" s="194"/>
      <c r="QUY31" s="194"/>
      <c r="QUZ31" s="161"/>
      <c r="QVA31" s="195"/>
      <c r="QVB31" s="195"/>
      <c r="QVC31" s="161"/>
      <c r="QVD31" s="161"/>
      <c r="QVE31" s="161"/>
      <c r="QVF31" s="161"/>
      <c r="QVG31" s="196"/>
      <c r="QVH31" s="196"/>
      <c r="QVI31" s="192"/>
      <c r="QVJ31" s="181"/>
      <c r="QVK31" s="180"/>
      <c r="QVL31" s="197"/>
      <c r="QVM31" s="179"/>
      <c r="QVN31" s="196"/>
      <c r="QVO31" s="179"/>
      <c r="QVP31" s="196"/>
      <c r="QVQ31" s="196"/>
      <c r="QVR31" s="161"/>
      <c r="QVS31" s="193"/>
      <c r="QVT31" s="193"/>
      <c r="QVU31" s="194"/>
      <c r="QVV31" s="194"/>
      <c r="QVW31" s="194"/>
      <c r="QVX31" s="194"/>
      <c r="QVY31" s="194"/>
      <c r="QVZ31" s="161"/>
      <c r="QWA31" s="161"/>
      <c r="QWB31" s="194"/>
      <c r="QWC31" s="161"/>
      <c r="QWD31" s="193"/>
      <c r="QWE31" s="194"/>
      <c r="QWF31" s="161"/>
      <c r="QWG31" s="161"/>
      <c r="QWH31" s="161"/>
      <c r="QWI31" s="194"/>
      <c r="QWJ31" s="194"/>
      <c r="QWK31" s="194"/>
      <c r="QWL31" s="161"/>
      <c r="QWM31" s="194"/>
      <c r="QWN31" s="194"/>
      <c r="QWO31" s="161"/>
      <c r="QWP31" s="194"/>
      <c r="QWQ31" s="194"/>
      <c r="QWR31" s="194"/>
      <c r="QWS31" s="194"/>
      <c r="QWT31" s="194"/>
      <c r="QWU31" s="194"/>
      <c r="QWV31" s="161"/>
      <c r="QWW31" s="195"/>
      <c r="QWX31" s="195"/>
      <c r="QWY31" s="161"/>
      <c r="QWZ31" s="161"/>
      <c r="QXA31" s="161"/>
      <c r="QXB31" s="161"/>
      <c r="QXC31" s="196"/>
      <c r="QXD31" s="196"/>
      <c r="QXE31" s="192"/>
      <c r="QXF31" s="181"/>
      <c r="QXG31" s="180"/>
      <c r="QXH31" s="197"/>
      <c r="QXI31" s="179"/>
      <c r="QXJ31" s="196"/>
      <c r="QXK31" s="179"/>
      <c r="QXL31" s="196"/>
      <c r="QXM31" s="196"/>
      <c r="QXN31" s="161"/>
      <c r="QXO31" s="193"/>
      <c r="QXP31" s="193"/>
      <c r="QXQ31" s="194"/>
      <c r="QXR31" s="194"/>
      <c r="QXS31" s="194"/>
      <c r="QXT31" s="194"/>
      <c r="QXU31" s="194"/>
      <c r="QXV31" s="161"/>
      <c r="QXW31" s="161"/>
      <c r="QXX31" s="194"/>
      <c r="QXY31" s="161"/>
      <c r="QXZ31" s="193"/>
      <c r="QYA31" s="194"/>
      <c r="QYB31" s="161"/>
      <c r="QYC31" s="161"/>
      <c r="QYD31" s="161"/>
      <c r="QYE31" s="194"/>
      <c r="QYF31" s="194"/>
      <c r="QYG31" s="194"/>
      <c r="QYH31" s="161"/>
      <c r="QYI31" s="194"/>
      <c r="QYJ31" s="194"/>
      <c r="QYK31" s="161"/>
      <c r="QYL31" s="194"/>
      <c r="QYM31" s="194"/>
      <c r="QYN31" s="194"/>
      <c r="QYO31" s="194"/>
      <c r="QYP31" s="194"/>
      <c r="QYQ31" s="194"/>
      <c r="QYR31" s="161"/>
      <c r="QYS31" s="195"/>
      <c r="QYT31" s="195"/>
      <c r="QYU31" s="161"/>
      <c r="QYV31" s="161"/>
      <c r="QYW31" s="161"/>
      <c r="QYX31" s="161"/>
      <c r="QYY31" s="196"/>
      <c r="QYZ31" s="196"/>
      <c r="QZA31" s="192"/>
      <c r="QZB31" s="181"/>
      <c r="QZC31" s="180"/>
      <c r="QZD31" s="197"/>
      <c r="QZE31" s="179"/>
      <c r="QZF31" s="196"/>
      <c r="QZG31" s="179"/>
      <c r="QZH31" s="196"/>
      <c r="QZI31" s="196"/>
      <c r="QZJ31" s="161"/>
      <c r="QZK31" s="193"/>
      <c r="QZL31" s="193"/>
      <c r="QZM31" s="194"/>
      <c r="QZN31" s="194"/>
      <c r="QZO31" s="194"/>
      <c r="QZP31" s="194"/>
      <c r="QZQ31" s="194"/>
      <c r="QZR31" s="161"/>
      <c r="QZS31" s="161"/>
      <c r="QZT31" s="194"/>
      <c r="QZU31" s="161"/>
      <c r="QZV31" s="193"/>
      <c r="QZW31" s="194"/>
      <c r="QZX31" s="161"/>
      <c r="QZY31" s="161"/>
      <c r="QZZ31" s="161"/>
      <c r="RAA31" s="194"/>
      <c r="RAB31" s="194"/>
      <c r="RAC31" s="194"/>
      <c r="RAD31" s="161"/>
      <c r="RAE31" s="194"/>
      <c r="RAF31" s="194"/>
      <c r="RAG31" s="161"/>
      <c r="RAH31" s="194"/>
      <c r="RAI31" s="194"/>
      <c r="RAJ31" s="194"/>
      <c r="RAK31" s="194"/>
      <c r="RAL31" s="194"/>
      <c r="RAM31" s="194"/>
      <c r="RAN31" s="161"/>
      <c r="RAO31" s="195"/>
      <c r="RAP31" s="195"/>
      <c r="RAQ31" s="161"/>
      <c r="RAR31" s="161"/>
      <c r="RAS31" s="161"/>
      <c r="RAT31" s="161"/>
      <c r="RAU31" s="196"/>
      <c r="RAV31" s="196"/>
      <c r="RAW31" s="192"/>
      <c r="RAX31" s="181"/>
      <c r="RAY31" s="180"/>
      <c r="RAZ31" s="197"/>
      <c r="RBA31" s="179"/>
      <c r="RBB31" s="196"/>
      <c r="RBC31" s="179"/>
      <c r="RBD31" s="196"/>
      <c r="RBE31" s="196"/>
      <c r="RBF31" s="161"/>
      <c r="RBG31" s="193"/>
      <c r="RBH31" s="193"/>
      <c r="RBI31" s="194"/>
      <c r="RBJ31" s="194"/>
      <c r="RBK31" s="194"/>
      <c r="RBL31" s="194"/>
      <c r="RBM31" s="194"/>
      <c r="RBN31" s="161"/>
      <c r="RBO31" s="161"/>
      <c r="RBP31" s="194"/>
      <c r="RBQ31" s="161"/>
      <c r="RBR31" s="193"/>
      <c r="RBS31" s="194"/>
      <c r="RBT31" s="161"/>
      <c r="RBU31" s="161"/>
      <c r="RBV31" s="161"/>
      <c r="RBW31" s="194"/>
      <c r="RBX31" s="194"/>
      <c r="RBY31" s="194"/>
      <c r="RBZ31" s="161"/>
      <c r="RCA31" s="194"/>
      <c r="RCB31" s="194"/>
      <c r="RCC31" s="161"/>
      <c r="RCD31" s="194"/>
      <c r="RCE31" s="194"/>
      <c r="RCF31" s="194"/>
      <c r="RCG31" s="194"/>
      <c r="RCH31" s="194"/>
      <c r="RCI31" s="194"/>
      <c r="RCJ31" s="161"/>
      <c r="RCK31" s="195"/>
      <c r="RCL31" s="195"/>
      <c r="RCM31" s="161"/>
      <c r="RCN31" s="161"/>
      <c r="RCO31" s="161"/>
      <c r="RCP31" s="161"/>
      <c r="RCQ31" s="196"/>
      <c r="RCR31" s="196"/>
      <c r="RCS31" s="192"/>
      <c r="RCT31" s="181"/>
      <c r="RCU31" s="180"/>
      <c r="RCV31" s="197"/>
      <c r="RCW31" s="179"/>
      <c r="RCX31" s="196"/>
      <c r="RCY31" s="179"/>
      <c r="RCZ31" s="196"/>
      <c r="RDA31" s="196"/>
      <c r="RDB31" s="161"/>
      <c r="RDC31" s="193"/>
      <c r="RDD31" s="193"/>
      <c r="RDE31" s="194"/>
      <c r="RDF31" s="194"/>
      <c r="RDG31" s="194"/>
      <c r="RDH31" s="194"/>
      <c r="RDI31" s="194"/>
      <c r="RDJ31" s="161"/>
      <c r="RDK31" s="161"/>
      <c r="RDL31" s="194"/>
      <c r="RDM31" s="161"/>
      <c r="RDN31" s="193"/>
      <c r="RDO31" s="194"/>
      <c r="RDP31" s="161"/>
      <c r="RDQ31" s="161"/>
      <c r="RDR31" s="161"/>
      <c r="RDS31" s="194"/>
      <c r="RDT31" s="194"/>
      <c r="RDU31" s="194"/>
      <c r="RDV31" s="161"/>
      <c r="RDW31" s="194"/>
      <c r="RDX31" s="194"/>
      <c r="RDY31" s="161"/>
      <c r="RDZ31" s="194"/>
      <c r="REA31" s="194"/>
      <c r="REB31" s="194"/>
      <c r="REC31" s="194"/>
      <c r="RED31" s="194"/>
      <c r="REE31" s="194"/>
      <c r="REF31" s="161"/>
      <c r="REG31" s="195"/>
      <c r="REH31" s="195"/>
      <c r="REI31" s="161"/>
      <c r="REJ31" s="161"/>
      <c r="REK31" s="161"/>
      <c r="REL31" s="161"/>
      <c r="REM31" s="196"/>
      <c r="REN31" s="196"/>
      <c r="REO31" s="192"/>
      <c r="REP31" s="181"/>
      <c r="REQ31" s="180"/>
      <c r="RER31" s="197"/>
      <c r="RES31" s="179"/>
      <c r="RET31" s="196"/>
      <c r="REU31" s="179"/>
      <c r="REV31" s="196"/>
      <c r="REW31" s="196"/>
      <c r="REX31" s="161"/>
      <c r="REY31" s="193"/>
      <c r="REZ31" s="193"/>
      <c r="RFA31" s="194"/>
      <c r="RFB31" s="194"/>
      <c r="RFC31" s="194"/>
      <c r="RFD31" s="194"/>
      <c r="RFE31" s="194"/>
      <c r="RFF31" s="161"/>
      <c r="RFG31" s="161"/>
      <c r="RFH31" s="194"/>
      <c r="RFI31" s="161"/>
      <c r="RFJ31" s="193"/>
      <c r="RFK31" s="194"/>
      <c r="RFL31" s="161"/>
      <c r="RFM31" s="161"/>
      <c r="RFN31" s="161"/>
      <c r="RFO31" s="194"/>
      <c r="RFP31" s="194"/>
      <c r="RFQ31" s="194"/>
      <c r="RFR31" s="161"/>
      <c r="RFS31" s="194"/>
      <c r="RFT31" s="194"/>
      <c r="RFU31" s="161"/>
      <c r="RFV31" s="194"/>
      <c r="RFW31" s="194"/>
      <c r="RFX31" s="194"/>
      <c r="RFY31" s="194"/>
      <c r="RFZ31" s="194"/>
      <c r="RGA31" s="194"/>
      <c r="RGB31" s="161"/>
      <c r="RGC31" s="195"/>
      <c r="RGD31" s="195"/>
      <c r="RGE31" s="161"/>
      <c r="RGF31" s="161"/>
      <c r="RGG31" s="161"/>
      <c r="RGH31" s="161"/>
      <c r="RGI31" s="196"/>
      <c r="RGJ31" s="196"/>
      <c r="RGK31" s="192"/>
      <c r="RGL31" s="181"/>
      <c r="RGM31" s="180"/>
      <c r="RGN31" s="197"/>
      <c r="RGO31" s="179"/>
      <c r="RGP31" s="196"/>
      <c r="RGQ31" s="179"/>
      <c r="RGR31" s="196"/>
      <c r="RGS31" s="196"/>
      <c r="RGT31" s="161"/>
      <c r="RGU31" s="193"/>
      <c r="RGV31" s="193"/>
      <c r="RGW31" s="194"/>
      <c r="RGX31" s="194"/>
      <c r="RGY31" s="194"/>
      <c r="RGZ31" s="194"/>
      <c r="RHA31" s="194"/>
      <c r="RHB31" s="161"/>
      <c r="RHC31" s="161"/>
      <c r="RHD31" s="194"/>
      <c r="RHE31" s="161"/>
      <c r="RHF31" s="193"/>
      <c r="RHG31" s="194"/>
      <c r="RHH31" s="161"/>
      <c r="RHI31" s="161"/>
      <c r="RHJ31" s="161"/>
      <c r="RHK31" s="194"/>
      <c r="RHL31" s="194"/>
      <c r="RHM31" s="194"/>
      <c r="RHN31" s="161"/>
      <c r="RHO31" s="194"/>
      <c r="RHP31" s="194"/>
      <c r="RHQ31" s="161"/>
      <c r="RHR31" s="194"/>
      <c r="RHS31" s="194"/>
      <c r="RHT31" s="194"/>
      <c r="RHU31" s="194"/>
      <c r="RHV31" s="194"/>
      <c r="RHW31" s="194"/>
      <c r="RHX31" s="161"/>
      <c r="RHY31" s="195"/>
      <c r="RHZ31" s="195"/>
      <c r="RIA31" s="161"/>
      <c r="RIB31" s="161"/>
      <c r="RIC31" s="161"/>
      <c r="RID31" s="161"/>
      <c r="RIE31" s="196"/>
      <c r="RIF31" s="196"/>
      <c r="RIG31" s="192"/>
      <c r="RIH31" s="181"/>
      <c r="RII31" s="180"/>
      <c r="RIJ31" s="197"/>
      <c r="RIK31" s="179"/>
      <c r="RIL31" s="196"/>
      <c r="RIM31" s="179"/>
      <c r="RIN31" s="196"/>
      <c r="RIO31" s="196"/>
      <c r="RIP31" s="161"/>
      <c r="RIQ31" s="193"/>
      <c r="RIR31" s="193"/>
      <c r="RIS31" s="194"/>
      <c r="RIT31" s="194"/>
      <c r="RIU31" s="194"/>
      <c r="RIV31" s="194"/>
      <c r="RIW31" s="194"/>
      <c r="RIX31" s="161"/>
      <c r="RIY31" s="161"/>
      <c r="RIZ31" s="194"/>
      <c r="RJA31" s="161"/>
      <c r="RJB31" s="193"/>
      <c r="RJC31" s="194"/>
      <c r="RJD31" s="161"/>
      <c r="RJE31" s="161"/>
      <c r="RJF31" s="161"/>
      <c r="RJG31" s="194"/>
      <c r="RJH31" s="194"/>
      <c r="RJI31" s="194"/>
      <c r="RJJ31" s="161"/>
      <c r="RJK31" s="194"/>
      <c r="RJL31" s="194"/>
      <c r="RJM31" s="161"/>
      <c r="RJN31" s="194"/>
      <c r="RJO31" s="194"/>
      <c r="RJP31" s="194"/>
      <c r="RJQ31" s="194"/>
      <c r="RJR31" s="194"/>
      <c r="RJS31" s="194"/>
      <c r="RJT31" s="161"/>
      <c r="RJU31" s="195"/>
      <c r="RJV31" s="195"/>
      <c r="RJW31" s="161"/>
      <c r="RJX31" s="161"/>
      <c r="RJY31" s="161"/>
      <c r="RJZ31" s="161"/>
      <c r="RKA31" s="196"/>
      <c r="RKB31" s="196"/>
      <c r="RKC31" s="192"/>
      <c r="RKD31" s="181"/>
      <c r="RKE31" s="180"/>
      <c r="RKF31" s="197"/>
      <c r="RKG31" s="179"/>
      <c r="RKH31" s="196"/>
      <c r="RKI31" s="179"/>
      <c r="RKJ31" s="196"/>
      <c r="RKK31" s="196"/>
      <c r="RKL31" s="161"/>
      <c r="RKM31" s="193"/>
      <c r="RKN31" s="193"/>
      <c r="RKO31" s="194"/>
      <c r="RKP31" s="194"/>
      <c r="RKQ31" s="194"/>
      <c r="RKR31" s="194"/>
      <c r="RKS31" s="194"/>
      <c r="RKT31" s="161"/>
      <c r="RKU31" s="161"/>
      <c r="RKV31" s="194"/>
      <c r="RKW31" s="161"/>
      <c r="RKX31" s="193"/>
      <c r="RKY31" s="194"/>
      <c r="RKZ31" s="161"/>
      <c r="RLA31" s="161"/>
      <c r="RLB31" s="161"/>
      <c r="RLC31" s="194"/>
      <c r="RLD31" s="194"/>
      <c r="RLE31" s="194"/>
      <c r="RLF31" s="161"/>
      <c r="RLG31" s="194"/>
      <c r="RLH31" s="194"/>
      <c r="RLI31" s="161"/>
      <c r="RLJ31" s="194"/>
      <c r="RLK31" s="194"/>
      <c r="RLL31" s="194"/>
      <c r="RLM31" s="194"/>
      <c r="RLN31" s="194"/>
      <c r="RLO31" s="194"/>
      <c r="RLP31" s="161"/>
      <c r="RLQ31" s="195"/>
      <c r="RLR31" s="195"/>
      <c r="RLS31" s="161"/>
      <c r="RLT31" s="161"/>
      <c r="RLU31" s="161"/>
      <c r="RLV31" s="161"/>
      <c r="RLW31" s="196"/>
      <c r="RLX31" s="196"/>
      <c r="RLY31" s="192"/>
      <c r="RLZ31" s="181"/>
      <c r="RMA31" s="180"/>
      <c r="RMB31" s="197"/>
      <c r="RMC31" s="179"/>
      <c r="RMD31" s="196"/>
      <c r="RME31" s="179"/>
      <c r="RMF31" s="196"/>
      <c r="RMG31" s="196"/>
      <c r="RMH31" s="161"/>
      <c r="RMI31" s="193"/>
      <c r="RMJ31" s="193"/>
      <c r="RMK31" s="194"/>
      <c r="RML31" s="194"/>
      <c r="RMM31" s="194"/>
      <c r="RMN31" s="194"/>
      <c r="RMO31" s="194"/>
      <c r="RMP31" s="161"/>
      <c r="RMQ31" s="161"/>
      <c r="RMR31" s="194"/>
      <c r="RMS31" s="161"/>
      <c r="RMT31" s="193"/>
      <c r="RMU31" s="194"/>
      <c r="RMV31" s="161"/>
      <c r="RMW31" s="161"/>
      <c r="RMX31" s="161"/>
      <c r="RMY31" s="194"/>
      <c r="RMZ31" s="194"/>
      <c r="RNA31" s="194"/>
      <c r="RNB31" s="161"/>
      <c r="RNC31" s="194"/>
      <c r="RND31" s="194"/>
      <c r="RNE31" s="161"/>
      <c r="RNF31" s="194"/>
      <c r="RNG31" s="194"/>
      <c r="RNH31" s="194"/>
      <c r="RNI31" s="194"/>
      <c r="RNJ31" s="194"/>
      <c r="RNK31" s="194"/>
      <c r="RNL31" s="161"/>
      <c r="RNM31" s="195"/>
      <c r="RNN31" s="195"/>
      <c r="RNO31" s="161"/>
      <c r="RNP31" s="161"/>
      <c r="RNQ31" s="161"/>
      <c r="RNR31" s="161"/>
      <c r="RNS31" s="196"/>
      <c r="RNT31" s="196"/>
      <c r="RNU31" s="192"/>
      <c r="RNV31" s="181"/>
      <c r="RNW31" s="180"/>
      <c r="RNX31" s="197"/>
      <c r="RNY31" s="179"/>
      <c r="RNZ31" s="196"/>
      <c r="ROA31" s="179"/>
      <c r="ROB31" s="196"/>
      <c r="ROC31" s="196"/>
      <c r="ROD31" s="161"/>
      <c r="ROE31" s="193"/>
      <c r="ROF31" s="193"/>
      <c r="ROG31" s="194"/>
      <c r="ROH31" s="194"/>
      <c r="ROI31" s="194"/>
      <c r="ROJ31" s="194"/>
      <c r="ROK31" s="194"/>
      <c r="ROL31" s="161"/>
      <c r="ROM31" s="161"/>
      <c r="RON31" s="194"/>
      <c r="ROO31" s="161"/>
      <c r="ROP31" s="193"/>
      <c r="ROQ31" s="194"/>
      <c r="ROR31" s="161"/>
      <c r="ROS31" s="161"/>
      <c r="ROT31" s="161"/>
      <c r="ROU31" s="194"/>
      <c r="ROV31" s="194"/>
      <c r="ROW31" s="194"/>
      <c r="ROX31" s="161"/>
      <c r="ROY31" s="194"/>
      <c r="ROZ31" s="194"/>
      <c r="RPA31" s="161"/>
      <c r="RPB31" s="194"/>
      <c r="RPC31" s="194"/>
      <c r="RPD31" s="194"/>
      <c r="RPE31" s="194"/>
      <c r="RPF31" s="194"/>
      <c r="RPG31" s="194"/>
      <c r="RPH31" s="161"/>
      <c r="RPI31" s="195"/>
      <c r="RPJ31" s="195"/>
      <c r="RPK31" s="161"/>
      <c r="RPL31" s="161"/>
      <c r="RPM31" s="161"/>
      <c r="RPN31" s="161"/>
      <c r="RPO31" s="196"/>
      <c r="RPP31" s="196"/>
      <c r="RPQ31" s="192"/>
      <c r="RPR31" s="181"/>
      <c r="RPS31" s="180"/>
      <c r="RPT31" s="197"/>
      <c r="RPU31" s="179"/>
      <c r="RPV31" s="196"/>
      <c r="RPW31" s="179"/>
      <c r="RPX31" s="196"/>
      <c r="RPY31" s="196"/>
      <c r="RPZ31" s="161"/>
      <c r="RQA31" s="193"/>
      <c r="RQB31" s="193"/>
      <c r="RQC31" s="194"/>
      <c r="RQD31" s="194"/>
      <c r="RQE31" s="194"/>
      <c r="RQF31" s="194"/>
      <c r="RQG31" s="194"/>
      <c r="RQH31" s="161"/>
      <c r="RQI31" s="161"/>
      <c r="RQJ31" s="194"/>
      <c r="RQK31" s="161"/>
      <c r="RQL31" s="193"/>
      <c r="RQM31" s="194"/>
      <c r="RQN31" s="161"/>
      <c r="RQO31" s="161"/>
      <c r="RQP31" s="161"/>
      <c r="RQQ31" s="194"/>
      <c r="RQR31" s="194"/>
      <c r="RQS31" s="194"/>
      <c r="RQT31" s="161"/>
      <c r="RQU31" s="194"/>
      <c r="RQV31" s="194"/>
      <c r="RQW31" s="161"/>
      <c r="RQX31" s="194"/>
      <c r="RQY31" s="194"/>
      <c r="RQZ31" s="194"/>
      <c r="RRA31" s="194"/>
      <c r="RRB31" s="194"/>
      <c r="RRC31" s="194"/>
      <c r="RRD31" s="161"/>
      <c r="RRE31" s="195"/>
      <c r="RRF31" s="195"/>
      <c r="RRG31" s="161"/>
      <c r="RRH31" s="161"/>
      <c r="RRI31" s="161"/>
      <c r="RRJ31" s="161"/>
      <c r="RRK31" s="196"/>
      <c r="RRL31" s="196"/>
      <c r="RRM31" s="192"/>
      <c r="RRN31" s="181"/>
      <c r="RRO31" s="180"/>
      <c r="RRP31" s="197"/>
      <c r="RRQ31" s="179"/>
      <c r="RRR31" s="196"/>
      <c r="RRS31" s="179"/>
      <c r="RRT31" s="196"/>
      <c r="RRU31" s="196"/>
      <c r="RRV31" s="161"/>
      <c r="RRW31" s="193"/>
      <c r="RRX31" s="193"/>
      <c r="RRY31" s="194"/>
      <c r="RRZ31" s="194"/>
      <c r="RSA31" s="194"/>
      <c r="RSB31" s="194"/>
      <c r="RSC31" s="194"/>
      <c r="RSD31" s="161"/>
      <c r="RSE31" s="161"/>
      <c r="RSF31" s="194"/>
      <c r="RSG31" s="161"/>
      <c r="RSH31" s="193"/>
      <c r="RSI31" s="194"/>
      <c r="RSJ31" s="161"/>
      <c r="RSK31" s="161"/>
      <c r="RSL31" s="161"/>
      <c r="RSM31" s="194"/>
      <c r="RSN31" s="194"/>
      <c r="RSO31" s="194"/>
      <c r="RSP31" s="161"/>
      <c r="RSQ31" s="194"/>
      <c r="RSR31" s="194"/>
      <c r="RSS31" s="161"/>
      <c r="RST31" s="194"/>
      <c r="RSU31" s="194"/>
      <c r="RSV31" s="194"/>
      <c r="RSW31" s="194"/>
      <c r="RSX31" s="194"/>
      <c r="RSY31" s="194"/>
      <c r="RSZ31" s="161"/>
      <c r="RTA31" s="195"/>
      <c r="RTB31" s="195"/>
      <c r="RTC31" s="161"/>
      <c r="RTD31" s="161"/>
      <c r="RTE31" s="161"/>
      <c r="RTF31" s="161"/>
      <c r="RTG31" s="196"/>
      <c r="RTH31" s="196"/>
      <c r="RTI31" s="192"/>
      <c r="RTJ31" s="181"/>
      <c r="RTK31" s="180"/>
      <c r="RTL31" s="197"/>
      <c r="RTM31" s="179"/>
      <c r="RTN31" s="196"/>
      <c r="RTO31" s="179"/>
      <c r="RTP31" s="196"/>
      <c r="RTQ31" s="196"/>
      <c r="RTR31" s="161"/>
      <c r="RTS31" s="193"/>
      <c r="RTT31" s="193"/>
      <c r="RTU31" s="194"/>
      <c r="RTV31" s="194"/>
      <c r="RTW31" s="194"/>
      <c r="RTX31" s="194"/>
      <c r="RTY31" s="194"/>
      <c r="RTZ31" s="161"/>
      <c r="RUA31" s="161"/>
      <c r="RUB31" s="194"/>
      <c r="RUC31" s="161"/>
      <c r="RUD31" s="193"/>
      <c r="RUE31" s="194"/>
      <c r="RUF31" s="161"/>
      <c r="RUG31" s="161"/>
      <c r="RUH31" s="161"/>
      <c r="RUI31" s="194"/>
      <c r="RUJ31" s="194"/>
      <c r="RUK31" s="194"/>
      <c r="RUL31" s="161"/>
      <c r="RUM31" s="194"/>
      <c r="RUN31" s="194"/>
      <c r="RUO31" s="161"/>
      <c r="RUP31" s="194"/>
      <c r="RUQ31" s="194"/>
      <c r="RUR31" s="194"/>
      <c r="RUS31" s="194"/>
      <c r="RUT31" s="194"/>
      <c r="RUU31" s="194"/>
      <c r="RUV31" s="161"/>
      <c r="RUW31" s="195"/>
      <c r="RUX31" s="195"/>
      <c r="RUY31" s="161"/>
      <c r="RUZ31" s="161"/>
      <c r="RVA31" s="161"/>
      <c r="RVB31" s="161"/>
      <c r="RVC31" s="196"/>
      <c r="RVD31" s="196"/>
      <c r="RVE31" s="192"/>
      <c r="RVF31" s="181"/>
      <c r="RVG31" s="180"/>
      <c r="RVH31" s="197"/>
      <c r="RVI31" s="179"/>
      <c r="RVJ31" s="196"/>
      <c r="RVK31" s="179"/>
      <c r="RVL31" s="196"/>
      <c r="RVM31" s="196"/>
      <c r="RVN31" s="161"/>
      <c r="RVO31" s="193"/>
      <c r="RVP31" s="193"/>
      <c r="RVQ31" s="194"/>
      <c r="RVR31" s="194"/>
      <c r="RVS31" s="194"/>
      <c r="RVT31" s="194"/>
      <c r="RVU31" s="194"/>
      <c r="RVV31" s="161"/>
      <c r="RVW31" s="161"/>
      <c r="RVX31" s="194"/>
      <c r="RVY31" s="161"/>
      <c r="RVZ31" s="193"/>
      <c r="RWA31" s="194"/>
      <c r="RWB31" s="161"/>
      <c r="RWC31" s="161"/>
      <c r="RWD31" s="161"/>
      <c r="RWE31" s="194"/>
      <c r="RWF31" s="194"/>
      <c r="RWG31" s="194"/>
      <c r="RWH31" s="161"/>
      <c r="RWI31" s="194"/>
      <c r="RWJ31" s="194"/>
      <c r="RWK31" s="161"/>
      <c r="RWL31" s="194"/>
      <c r="RWM31" s="194"/>
      <c r="RWN31" s="194"/>
      <c r="RWO31" s="194"/>
      <c r="RWP31" s="194"/>
      <c r="RWQ31" s="194"/>
      <c r="RWR31" s="161"/>
      <c r="RWS31" s="195"/>
      <c r="RWT31" s="195"/>
      <c r="RWU31" s="161"/>
      <c r="RWV31" s="161"/>
      <c r="RWW31" s="161"/>
      <c r="RWX31" s="161"/>
      <c r="RWY31" s="196"/>
      <c r="RWZ31" s="196"/>
      <c r="RXA31" s="192"/>
      <c r="RXB31" s="181"/>
      <c r="RXC31" s="180"/>
      <c r="RXD31" s="197"/>
      <c r="RXE31" s="179"/>
      <c r="RXF31" s="196"/>
      <c r="RXG31" s="179"/>
      <c r="RXH31" s="196"/>
      <c r="RXI31" s="196"/>
      <c r="RXJ31" s="161"/>
      <c r="RXK31" s="193"/>
      <c r="RXL31" s="193"/>
      <c r="RXM31" s="194"/>
      <c r="RXN31" s="194"/>
      <c r="RXO31" s="194"/>
      <c r="RXP31" s="194"/>
      <c r="RXQ31" s="194"/>
      <c r="RXR31" s="161"/>
      <c r="RXS31" s="161"/>
      <c r="RXT31" s="194"/>
      <c r="RXU31" s="161"/>
      <c r="RXV31" s="193"/>
      <c r="RXW31" s="194"/>
      <c r="RXX31" s="161"/>
      <c r="RXY31" s="161"/>
      <c r="RXZ31" s="161"/>
      <c r="RYA31" s="194"/>
      <c r="RYB31" s="194"/>
      <c r="RYC31" s="194"/>
      <c r="RYD31" s="161"/>
      <c r="RYE31" s="194"/>
      <c r="RYF31" s="194"/>
      <c r="RYG31" s="161"/>
      <c r="RYH31" s="194"/>
      <c r="RYI31" s="194"/>
      <c r="RYJ31" s="194"/>
      <c r="RYK31" s="194"/>
      <c r="RYL31" s="194"/>
      <c r="RYM31" s="194"/>
      <c r="RYN31" s="161"/>
      <c r="RYO31" s="195"/>
      <c r="RYP31" s="195"/>
      <c r="RYQ31" s="161"/>
      <c r="RYR31" s="161"/>
      <c r="RYS31" s="161"/>
      <c r="RYT31" s="161"/>
      <c r="RYU31" s="196"/>
      <c r="RYV31" s="196"/>
      <c r="RYW31" s="192"/>
      <c r="RYX31" s="181"/>
      <c r="RYY31" s="180"/>
      <c r="RYZ31" s="197"/>
      <c r="RZA31" s="179"/>
      <c r="RZB31" s="196"/>
      <c r="RZC31" s="179"/>
      <c r="RZD31" s="196"/>
      <c r="RZE31" s="196"/>
      <c r="RZF31" s="161"/>
      <c r="RZG31" s="193"/>
      <c r="RZH31" s="193"/>
      <c r="RZI31" s="194"/>
      <c r="RZJ31" s="194"/>
      <c r="RZK31" s="194"/>
      <c r="RZL31" s="194"/>
      <c r="RZM31" s="194"/>
      <c r="RZN31" s="161"/>
      <c r="RZO31" s="161"/>
      <c r="RZP31" s="194"/>
      <c r="RZQ31" s="161"/>
      <c r="RZR31" s="193"/>
      <c r="RZS31" s="194"/>
      <c r="RZT31" s="161"/>
      <c r="RZU31" s="161"/>
      <c r="RZV31" s="161"/>
      <c r="RZW31" s="194"/>
      <c r="RZX31" s="194"/>
      <c r="RZY31" s="194"/>
      <c r="RZZ31" s="161"/>
      <c r="SAA31" s="194"/>
      <c r="SAB31" s="194"/>
      <c r="SAC31" s="161"/>
      <c r="SAD31" s="194"/>
      <c r="SAE31" s="194"/>
      <c r="SAF31" s="194"/>
      <c r="SAG31" s="194"/>
      <c r="SAH31" s="194"/>
      <c r="SAI31" s="194"/>
      <c r="SAJ31" s="161"/>
      <c r="SAK31" s="195"/>
      <c r="SAL31" s="195"/>
      <c r="SAM31" s="161"/>
      <c r="SAN31" s="161"/>
      <c r="SAO31" s="161"/>
      <c r="SAP31" s="161"/>
      <c r="SAQ31" s="196"/>
      <c r="SAR31" s="196"/>
      <c r="SAS31" s="192"/>
      <c r="SAT31" s="181"/>
      <c r="SAU31" s="180"/>
      <c r="SAV31" s="197"/>
      <c r="SAW31" s="179"/>
      <c r="SAX31" s="196"/>
      <c r="SAY31" s="179"/>
      <c r="SAZ31" s="196"/>
      <c r="SBA31" s="196"/>
      <c r="SBB31" s="161"/>
      <c r="SBC31" s="193"/>
      <c r="SBD31" s="193"/>
      <c r="SBE31" s="194"/>
      <c r="SBF31" s="194"/>
      <c r="SBG31" s="194"/>
      <c r="SBH31" s="194"/>
      <c r="SBI31" s="194"/>
      <c r="SBJ31" s="161"/>
      <c r="SBK31" s="161"/>
      <c r="SBL31" s="194"/>
      <c r="SBM31" s="161"/>
      <c r="SBN31" s="193"/>
      <c r="SBO31" s="194"/>
      <c r="SBP31" s="161"/>
      <c r="SBQ31" s="161"/>
      <c r="SBR31" s="161"/>
      <c r="SBS31" s="194"/>
      <c r="SBT31" s="194"/>
      <c r="SBU31" s="194"/>
      <c r="SBV31" s="161"/>
      <c r="SBW31" s="194"/>
      <c r="SBX31" s="194"/>
      <c r="SBY31" s="161"/>
      <c r="SBZ31" s="194"/>
      <c r="SCA31" s="194"/>
      <c r="SCB31" s="194"/>
      <c r="SCC31" s="194"/>
      <c r="SCD31" s="194"/>
      <c r="SCE31" s="194"/>
      <c r="SCF31" s="161"/>
      <c r="SCG31" s="195"/>
      <c r="SCH31" s="195"/>
      <c r="SCI31" s="161"/>
      <c r="SCJ31" s="161"/>
      <c r="SCK31" s="161"/>
      <c r="SCL31" s="161"/>
      <c r="SCM31" s="196"/>
      <c r="SCN31" s="196"/>
      <c r="SCO31" s="192"/>
      <c r="SCP31" s="181"/>
      <c r="SCQ31" s="180"/>
      <c r="SCR31" s="197"/>
      <c r="SCS31" s="179"/>
      <c r="SCT31" s="196"/>
      <c r="SCU31" s="179"/>
      <c r="SCV31" s="196"/>
      <c r="SCW31" s="196"/>
      <c r="SCX31" s="161"/>
      <c r="SCY31" s="193"/>
      <c r="SCZ31" s="193"/>
      <c r="SDA31" s="194"/>
      <c r="SDB31" s="194"/>
      <c r="SDC31" s="194"/>
      <c r="SDD31" s="194"/>
      <c r="SDE31" s="194"/>
      <c r="SDF31" s="161"/>
      <c r="SDG31" s="161"/>
      <c r="SDH31" s="194"/>
      <c r="SDI31" s="161"/>
      <c r="SDJ31" s="193"/>
      <c r="SDK31" s="194"/>
      <c r="SDL31" s="161"/>
      <c r="SDM31" s="161"/>
      <c r="SDN31" s="161"/>
      <c r="SDO31" s="194"/>
      <c r="SDP31" s="194"/>
      <c r="SDQ31" s="194"/>
      <c r="SDR31" s="161"/>
      <c r="SDS31" s="194"/>
      <c r="SDT31" s="194"/>
      <c r="SDU31" s="161"/>
      <c r="SDV31" s="194"/>
      <c r="SDW31" s="194"/>
      <c r="SDX31" s="194"/>
      <c r="SDY31" s="194"/>
      <c r="SDZ31" s="194"/>
      <c r="SEA31" s="194"/>
      <c r="SEB31" s="161"/>
      <c r="SEC31" s="195"/>
      <c r="SED31" s="195"/>
      <c r="SEE31" s="161"/>
      <c r="SEF31" s="161"/>
      <c r="SEG31" s="161"/>
      <c r="SEH31" s="161"/>
      <c r="SEI31" s="196"/>
      <c r="SEJ31" s="196"/>
      <c r="SEK31" s="192"/>
      <c r="SEL31" s="181"/>
      <c r="SEM31" s="180"/>
      <c r="SEN31" s="197"/>
      <c r="SEO31" s="179"/>
      <c r="SEP31" s="196"/>
      <c r="SEQ31" s="179"/>
      <c r="SER31" s="196"/>
      <c r="SES31" s="196"/>
      <c r="SET31" s="161"/>
      <c r="SEU31" s="193"/>
      <c r="SEV31" s="193"/>
      <c r="SEW31" s="194"/>
      <c r="SEX31" s="194"/>
      <c r="SEY31" s="194"/>
      <c r="SEZ31" s="194"/>
      <c r="SFA31" s="194"/>
      <c r="SFB31" s="161"/>
      <c r="SFC31" s="161"/>
      <c r="SFD31" s="194"/>
      <c r="SFE31" s="161"/>
      <c r="SFF31" s="193"/>
      <c r="SFG31" s="194"/>
      <c r="SFH31" s="161"/>
      <c r="SFI31" s="161"/>
      <c r="SFJ31" s="161"/>
      <c r="SFK31" s="194"/>
      <c r="SFL31" s="194"/>
      <c r="SFM31" s="194"/>
      <c r="SFN31" s="161"/>
      <c r="SFO31" s="194"/>
      <c r="SFP31" s="194"/>
      <c r="SFQ31" s="161"/>
      <c r="SFR31" s="194"/>
      <c r="SFS31" s="194"/>
      <c r="SFT31" s="194"/>
      <c r="SFU31" s="194"/>
      <c r="SFV31" s="194"/>
      <c r="SFW31" s="194"/>
      <c r="SFX31" s="161"/>
      <c r="SFY31" s="195"/>
      <c r="SFZ31" s="195"/>
      <c r="SGA31" s="161"/>
      <c r="SGB31" s="161"/>
      <c r="SGC31" s="161"/>
      <c r="SGD31" s="161"/>
      <c r="SGE31" s="196"/>
      <c r="SGF31" s="196"/>
      <c r="SGG31" s="192"/>
      <c r="SGH31" s="181"/>
      <c r="SGI31" s="180"/>
      <c r="SGJ31" s="197"/>
      <c r="SGK31" s="179"/>
      <c r="SGL31" s="196"/>
      <c r="SGM31" s="179"/>
      <c r="SGN31" s="196"/>
      <c r="SGO31" s="196"/>
      <c r="SGP31" s="161"/>
      <c r="SGQ31" s="193"/>
      <c r="SGR31" s="193"/>
      <c r="SGS31" s="194"/>
      <c r="SGT31" s="194"/>
      <c r="SGU31" s="194"/>
      <c r="SGV31" s="194"/>
      <c r="SGW31" s="194"/>
      <c r="SGX31" s="161"/>
      <c r="SGY31" s="161"/>
      <c r="SGZ31" s="194"/>
      <c r="SHA31" s="161"/>
      <c r="SHB31" s="193"/>
      <c r="SHC31" s="194"/>
      <c r="SHD31" s="161"/>
      <c r="SHE31" s="161"/>
      <c r="SHF31" s="161"/>
      <c r="SHG31" s="194"/>
      <c r="SHH31" s="194"/>
      <c r="SHI31" s="194"/>
      <c r="SHJ31" s="161"/>
      <c r="SHK31" s="194"/>
      <c r="SHL31" s="194"/>
      <c r="SHM31" s="161"/>
      <c r="SHN31" s="194"/>
      <c r="SHO31" s="194"/>
      <c r="SHP31" s="194"/>
      <c r="SHQ31" s="194"/>
      <c r="SHR31" s="194"/>
      <c r="SHS31" s="194"/>
      <c r="SHT31" s="161"/>
      <c r="SHU31" s="195"/>
      <c r="SHV31" s="195"/>
      <c r="SHW31" s="161"/>
      <c r="SHX31" s="161"/>
      <c r="SHY31" s="161"/>
      <c r="SHZ31" s="161"/>
      <c r="SIA31" s="196"/>
      <c r="SIB31" s="196"/>
      <c r="SIC31" s="192"/>
      <c r="SID31" s="181"/>
      <c r="SIE31" s="180"/>
      <c r="SIF31" s="197"/>
      <c r="SIG31" s="179"/>
      <c r="SIH31" s="196"/>
      <c r="SII31" s="179"/>
      <c r="SIJ31" s="196"/>
      <c r="SIK31" s="196"/>
      <c r="SIL31" s="161"/>
      <c r="SIM31" s="193"/>
      <c r="SIN31" s="193"/>
      <c r="SIO31" s="194"/>
      <c r="SIP31" s="194"/>
      <c r="SIQ31" s="194"/>
      <c r="SIR31" s="194"/>
      <c r="SIS31" s="194"/>
      <c r="SIT31" s="161"/>
      <c r="SIU31" s="161"/>
      <c r="SIV31" s="194"/>
      <c r="SIW31" s="161"/>
      <c r="SIX31" s="193"/>
      <c r="SIY31" s="194"/>
      <c r="SIZ31" s="161"/>
      <c r="SJA31" s="161"/>
      <c r="SJB31" s="161"/>
      <c r="SJC31" s="194"/>
      <c r="SJD31" s="194"/>
      <c r="SJE31" s="194"/>
      <c r="SJF31" s="161"/>
      <c r="SJG31" s="194"/>
      <c r="SJH31" s="194"/>
      <c r="SJI31" s="161"/>
      <c r="SJJ31" s="194"/>
      <c r="SJK31" s="194"/>
      <c r="SJL31" s="194"/>
      <c r="SJM31" s="194"/>
      <c r="SJN31" s="194"/>
      <c r="SJO31" s="194"/>
      <c r="SJP31" s="161"/>
      <c r="SJQ31" s="195"/>
      <c r="SJR31" s="195"/>
      <c r="SJS31" s="161"/>
      <c r="SJT31" s="161"/>
      <c r="SJU31" s="161"/>
      <c r="SJV31" s="161"/>
      <c r="SJW31" s="196"/>
      <c r="SJX31" s="196"/>
      <c r="SJY31" s="192"/>
      <c r="SJZ31" s="181"/>
      <c r="SKA31" s="180"/>
      <c r="SKB31" s="197"/>
      <c r="SKC31" s="179"/>
      <c r="SKD31" s="196"/>
      <c r="SKE31" s="179"/>
      <c r="SKF31" s="196"/>
      <c r="SKG31" s="196"/>
      <c r="SKH31" s="161"/>
      <c r="SKI31" s="193"/>
      <c r="SKJ31" s="193"/>
      <c r="SKK31" s="194"/>
      <c r="SKL31" s="194"/>
      <c r="SKM31" s="194"/>
      <c r="SKN31" s="194"/>
      <c r="SKO31" s="194"/>
      <c r="SKP31" s="161"/>
      <c r="SKQ31" s="161"/>
      <c r="SKR31" s="194"/>
      <c r="SKS31" s="161"/>
      <c r="SKT31" s="193"/>
      <c r="SKU31" s="194"/>
      <c r="SKV31" s="161"/>
      <c r="SKW31" s="161"/>
      <c r="SKX31" s="161"/>
      <c r="SKY31" s="194"/>
      <c r="SKZ31" s="194"/>
      <c r="SLA31" s="194"/>
      <c r="SLB31" s="161"/>
      <c r="SLC31" s="194"/>
      <c r="SLD31" s="194"/>
      <c r="SLE31" s="161"/>
      <c r="SLF31" s="194"/>
      <c r="SLG31" s="194"/>
      <c r="SLH31" s="194"/>
      <c r="SLI31" s="194"/>
      <c r="SLJ31" s="194"/>
      <c r="SLK31" s="194"/>
      <c r="SLL31" s="161"/>
      <c r="SLM31" s="195"/>
      <c r="SLN31" s="195"/>
      <c r="SLO31" s="161"/>
      <c r="SLP31" s="161"/>
      <c r="SLQ31" s="161"/>
      <c r="SLR31" s="161"/>
      <c r="SLS31" s="196"/>
      <c r="SLT31" s="196"/>
      <c r="SLU31" s="192"/>
      <c r="SLV31" s="181"/>
      <c r="SLW31" s="180"/>
      <c r="SLX31" s="197"/>
      <c r="SLY31" s="179"/>
      <c r="SLZ31" s="196"/>
      <c r="SMA31" s="179"/>
      <c r="SMB31" s="196"/>
      <c r="SMC31" s="196"/>
      <c r="SMD31" s="161"/>
      <c r="SME31" s="193"/>
      <c r="SMF31" s="193"/>
      <c r="SMG31" s="194"/>
      <c r="SMH31" s="194"/>
      <c r="SMI31" s="194"/>
      <c r="SMJ31" s="194"/>
      <c r="SMK31" s="194"/>
      <c r="SML31" s="161"/>
      <c r="SMM31" s="161"/>
      <c r="SMN31" s="194"/>
      <c r="SMO31" s="161"/>
      <c r="SMP31" s="193"/>
      <c r="SMQ31" s="194"/>
      <c r="SMR31" s="161"/>
      <c r="SMS31" s="161"/>
      <c r="SMT31" s="161"/>
      <c r="SMU31" s="194"/>
      <c r="SMV31" s="194"/>
      <c r="SMW31" s="194"/>
      <c r="SMX31" s="161"/>
      <c r="SMY31" s="194"/>
      <c r="SMZ31" s="194"/>
      <c r="SNA31" s="161"/>
      <c r="SNB31" s="194"/>
      <c r="SNC31" s="194"/>
      <c r="SND31" s="194"/>
      <c r="SNE31" s="194"/>
      <c r="SNF31" s="194"/>
      <c r="SNG31" s="194"/>
      <c r="SNH31" s="161"/>
      <c r="SNI31" s="195"/>
      <c r="SNJ31" s="195"/>
      <c r="SNK31" s="161"/>
      <c r="SNL31" s="161"/>
      <c r="SNM31" s="161"/>
      <c r="SNN31" s="161"/>
      <c r="SNO31" s="196"/>
      <c r="SNP31" s="196"/>
      <c r="SNQ31" s="192"/>
      <c r="SNR31" s="181"/>
      <c r="SNS31" s="180"/>
      <c r="SNT31" s="197"/>
      <c r="SNU31" s="179"/>
      <c r="SNV31" s="196"/>
      <c r="SNW31" s="179"/>
      <c r="SNX31" s="196"/>
      <c r="SNY31" s="196"/>
      <c r="SNZ31" s="161"/>
      <c r="SOA31" s="193"/>
      <c r="SOB31" s="193"/>
      <c r="SOC31" s="194"/>
      <c r="SOD31" s="194"/>
      <c r="SOE31" s="194"/>
      <c r="SOF31" s="194"/>
      <c r="SOG31" s="194"/>
      <c r="SOH31" s="161"/>
      <c r="SOI31" s="161"/>
      <c r="SOJ31" s="194"/>
      <c r="SOK31" s="161"/>
      <c r="SOL31" s="193"/>
      <c r="SOM31" s="194"/>
      <c r="SON31" s="161"/>
      <c r="SOO31" s="161"/>
      <c r="SOP31" s="161"/>
      <c r="SOQ31" s="194"/>
      <c r="SOR31" s="194"/>
      <c r="SOS31" s="194"/>
      <c r="SOT31" s="161"/>
      <c r="SOU31" s="194"/>
      <c r="SOV31" s="194"/>
      <c r="SOW31" s="161"/>
      <c r="SOX31" s="194"/>
      <c r="SOY31" s="194"/>
      <c r="SOZ31" s="194"/>
      <c r="SPA31" s="194"/>
      <c r="SPB31" s="194"/>
      <c r="SPC31" s="194"/>
      <c r="SPD31" s="161"/>
      <c r="SPE31" s="195"/>
      <c r="SPF31" s="195"/>
      <c r="SPG31" s="161"/>
      <c r="SPH31" s="161"/>
      <c r="SPI31" s="161"/>
      <c r="SPJ31" s="161"/>
      <c r="SPK31" s="196"/>
      <c r="SPL31" s="196"/>
      <c r="SPM31" s="192"/>
      <c r="SPN31" s="181"/>
      <c r="SPO31" s="180"/>
      <c r="SPP31" s="197"/>
      <c r="SPQ31" s="179"/>
      <c r="SPR31" s="196"/>
      <c r="SPS31" s="179"/>
      <c r="SPT31" s="196"/>
      <c r="SPU31" s="196"/>
      <c r="SPV31" s="161"/>
      <c r="SPW31" s="193"/>
      <c r="SPX31" s="193"/>
      <c r="SPY31" s="194"/>
      <c r="SPZ31" s="194"/>
      <c r="SQA31" s="194"/>
      <c r="SQB31" s="194"/>
      <c r="SQC31" s="194"/>
      <c r="SQD31" s="161"/>
      <c r="SQE31" s="161"/>
      <c r="SQF31" s="194"/>
      <c r="SQG31" s="161"/>
      <c r="SQH31" s="193"/>
      <c r="SQI31" s="194"/>
      <c r="SQJ31" s="161"/>
      <c r="SQK31" s="161"/>
      <c r="SQL31" s="161"/>
      <c r="SQM31" s="194"/>
      <c r="SQN31" s="194"/>
      <c r="SQO31" s="194"/>
      <c r="SQP31" s="161"/>
      <c r="SQQ31" s="194"/>
      <c r="SQR31" s="194"/>
      <c r="SQS31" s="161"/>
      <c r="SQT31" s="194"/>
      <c r="SQU31" s="194"/>
      <c r="SQV31" s="194"/>
      <c r="SQW31" s="194"/>
      <c r="SQX31" s="194"/>
      <c r="SQY31" s="194"/>
      <c r="SQZ31" s="161"/>
      <c r="SRA31" s="195"/>
      <c r="SRB31" s="195"/>
      <c r="SRC31" s="161"/>
      <c r="SRD31" s="161"/>
      <c r="SRE31" s="161"/>
      <c r="SRF31" s="161"/>
      <c r="SRG31" s="196"/>
      <c r="SRH31" s="196"/>
      <c r="SRI31" s="192"/>
      <c r="SRJ31" s="181"/>
      <c r="SRK31" s="180"/>
      <c r="SRL31" s="197"/>
      <c r="SRM31" s="179"/>
      <c r="SRN31" s="196"/>
      <c r="SRO31" s="179"/>
      <c r="SRP31" s="196"/>
      <c r="SRQ31" s="196"/>
      <c r="SRR31" s="161"/>
      <c r="SRS31" s="193"/>
      <c r="SRT31" s="193"/>
      <c r="SRU31" s="194"/>
      <c r="SRV31" s="194"/>
      <c r="SRW31" s="194"/>
      <c r="SRX31" s="194"/>
      <c r="SRY31" s="194"/>
      <c r="SRZ31" s="161"/>
      <c r="SSA31" s="161"/>
      <c r="SSB31" s="194"/>
      <c r="SSC31" s="161"/>
      <c r="SSD31" s="193"/>
      <c r="SSE31" s="194"/>
      <c r="SSF31" s="161"/>
      <c r="SSG31" s="161"/>
      <c r="SSH31" s="161"/>
      <c r="SSI31" s="194"/>
      <c r="SSJ31" s="194"/>
      <c r="SSK31" s="194"/>
      <c r="SSL31" s="161"/>
      <c r="SSM31" s="194"/>
      <c r="SSN31" s="194"/>
      <c r="SSO31" s="161"/>
      <c r="SSP31" s="194"/>
      <c r="SSQ31" s="194"/>
      <c r="SSR31" s="194"/>
      <c r="SSS31" s="194"/>
      <c r="SST31" s="194"/>
      <c r="SSU31" s="194"/>
      <c r="SSV31" s="161"/>
      <c r="SSW31" s="195"/>
      <c r="SSX31" s="195"/>
      <c r="SSY31" s="161"/>
      <c r="SSZ31" s="161"/>
      <c r="STA31" s="161"/>
      <c r="STB31" s="161"/>
      <c r="STC31" s="196"/>
      <c r="STD31" s="196"/>
      <c r="STE31" s="192"/>
      <c r="STF31" s="181"/>
      <c r="STG31" s="180"/>
      <c r="STH31" s="197"/>
      <c r="STI31" s="179"/>
      <c r="STJ31" s="196"/>
      <c r="STK31" s="179"/>
      <c r="STL31" s="196"/>
      <c r="STM31" s="196"/>
      <c r="STN31" s="161"/>
      <c r="STO31" s="193"/>
      <c r="STP31" s="193"/>
      <c r="STQ31" s="194"/>
      <c r="STR31" s="194"/>
      <c r="STS31" s="194"/>
      <c r="STT31" s="194"/>
      <c r="STU31" s="194"/>
      <c r="STV31" s="161"/>
      <c r="STW31" s="161"/>
      <c r="STX31" s="194"/>
      <c r="STY31" s="161"/>
      <c r="STZ31" s="193"/>
      <c r="SUA31" s="194"/>
      <c r="SUB31" s="161"/>
      <c r="SUC31" s="161"/>
      <c r="SUD31" s="161"/>
      <c r="SUE31" s="194"/>
      <c r="SUF31" s="194"/>
      <c r="SUG31" s="194"/>
      <c r="SUH31" s="161"/>
      <c r="SUI31" s="194"/>
      <c r="SUJ31" s="194"/>
      <c r="SUK31" s="161"/>
      <c r="SUL31" s="194"/>
      <c r="SUM31" s="194"/>
      <c r="SUN31" s="194"/>
      <c r="SUO31" s="194"/>
      <c r="SUP31" s="194"/>
      <c r="SUQ31" s="194"/>
      <c r="SUR31" s="161"/>
      <c r="SUS31" s="195"/>
      <c r="SUT31" s="195"/>
      <c r="SUU31" s="161"/>
      <c r="SUV31" s="161"/>
      <c r="SUW31" s="161"/>
      <c r="SUX31" s="161"/>
      <c r="SUY31" s="196"/>
      <c r="SUZ31" s="196"/>
      <c r="SVA31" s="192"/>
      <c r="SVB31" s="181"/>
      <c r="SVC31" s="180"/>
      <c r="SVD31" s="197"/>
      <c r="SVE31" s="179"/>
      <c r="SVF31" s="196"/>
      <c r="SVG31" s="179"/>
      <c r="SVH31" s="196"/>
      <c r="SVI31" s="196"/>
      <c r="SVJ31" s="161"/>
      <c r="SVK31" s="193"/>
      <c r="SVL31" s="193"/>
      <c r="SVM31" s="194"/>
      <c r="SVN31" s="194"/>
      <c r="SVO31" s="194"/>
      <c r="SVP31" s="194"/>
      <c r="SVQ31" s="194"/>
      <c r="SVR31" s="161"/>
      <c r="SVS31" s="161"/>
      <c r="SVT31" s="194"/>
      <c r="SVU31" s="161"/>
      <c r="SVV31" s="193"/>
      <c r="SVW31" s="194"/>
      <c r="SVX31" s="161"/>
      <c r="SVY31" s="161"/>
      <c r="SVZ31" s="161"/>
      <c r="SWA31" s="194"/>
      <c r="SWB31" s="194"/>
      <c r="SWC31" s="194"/>
      <c r="SWD31" s="161"/>
      <c r="SWE31" s="194"/>
      <c r="SWF31" s="194"/>
      <c r="SWG31" s="161"/>
      <c r="SWH31" s="194"/>
      <c r="SWI31" s="194"/>
      <c r="SWJ31" s="194"/>
      <c r="SWK31" s="194"/>
      <c r="SWL31" s="194"/>
      <c r="SWM31" s="194"/>
      <c r="SWN31" s="161"/>
      <c r="SWO31" s="195"/>
      <c r="SWP31" s="195"/>
      <c r="SWQ31" s="161"/>
      <c r="SWR31" s="161"/>
      <c r="SWS31" s="161"/>
      <c r="SWT31" s="161"/>
      <c r="SWU31" s="196"/>
      <c r="SWV31" s="196"/>
      <c r="SWW31" s="192"/>
      <c r="SWX31" s="181"/>
      <c r="SWY31" s="180"/>
      <c r="SWZ31" s="197"/>
      <c r="SXA31" s="179"/>
      <c r="SXB31" s="196"/>
      <c r="SXC31" s="179"/>
      <c r="SXD31" s="196"/>
      <c r="SXE31" s="196"/>
      <c r="SXF31" s="161"/>
      <c r="SXG31" s="193"/>
      <c r="SXH31" s="193"/>
      <c r="SXI31" s="194"/>
      <c r="SXJ31" s="194"/>
      <c r="SXK31" s="194"/>
      <c r="SXL31" s="194"/>
      <c r="SXM31" s="194"/>
      <c r="SXN31" s="161"/>
      <c r="SXO31" s="161"/>
      <c r="SXP31" s="194"/>
      <c r="SXQ31" s="161"/>
      <c r="SXR31" s="193"/>
      <c r="SXS31" s="194"/>
      <c r="SXT31" s="161"/>
      <c r="SXU31" s="161"/>
      <c r="SXV31" s="161"/>
      <c r="SXW31" s="194"/>
      <c r="SXX31" s="194"/>
      <c r="SXY31" s="194"/>
      <c r="SXZ31" s="161"/>
      <c r="SYA31" s="194"/>
      <c r="SYB31" s="194"/>
      <c r="SYC31" s="161"/>
      <c r="SYD31" s="194"/>
      <c r="SYE31" s="194"/>
      <c r="SYF31" s="194"/>
      <c r="SYG31" s="194"/>
      <c r="SYH31" s="194"/>
      <c r="SYI31" s="194"/>
      <c r="SYJ31" s="161"/>
      <c r="SYK31" s="195"/>
      <c r="SYL31" s="195"/>
      <c r="SYM31" s="161"/>
      <c r="SYN31" s="161"/>
      <c r="SYO31" s="161"/>
      <c r="SYP31" s="161"/>
      <c r="SYQ31" s="196"/>
      <c r="SYR31" s="196"/>
      <c r="SYS31" s="192"/>
      <c r="SYT31" s="181"/>
      <c r="SYU31" s="180"/>
      <c r="SYV31" s="197"/>
      <c r="SYW31" s="179"/>
      <c r="SYX31" s="196"/>
      <c r="SYY31" s="179"/>
      <c r="SYZ31" s="196"/>
      <c r="SZA31" s="196"/>
      <c r="SZB31" s="161"/>
      <c r="SZC31" s="193"/>
      <c r="SZD31" s="193"/>
      <c r="SZE31" s="194"/>
      <c r="SZF31" s="194"/>
      <c r="SZG31" s="194"/>
      <c r="SZH31" s="194"/>
      <c r="SZI31" s="194"/>
      <c r="SZJ31" s="161"/>
      <c r="SZK31" s="161"/>
      <c r="SZL31" s="194"/>
      <c r="SZM31" s="161"/>
      <c r="SZN31" s="193"/>
      <c r="SZO31" s="194"/>
      <c r="SZP31" s="161"/>
      <c r="SZQ31" s="161"/>
      <c r="SZR31" s="161"/>
      <c r="SZS31" s="194"/>
      <c r="SZT31" s="194"/>
      <c r="SZU31" s="194"/>
      <c r="SZV31" s="161"/>
      <c r="SZW31" s="194"/>
      <c r="SZX31" s="194"/>
      <c r="SZY31" s="161"/>
      <c r="SZZ31" s="194"/>
      <c r="TAA31" s="194"/>
      <c r="TAB31" s="194"/>
      <c r="TAC31" s="194"/>
      <c r="TAD31" s="194"/>
      <c r="TAE31" s="194"/>
      <c r="TAF31" s="161"/>
      <c r="TAG31" s="195"/>
      <c r="TAH31" s="195"/>
      <c r="TAI31" s="161"/>
      <c r="TAJ31" s="161"/>
      <c r="TAK31" s="161"/>
      <c r="TAL31" s="161"/>
      <c r="TAM31" s="196"/>
      <c r="TAN31" s="196"/>
      <c r="TAO31" s="192"/>
      <c r="TAP31" s="181"/>
      <c r="TAQ31" s="180"/>
      <c r="TAR31" s="197"/>
      <c r="TAS31" s="179"/>
      <c r="TAT31" s="196"/>
      <c r="TAU31" s="179"/>
      <c r="TAV31" s="196"/>
      <c r="TAW31" s="196"/>
      <c r="TAX31" s="161"/>
      <c r="TAY31" s="193"/>
      <c r="TAZ31" s="193"/>
      <c r="TBA31" s="194"/>
      <c r="TBB31" s="194"/>
      <c r="TBC31" s="194"/>
      <c r="TBD31" s="194"/>
      <c r="TBE31" s="194"/>
      <c r="TBF31" s="161"/>
      <c r="TBG31" s="161"/>
      <c r="TBH31" s="194"/>
      <c r="TBI31" s="161"/>
      <c r="TBJ31" s="193"/>
      <c r="TBK31" s="194"/>
      <c r="TBL31" s="161"/>
      <c r="TBM31" s="161"/>
      <c r="TBN31" s="161"/>
      <c r="TBO31" s="194"/>
      <c r="TBP31" s="194"/>
      <c r="TBQ31" s="194"/>
      <c r="TBR31" s="161"/>
      <c r="TBS31" s="194"/>
      <c r="TBT31" s="194"/>
      <c r="TBU31" s="161"/>
      <c r="TBV31" s="194"/>
      <c r="TBW31" s="194"/>
      <c r="TBX31" s="194"/>
      <c r="TBY31" s="194"/>
      <c r="TBZ31" s="194"/>
      <c r="TCA31" s="194"/>
      <c r="TCB31" s="161"/>
      <c r="TCC31" s="195"/>
      <c r="TCD31" s="195"/>
      <c r="TCE31" s="161"/>
      <c r="TCF31" s="161"/>
      <c r="TCG31" s="161"/>
      <c r="TCH31" s="161"/>
      <c r="TCI31" s="196"/>
      <c r="TCJ31" s="196"/>
      <c r="TCK31" s="192"/>
      <c r="TCL31" s="181"/>
      <c r="TCM31" s="180"/>
      <c r="TCN31" s="197"/>
      <c r="TCO31" s="179"/>
      <c r="TCP31" s="196"/>
      <c r="TCQ31" s="179"/>
      <c r="TCR31" s="196"/>
      <c r="TCS31" s="196"/>
      <c r="TCT31" s="161"/>
      <c r="TCU31" s="193"/>
      <c r="TCV31" s="193"/>
      <c r="TCW31" s="194"/>
      <c r="TCX31" s="194"/>
      <c r="TCY31" s="194"/>
      <c r="TCZ31" s="194"/>
      <c r="TDA31" s="194"/>
      <c r="TDB31" s="161"/>
      <c r="TDC31" s="161"/>
      <c r="TDD31" s="194"/>
      <c r="TDE31" s="161"/>
      <c r="TDF31" s="193"/>
      <c r="TDG31" s="194"/>
      <c r="TDH31" s="161"/>
      <c r="TDI31" s="161"/>
      <c r="TDJ31" s="161"/>
      <c r="TDK31" s="194"/>
      <c r="TDL31" s="194"/>
      <c r="TDM31" s="194"/>
      <c r="TDN31" s="161"/>
      <c r="TDO31" s="194"/>
      <c r="TDP31" s="194"/>
      <c r="TDQ31" s="161"/>
      <c r="TDR31" s="194"/>
      <c r="TDS31" s="194"/>
      <c r="TDT31" s="194"/>
      <c r="TDU31" s="194"/>
      <c r="TDV31" s="194"/>
      <c r="TDW31" s="194"/>
      <c r="TDX31" s="161"/>
      <c r="TDY31" s="195"/>
      <c r="TDZ31" s="195"/>
      <c r="TEA31" s="161"/>
      <c r="TEB31" s="161"/>
      <c r="TEC31" s="161"/>
      <c r="TED31" s="161"/>
      <c r="TEE31" s="196"/>
      <c r="TEF31" s="196"/>
      <c r="TEG31" s="192"/>
      <c r="TEH31" s="181"/>
      <c r="TEI31" s="180"/>
      <c r="TEJ31" s="197"/>
      <c r="TEK31" s="179"/>
      <c r="TEL31" s="196"/>
      <c r="TEM31" s="179"/>
      <c r="TEN31" s="196"/>
      <c r="TEO31" s="196"/>
      <c r="TEP31" s="161"/>
      <c r="TEQ31" s="193"/>
      <c r="TER31" s="193"/>
      <c r="TES31" s="194"/>
      <c r="TET31" s="194"/>
      <c r="TEU31" s="194"/>
      <c r="TEV31" s="194"/>
      <c r="TEW31" s="194"/>
      <c r="TEX31" s="161"/>
      <c r="TEY31" s="161"/>
      <c r="TEZ31" s="194"/>
      <c r="TFA31" s="161"/>
      <c r="TFB31" s="193"/>
      <c r="TFC31" s="194"/>
      <c r="TFD31" s="161"/>
      <c r="TFE31" s="161"/>
      <c r="TFF31" s="161"/>
      <c r="TFG31" s="194"/>
      <c r="TFH31" s="194"/>
      <c r="TFI31" s="194"/>
      <c r="TFJ31" s="161"/>
      <c r="TFK31" s="194"/>
      <c r="TFL31" s="194"/>
      <c r="TFM31" s="161"/>
      <c r="TFN31" s="194"/>
      <c r="TFO31" s="194"/>
      <c r="TFP31" s="194"/>
      <c r="TFQ31" s="194"/>
      <c r="TFR31" s="194"/>
      <c r="TFS31" s="194"/>
      <c r="TFT31" s="161"/>
      <c r="TFU31" s="195"/>
      <c r="TFV31" s="195"/>
      <c r="TFW31" s="161"/>
      <c r="TFX31" s="161"/>
      <c r="TFY31" s="161"/>
      <c r="TFZ31" s="161"/>
      <c r="TGA31" s="196"/>
      <c r="TGB31" s="196"/>
      <c r="TGC31" s="192"/>
      <c r="TGD31" s="181"/>
      <c r="TGE31" s="180"/>
      <c r="TGF31" s="197"/>
      <c r="TGG31" s="179"/>
      <c r="TGH31" s="196"/>
      <c r="TGI31" s="179"/>
      <c r="TGJ31" s="196"/>
      <c r="TGK31" s="196"/>
      <c r="TGL31" s="161"/>
      <c r="TGM31" s="193"/>
      <c r="TGN31" s="193"/>
      <c r="TGO31" s="194"/>
      <c r="TGP31" s="194"/>
      <c r="TGQ31" s="194"/>
      <c r="TGR31" s="194"/>
      <c r="TGS31" s="194"/>
      <c r="TGT31" s="161"/>
      <c r="TGU31" s="161"/>
      <c r="TGV31" s="194"/>
      <c r="TGW31" s="161"/>
      <c r="TGX31" s="193"/>
      <c r="TGY31" s="194"/>
      <c r="TGZ31" s="161"/>
      <c r="THA31" s="161"/>
      <c r="THB31" s="161"/>
      <c r="THC31" s="194"/>
      <c r="THD31" s="194"/>
      <c r="THE31" s="194"/>
      <c r="THF31" s="161"/>
      <c r="THG31" s="194"/>
      <c r="THH31" s="194"/>
      <c r="THI31" s="161"/>
      <c r="THJ31" s="194"/>
      <c r="THK31" s="194"/>
      <c r="THL31" s="194"/>
      <c r="THM31" s="194"/>
      <c r="THN31" s="194"/>
      <c r="THO31" s="194"/>
      <c r="THP31" s="161"/>
      <c r="THQ31" s="195"/>
      <c r="THR31" s="195"/>
      <c r="THS31" s="161"/>
      <c r="THT31" s="161"/>
      <c r="THU31" s="161"/>
      <c r="THV31" s="161"/>
      <c r="THW31" s="196"/>
      <c r="THX31" s="196"/>
      <c r="THY31" s="192"/>
      <c r="THZ31" s="181"/>
      <c r="TIA31" s="180"/>
      <c r="TIB31" s="197"/>
      <c r="TIC31" s="179"/>
      <c r="TID31" s="196"/>
      <c r="TIE31" s="179"/>
      <c r="TIF31" s="196"/>
      <c r="TIG31" s="196"/>
      <c r="TIH31" s="161"/>
      <c r="TII31" s="193"/>
      <c r="TIJ31" s="193"/>
      <c r="TIK31" s="194"/>
      <c r="TIL31" s="194"/>
      <c r="TIM31" s="194"/>
      <c r="TIN31" s="194"/>
      <c r="TIO31" s="194"/>
      <c r="TIP31" s="161"/>
      <c r="TIQ31" s="161"/>
      <c r="TIR31" s="194"/>
      <c r="TIS31" s="161"/>
      <c r="TIT31" s="193"/>
      <c r="TIU31" s="194"/>
      <c r="TIV31" s="161"/>
      <c r="TIW31" s="161"/>
      <c r="TIX31" s="161"/>
      <c r="TIY31" s="194"/>
      <c r="TIZ31" s="194"/>
      <c r="TJA31" s="194"/>
      <c r="TJB31" s="161"/>
      <c r="TJC31" s="194"/>
      <c r="TJD31" s="194"/>
      <c r="TJE31" s="161"/>
      <c r="TJF31" s="194"/>
      <c r="TJG31" s="194"/>
      <c r="TJH31" s="194"/>
      <c r="TJI31" s="194"/>
      <c r="TJJ31" s="194"/>
      <c r="TJK31" s="194"/>
      <c r="TJL31" s="161"/>
      <c r="TJM31" s="195"/>
      <c r="TJN31" s="195"/>
      <c r="TJO31" s="161"/>
      <c r="TJP31" s="161"/>
      <c r="TJQ31" s="161"/>
      <c r="TJR31" s="161"/>
      <c r="TJS31" s="196"/>
      <c r="TJT31" s="196"/>
      <c r="TJU31" s="192"/>
      <c r="TJV31" s="181"/>
      <c r="TJW31" s="180"/>
      <c r="TJX31" s="197"/>
      <c r="TJY31" s="179"/>
      <c r="TJZ31" s="196"/>
      <c r="TKA31" s="179"/>
      <c r="TKB31" s="196"/>
      <c r="TKC31" s="196"/>
      <c r="TKD31" s="161"/>
      <c r="TKE31" s="193"/>
      <c r="TKF31" s="193"/>
      <c r="TKG31" s="194"/>
      <c r="TKH31" s="194"/>
      <c r="TKI31" s="194"/>
      <c r="TKJ31" s="194"/>
      <c r="TKK31" s="194"/>
      <c r="TKL31" s="161"/>
      <c r="TKM31" s="161"/>
      <c r="TKN31" s="194"/>
      <c r="TKO31" s="161"/>
      <c r="TKP31" s="193"/>
      <c r="TKQ31" s="194"/>
      <c r="TKR31" s="161"/>
      <c r="TKS31" s="161"/>
      <c r="TKT31" s="161"/>
      <c r="TKU31" s="194"/>
      <c r="TKV31" s="194"/>
      <c r="TKW31" s="194"/>
      <c r="TKX31" s="161"/>
      <c r="TKY31" s="194"/>
      <c r="TKZ31" s="194"/>
      <c r="TLA31" s="161"/>
      <c r="TLB31" s="194"/>
      <c r="TLC31" s="194"/>
      <c r="TLD31" s="194"/>
      <c r="TLE31" s="194"/>
      <c r="TLF31" s="194"/>
      <c r="TLG31" s="194"/>
      <c r="TLH31" s="161"/>
      <c r="TLI31" s="195"/>
      <c r="TLJ31" s="195"/>
      <c r="TLK31" s="161"/>
      <c r="TLL31" s="161"/>
      <c r="TLM31" s="161"/>
      <c r="TLN31" s="161"/>
      <c r="TLO31" s="196"/>
      <c r="TLP31" s="196"/>
      <c r="TLQ31" s="192"/>
      <c r="TLR31" s="181"/>
      <c r="TLS31" s="180"/>
      <c r="TLT31" s="197"/>
      <c r="TLU31" s="179"/>
      <c r="TLV31" s="196"/>
      <c r="TLW31" s="179"/>
      <c r="TLX31" s="196"/>
      <c r="TLY31" s="196"/>
      <c r="TLZ31" s="161"/>
      <c r="TMA31" s="193"/>
      <c r="TMB31" s="193"/>
      <c r="TMC31" s="194"/>
      <c r="TMD31" s="194"/>
      <c r="TME31" s="194"/>
      <c r="TMF31" s="194"/>
      <c r="TMG31" s="194"/>
      <c r="TMH31" s="161"/>
      <c r="TMI31" s="161"/>
      <c r="TMJ31" s="194"/>
      <c r="TMK31" s="161"/>
      <c r="TML31" s="193"/>
      <c r="TMM31" s="194"/>
      <c r="TMN31" s="161"/>
      <c r="TMO31" s="161"/>
      <c r="TMP31" s="161"/>
      <c r="TMQ31" s="194"/>
      <c r="TMR31" s="194"/>
      <c r="TMS31" s="194"/>
      <c r="TMT31" s="161"/>
      <c r="TMU31" s="194"/>
      <c r="TMV31" s="194"/>
      <c r="TMW31" s="161"/>
      <c r="TMX31" s="194"/>
      <c r="TMY31" s="194"/>
      <c r="TMZ31" s="194"/>
      <c r="TNA31" s="194"/>
      <c r="TNB31" s="194"/>
      <c r="TNC31" s="194"/>
      <c r="TND31" s="161"/>
      <c r="TNE31" s="195"/>
      <c r="TNF31" s="195"/>
      <c r="TNG31" s="161"/>
      <c r="TNH31" s="161"/>
      <c r="TNI31" s="161"/>
      <c r="TNJ31" s="161"/>
      <c r="TNK31" s="196"/>
      <c r="TNL31" s="196"/>
      <c r="TNM31" s="192"/>
      <c r="TNN31" s="181"/>
      <c r="TNO31" s="180"/>
      <c r="TNP31" s="197"/>
      <c r="TNQ31" s="179"/>
      <c r="TNR31" s="196"/>
      <c r="TNS31" s="179"/>
      <c r="TNT31" s="196"/>
      <c r="TNU31" s="196"/>
      <c r="TNV31" s="161"/>
      <c r="TNW31" s="193"/>
      <c r="TNX31" s="193"/>
      <c r="TNY31" s="194"/>
      <c r="TNZ31" s="194"/>
      <c r="TOA31" s="194"/>
      <c r="TOB31" s="194"/>
      <c r="TOC31" s="194"/>
      <c r="TOD31" s="161"/>
      <c r="TOE31" s="161"/>
      <c r="TOF31" s="194"/>
      <c r="TOG31" s="161"/>
      <c r="TOH31" s="193"/>
      <c r="TOI31" s="194"/>
      <c r="TOJ31" s="161"/>
      <c r="TOK31" s="161"/>
      <c r="TOL31" s="161"/>
      <c r="TOM31" s="194"/>
      <c r="TON31" s="194"/>
      <c r="TOO31" s="194"/>
      <c r="TOP31" s="161"/>
      <c r="TOQ31" s="194"/>
      <c r="TOR31" s="194"/>
      <c r="TOS31" s="161"/>
      <c r="TOT31" s="194"/>
      <c r="TOU31" s="194"/>
      <c r="TOV31" s="194"/>
      <c r="TOW31" s="194"/>
      <c r="TOX31" s="194"/>
      <c r="TOY31" s="194"/>
      <c r="TOZ31" s="161"/>
      <c r="TPA31" s="195"/>
      <c r="TPB31" s="195"/>
      <c r="TPC31" s="161"/>
      <c r="TPD31" s="161"/>
      <c r="TPE31" s="161"/>
      <c r="TPF31" s="161"/>
      <c r="TPG31" s="196"/>
      <c r="TPH31" s="196"/>
      <c r="TPI31" s="192"/>
      <c r="TPJ31" s="181"/>
      <c r="TPK31" s="180"/>
      <c r="TPL31" s="197"/>
      <c r="TPM31" s="179"/>
      <c r="TPN31" s="196"/>
      <c r="TPO31" s="179"/>
      <c r="TPP31" s="196"/>
      <c r="TPQ31" s="196"/>
      <c r="TPR31" s="161"/>
      <c r="TPS31" s="193"/>
      <c r="TPT31" s="193"/>
      <c r="TPU31" s="194"/>
      <c r="TPV31" s="194"/>
      <c r="TPW31" s="194"/>
      <c r="TPX31" s="194"/>
      <c r="TPY31" s="194"/>
      <c r="TPZ31" s="161"/>
      <c r="TQA31" s="161"/>
      <c r="TQB31" s="194"/>
      <c r="TQC31" s="161"/>
      <c r="TQD31" s="193"/>
      <c r="TQE31" s="194"/>
      <c r="TQF31" s="161"/>
      <c r="TQG31" s="161"/>
      <c r="TQH31" s="161"/>
      <c r="TQI31" s="194"/>
      <c r="TQJ31" s="194"/>
      <c r="TQK31" s="194"/>
      <c r="TQL31" s="161"/>
      <c r="TQM31" s="194"/>
      <c r="TQN31" s="194"/>
      <c r="TQO31" s="161"/>
      <c r="TQP31" s="194"/>
      <c r="TQQ31" s="194"/>
      <c r="TQR31" s="194"/>
      <c r="TQS31" s="194"/>
      <c r="TQT31" s="194"/>
      <c r="TQU31" s="194"/>
      <c r="TQV31" s="161"/>
      <c r="TQW31" s="195"/>
      <c r="TQX31" s="195"/>
      <c r="TQY31" s="161"/>
      <c r="TQZ31" s="161"/>
      <c r="TRA31" s="161"/>
      <c r="TRB31" s="161"/>
      <c r="TRC31" s="196"/>
      <c r="TRD31" s="196"/>
      <c r="TRE31" s="192"/>
      <c r="TRF31" s="181"/>
      <c r="TRG31" s="180"/>
      <c r="TRH31" s="197"/>
      <c r="TRI31" s="179"/>
      <c r="TRJ31" s="196"/>
      <c r="TRK31" s="179"/>
      <c r="TRL31" s="196"/>
      <c r="TRM31" s="196"/>
      <c r="TRN31" s="161"/>
      <c r="TRO31" s="193"/>
      <c r="TRP31" s="193"/>
      <c r="TRQ31" s="194"/>
      <c r="TRR31" s="194"/>
      <c r="TRS31" s="194"/>
      <c r="TRT31" s="194"/>
      <c r="TRU31" s="194"/>
      <c r="TRV31" s="161"/>
      <c r="TRW31" s="161"/>
      <c r="TRX31" s="194"/>
      <c r="TRY31" s="161"/>
      <c r="TRZ31" s="193"/>
      <c r="TSA31" s="194"/>
      <c r="TSB31" s="161"/>
      <c r="TSC31" s="161"/>
      <c r="TSD31" s="161"/>
      <c r="TSE31" s="194"/>
      <c r="TSF31" s="194"/>
      <c r="TSG31" s="194"/>
      <c r="TSH31" s="161"/>
      <c r="TSI31" s="194"/>
      <c r="TSJ31" s="194"/>
      <c r="TSK31" s="161"/>
      <c r="TSL31" s="194"/>
      <c r="TSM31" s="194"/>
      <c r="TSN31" s="194"/>
      <c r="TSO31" s="194"/>
      <c r="TSP31" s="194"/>
      <c r="TSQ31" s="194"/>
      <c r="TSR31" s="161"/>
      <c r="TSS31" s="195"/>
      <c r="TST31" s="195"/>
      <c r="TSU31" s="161"/>
      <c r="TSV31" s="161"/>
      <c r="TSW31" s="161"/>
      <c r="TSX31" s="161"/>
      <c r="TSY31" s="196"/>
      <c r="TSZ31" s="196"/>
      <c r="TTA31" s="192"/>
      <c r="TTB31" s="181"/>
      <c r="TTC31" s="180"/>
      <c r="TTD31" s="197"/>
      <c r="TTE31" s="179"/>
      <c r="TTF31" s="196"/>
      <c r="TTG31" s="179"/>
      <c r="TTH31" s="196"/>
      <c r="TTI31" s="196"/>
      <c r="TTJ31" s="161"/>
      <c r="TTK31" s="193"/>
      <c r="TTL31" s="193"/>
      <c r="TTM31" s="194"/>
      <c r="TTN31" s="194"/>
      <c r="TTO31" s="194"/>
      <c r="TTP31" s="194"/>
      <c r="TTQ31" s="194"/>
      <c r="TTR31" s="161"/>
      <c r="TTS31" s="161"/>
      <c r="TTT31" s="194"/>
      <c r="TTU31" s="161"/>
      <c r="TTV31" s="193"/>
      <c r="TTW31" s="194"/>
      <c r="TTX31" s="161"/>
      <c r="TTY31" s="161"/>
      <c r="TTZ31" s="161"/>
      <c r="TUA31" s="194"/>
      <c r="TUB31" s="194"/>
      <c r="TUC31" s="194"/>
      <c r="TUD31" s="161"/>
      <c r="TUE31" s="194"/>
      <c r="TUF31" s="194"/>
      <c r="TUG31" s="161"/>
      <c r="TUH31" s="194"/>
      <c r="TUI31" s="194"/>
      <c r="TUJ31" s="194"/>
      <c r="TUK31" s="194"/>
      <c r="TUL31" s="194"/>
      <c r="TUM31" s="194"/>
      <c r="TUN31" s="161"/>
      <c r="TUO31" s="195"/>
      <c r="TUP31" s="195"/>
      <c r="TUQ31" s="161"/>
      <c r="TUR31" s="161"/>
      <c r="TUS31" s="161"/>
      <c r="TUT31" s="161"/>
      <c r="TUU31" s="196"/>
      <c r="TUV31" s="196"/>
      <c r="TUW31" s="192"/>
      <c r="TUX31" s="181"/>
      <c r="TUY31" s="180"/>
      <c r="TUZ31" s="197"/>
      <c r="TVA31" s="179"/>
      <c r="TVB31" s="196"/>
      <c r="TVC31" s="179"/>
      <c r="TVD31" s="196"/>
      <c r="TVE31" s="196"/>
      <c r="TVF31" s="161"/>
      <c r="TVG31" s="193"/>
      <c r="TVH31" s="193"/>
      <c r="TVI31" s="194"/>
      <c r="TVJ31" s="194"/>
      <c r="TVK31" s="194"/>
      <c r="TVL31" s="194"/>
      <c r="TVM31" s="194"/>
      <c r="TVN31" s="161"/>
      <c r="TVO31" s="161"/>
      <c r="TVP31" s="194"/>
      <c r="TVQ31" s="161"/>
      <c r="TVR31" s="193"/>
      <c r="TVS31" s="194"/>
      <c r="TVT31" s="161"/>
      <c r="TVU31" s="161"/>
      <c r="TVV31" s="161"/>
      <c r="TVW31" s="194"/>
      <c r="TVX31" s="194"/>
      <c r="TVY31" s="194"/>
      <c r="TVZ31" s="161"/>
      <c r="TWA31" s="194"/>
      <c r="TWB31" s="194"/>
      <c r="TWC31" s="161"/>
      <c r="TWD31" s="194"/>
      <c r="TWE31" s="194"/>
      <c r="TWF31" s="194"/>
      <c r="TWG31" s="194"/>
      <c r="TWH31" s="194"/>
      <c r="TWI31" s="194"/>
      <c r="TWJ31" s="161"/>
      <c r="TWK31" s="195"/>
      <c r="TWL31" s="195"/>
      <c r="TWM31" s="161"/>
      <c r="TWN31" s="161"/>
      <c r="TWO31" s="161"/>
      <c r="TWP31" s="161"/>
      <c r="TWQ31" s="196"/>
      <c r="TWR31" s="196"/>
      <c r="TWS31" s="192"/>
      <c r="TWT31" s="181"/>
      <c r="TWU31" s="180"/>
      <c r="TWV31" s="197"/>
      <c r="TWW31" s="179"/>
      <c r="TWX31" s="196"/>
      <c r="TWY31" s="179"/>
      <c r="TWZ31" s="196"/>
      <c r="TXA31" s="196"/>
      <c r="TXB31" s="161"/>
      <c r="TXC31" s="193"/>
      <c r="TXD31" s="193"/>
      <c r="TXE31" s="194"/>
      <c r="TXF31" s="194"/>
      <c r="TXG31" s="194"/>
      <c r="TXH31" s="194"/>
      <c r="TXI31" s="194"/>
      <c r="TXJ31" s="161"/>
      <c r="TXK31" s="161"/>
      <c r="TXL31" s="194"/>
      <c r="TXM31" s="161"/>
      <c r="TXN31" s="193"/>
      <c r="TXO31" s="194"/>
      <c r="TXP31" s="161"/>
      <c r="TXQ31" s="161"/>
      <c r="TXR31" s="161"/>
      <c r="TXS31" s="194"/>
      <c r="TXT31" s="194"/>
      <c r="TXU31" s="194"/>
      <c r="TXV31" s="161"/>
      <c r="TXW31" s="194"/>
      <c r="TXX31" s="194"/>
      <c r="TXY31" s="161"/>
      <c r="TXZ31" s="194"/>
      <c r="TYA31" s="194"/>
      <c r="TYB31" s="194"/>
      <c r="TYC31" s="194"/>
      <c r="TYD31" s="194"/>
      <c r="TYE31" s="194"/>
      <c r="TYF31" s="161"/>
      <c r="TYG31" s="195"/>
      <c r="TYH31" s="195"/>
      <c r="TYI31" s="161"/>
      <c r="TYJ31" s="161"/>
      <c r="TYK31" s="161"/>
      <c r="TYL31" s="161"/>
      <c r="TYM31" s="196"/>
      <c r="TYN31" s="196"/>
      <c r="TYO31" s="192"/>
      <c r="TYP31" s="181"/>
      <c r="TYQ31" s="180"/>
      <c r="TYR31" s="197"/>
      <c r="TYS31" s="179"/>
      <c r="TYT31" s="196"/>
      <c r="TYU31" s="179"/>
      <c r="TYV31" s="196"/>
      <c r="TYW31" s="196"/>
      <c r="TYX31" s="161"/>
      <c r="TYY31" s="193"/>
      <c r="TYZ31" s="193"/>
      <c r="TZA31" s="194"/>
      <c r="TZB31" s="194"/>
      <c r="TZC31" s="194"/>
      <c r="TZD31" s="194"/>
      <c r="TZE31" s="194"/>
      <c r="TZF31" s="161"/>
      <c r="TZG31" s="161"/>
      <c r="TZH31" s="194"/>
      <c r="TZI31" s="161"/>
      <c r="TZJ31" s="193"/>
      <c r="TZK31" s="194"/>
      <c r="TZL31" s="161"/>
      <c r="TZM31" s="161"/>
      <c r="TZN31" s="161"/>
      <c r="TZO31" s="194"/>
      <c r="TZP31" s="194"/>
      <c r="TZQ31" s="194"/>
      <c r="TZR31" s="161"/>
      <c r="TZS31" s="194"/>
      <c r="TZT31" s="194"/>
      <c r="TZU31" s="161"/>
      <c r="TZV31" s="194"/>
      <c r="TZW31" s="194"/>
      <c r="TZX31" s="194"/>
      <c r="TZY31" s="194"/>
      <c r="TZZ31" s="194"/>
      <c r="UAA31" s="194"/>
      <c r="UAB31" s="161"/>
      <c r="UAC31" s="195"/>
      <c r="UAD31" s="195"/>
      <c r="UAE31" s="161"/>
      <c r="UAF31" s="161"/>
      <c r="UAG31" s="161"/>
      <c r="UAH31" s="161"/>
      <c r="UAI31" s="196"/>
      <c r="UAJ31" s="196"/>
      <c r="UAK31" s="192"/>
      <c r="UAL31" s="181"/>
      <c r="UAM31" s="180"/>
      <c r="UAN31" s="197"/>
      <c r="UAO31" s="179"/>
      <c r="UAP31" s="196"/>
      <c r="UAQ31" s="179"/>
      <c r="UAR31" s="196"/>
      <c r="UAS31" s="196"/>
      <c r="UAT31" s="161"/>
      <c r="UAU31" s="193"/>
      <c r="UAV31" s="193"/>
      <c r="UAW31" s="194"/>
      <c r="UAX31" s="194"/>
      <c r="UAY31" s="194"/>
      <c r="UAZ31" s="194"/>
      <c r="UBA31" s="194"/>
      <c r="UBB31" s="161"/>
      <c r="UBC31" s="161"/>
      <c r="UBD31" s="194"/>
      <c r="UBE31" s="161"/>
      <c r="UBF31" s="193"/>
      <c r="UBG31" s="194"/>
      <c r="UBH31" s="161"/>
      <c r="UBI31" s="161"/>
      <c r="UBJ31" s="161"/>
      <c r="UBK31" s="194"/>
      <c r="UBL31" s="194"/>
      <c r="UBM31" s="194"/>
      <c r="UBN31" s="161"/>
      <c r="UBO31" s="194"/>
      <c r="UBP31" s="194"/>
      <c r="UBQ31" s="161"/>
      <c r="UBR31" s="194"/>
      <c r="UBS31" s="194"/>
      <c r="UBT31" s="194"/>
      <c r="UBU31" s="194"/>
      <c r="UBV31" s="194"/>
      <c r="UBW31" s="194"/>
      <c r="UBX31" s="161"/>
      <c r="UBY31" s="195"/>
      <c r="UBZ31" s="195"/>
      <c r="UCA31" s="161"/>
      <c r="UCB31" s="161"/>
      <c r="UCC31" s="161"/>
      <c r="UCD31" s="161"/>
      <c r="UCE31" s="196"/>
      <c r="UCF31" s="196"/>
      <c r="UCG31" s="192"/>
      <c r="UCH31" s="181"/>
      <c r="UCI31" s="180"/>
      <c r="UCJ31" s="197"/>
      <c r="UCK31" s="179"/>
      <c r="UCL31" s="196"/>
      <c r="UCM31" s="179"/>
      <c r="UCN31" s="196"/>
      <c r="UCO31" s="196"/>
      <c r="UCP31" s="161"/>
      <c r="UCQ31" s="193"/>
      <c r="UCR31" s="193"/>
      <c r="UCS31" s="194"/>
      <c r="UCT31" s="194"/>
      <c r="UCU31" s="194"/>
      <c r="UCV31" s="194"/>
      <c r="UCW31" s="194"/>
      <c r="UCX31" s="161"/>
      <c r="UCY31" s="161"/>
      <c r="UCZ31" s="194"/>
      <c r="UDA31" s="161"/>
      <c r="UDB31" s="193"/>
      <c r="UDC31" s="194"/>
      <c r="UDD31" s="161"/>
      <c r="UDE31" s="161"/>
      <c r="UDF31" s="161"/>
      <c r="UDG31" s="194"/>
      <c r="UDH31" s="194"/>
      <c r="UDI31" s="194"/>
      <c r="UDJ31" s="161"/>
      <c r="UDK31" s="194"/>
      <c r="UDL31" s="194"/>
      <c r="UDM31" s="161"/>
      <c r="UDN31" s="194"/>
      <c r="UDO31" s="194"/>
      <c r="UDP31" s="194"/>
      <c r="UDQ31" s="194"/>
      <c r="UDR31" s="194"/>
      <c r="UDS31" s="194"/>
      <c r="UDT31" s="161"/>
      <c r="UDU31" s="195"/>
      <c r="UDV31" s="195"/>
      <c r="UDW31" s="161"/>
      <c r="UDX31" s="161"/>
      <c r="UDY31" s="161"/>
      <c r="UDZ31" s="161"/>
      <c r="UEA31" s="196"/>
      <c r="UEB31" s="196"/>
      <c r="UEC31" s="192"/>
      <c r="UED31" s="181"/>
      <c r="UEE31" s="180"/>
      <c r="UEF31" s="197"/>
      <c r="UEG31" s="179"/>
      <c r="UEH31" s="196"/>
      <c r="UEI31" s="179"/>
      <c r="UEJ31" s="196"/>
      <c r="UEK31" s="196"/>
      <c r="UEL31" s="161"/>
      <c r="UEM31" s="193"/>
      <c r="UEN31" s="193"/>
      <c r="UEO31" s="194"/>
      <c r="UEP31" s="194"/>
      <c r="UEQ31" s="194"/>
      <c r="UER31" s="194"/>
      <c r="UES31" s="194"/>
      <c r="UET31" s="161"/>
      <c r="UEU31" s="161"/>
      <c r="UEV31" s="194"/>
      <c r="UEW31" s="161"/>
      <c r="UEX31" s="193"/>
      <c r="UEY31" s="194"/>
      <c r="UEZ31" s="161"/>
      <c r="UFA31" s="161"/>
      <c r="UFB31" s="161"/>
      <c r="UFC31" s="194"/>
      <c r="UFD31" s="194"/>
      <c r="UFE31" s="194"/>
      <c r="UFF31" s="161"/>
      <c r="UFG31" s="194"/>
      <c r="UFH31" s="194"/>
      <c r="UFI31" s="161"/>
      <c r="UFJ31" s="194"/>
      <c r="UFK31" s="194"/>
      <c r="UFL31" s="194"/>
      <c r="UFM31" s="194"/>
      <c r="UFN31" s="194"/>
      <c r="UFO31" s="194"/>
      <c r="UFP31" s="161"/>
      <c r="UFQ31" s="195"/>
      <c r="UFR31" s="195"/>
      <c r="UFS31" s="161"/>
      <c r="UFT31" s="161"/>
      <c r="UFU31" s="161"/>
      <c r="UFV31" s="161"/>
      <c r="UFW31" s="196"/>
      <c r="UFX31" s="196"/>
      <c r="UFY31" s="192"/>
      <c r="UFZ31" s="181"/>
      <c r="UGA31" s="180"/>
      <c r="UGB31" s="197"/>
      <c r="UGC31" s="179"/>
      <c r="UGD31" s="196"/>
      <c r="UGE31" s="179"/>
      <c r="UGF31" s="196"/>
      <c r="UGG31" s="196"/>
      <c r="UGH31" s="161"/>
      <c r="UGI31" s="193"/>
      <c r="UGJ31" s="193"/>
      <c r="UGK31" s="194"/>
      <c r="UGL31" s="194"/>
      <c r="UGM31" s="194"/>
      <c r="UGN31" s="194"/>
      <c r="UGO31" s="194"/>
      <c r="UGP31" s="161"/>
      <c r="UGQ31" s="161"/>
      <c r="UGR31" s="194"/>
      <c r="UGS31" s="161"/>
      <c r="UGT31" s="193"/>
      <c r="UGU31" s="194"/>
      <c r="UGV31" s="161"/>
      <c r="UGW31" s="161"/>
      <c r="UGX31" s="161"/>
      <c r="UGY31" s="194"/>
      <c r="UGZ31" s="194"/>
      <c r="UHA31" s="194"/>
      <c r="UHB31" s="161"/>
      <c r="UHC31" s="194"/>
      <c r="UHD31" s="194"/>
      <c r="UHE31" s="161"/>
      <c r="UHF31" s="194"/>
      <c r="UHG31" s="194"/>
      <c r="UHH31" s="194"/>
      <c r="UHI31" s="194"/>
      <c r="UHJ31" s="194"/>
      <c r="UHK31" s="194"/>
      <c r="UHL31" s="161"/>
      <c r="UHM31" s="195"/>
      <c r="UHN31" s="195"/>
      <c r="UHO31" s="161"/>
      <c r="UHP31" s="161"/>
      <c r="UHQ31" s="161"/>
      <c r="UHR31" s="161"/>
      <c r="UHS31" s="196"/>
      <c r="UHT31" s="196"/>
      <c r="UHU31" s="192"/>
      <c r="UHV31" s="181"/>
      <c r="UHW31" s="180"/>
      <c r="UHX31" s="197"/>
      <c r="UHY31" s="179"/>
      <c r="UHZ31" s="196"/>
      <c r="UIA31" s="179"/>
      <c r="UIB31" s="196"/>
      <c r="UIC31" s="196"/>
      <c r="UID31" s="161"/>
      <c r="UIE31" s="193"/>
      <c r="UIF31" s="193"/>
      <c r="UIG31" s="194"/>
      <c r="UIH31" s="194"/>
      <c r="UII31" s="194"/>
      <c r="UIJ31" s="194"/>
      <c r="UIK31" s="194"/>
      <c r="UIL31" s="161"/>
      <c r="UIM31" s="161"/>
      <c r="UIN31" s="194"/>
      <c r="UIO31" s="161"/>
      <c r="UIP31" s="193"/>
      <c r="UIQ31" s="194"/>
      <c r="UIR31" s="161"/>
      <c r="UIS31" s="161"/>
      <c r="UIT31" s="161"/>
      <c r="UIU31" s="194"/>
      <c r="UIV31" s="194"/>
      <c r="UIW31" s="194"/>
      <c r="UIX31" s="161"/>
      <c r="UIY31" s="194"/>
      <c r="UIZ31" s="194"/>
      <c r="UJA31" s="161"/>
      <c r="UJB31" s="194"/>
      <c r="UJC31" s="194"/>
      <c r="UJD31" s="194"/>
      <c r="UJE31" s="194"/>
      <c r="UJF31" s="194"/>
      <c r="UJG31" s="194"/>
      <c r="UJH31" s="161"/>
      <c r="UJI31" s="195"/>
      <c r="UJJ31" s="195"/>
      <c r="UJK31" s="161"/>
      <c r="UJL31" s="161"/>
      <c r="UJM31" s="161"/>
      <c r="UJN31" s="161"/>
      <c r="UJO31" s="196"/>
      <c r="UJP31" s="196"/>
      <c r="UJQ31" s="192"/>
      <c r="UJR31" s="181"/>
      <c r="UJS31" s="180"/>
      <c r="UJT31" s="197"/>
      <c r="UJU31" s="179"/>
      <c r="UJV31" s="196"/>
      <c r="UJW31" s="179"/>
      <c r="UJX31" s="196"/>
      <c r="UJY31" s="196"/>
      <c r="UJZ31" s="161"/>
      <c r="UKA31" s="193"/>
      <c r="UKB31" s="193"/>
      <c r="UKC31" s="194"/>
      <c r="UKD31" s="194"/>
      <c r="UKE31" s="194"/>
      <c r="UKF31" s="194"/>
      <c r="UKG31" s="194"/>
      <c r="UKH31" s="161"/>
      <c r="UKI31" s="161"/>
      <c r="UKJ31" s="194"/>
      <c r="UKK31" s="161"/>
      <c r="UKL31" s="193"/>
      <c r="UKM31" s="194"/>
      <c r="UKN31" s="161"/>
      <c r="UKO31" s="161"/>
      <c r="UKP31" s="161"/>
      <c r="UKQ31" s="194"/>
      <c r="UKR31" s="194"/>
      <c r="UKS31" s="194"/>
      <c r="UKT31" s="161"/>
      <c r="UKU31" s="194"/>
      <c r="UKV31" s="194"/>
      <c r="UKW31" s="161"/>
      <c r="UKX31" s="194"/>
      <c r="UKY31" s="194"/>
      <c r="UKZ31" s="194"/>
      <c r="ULA31" s="194"/>
      <c r="ULB31" s="194"/>
      <c r="ULC31" s="194"/>
      <c r="ULD31" s="161"/>
      <c r="ULE31" s="195"/>
      <c r="ULF31" s="195"/>
      <c r="ULG31" s="161"/>
      <c r="ULH31" s="161"/>
      <c r="ULI31" s="161"/>
      <c r="ULJ31" s="161"/>
      <c r="ULK31" s="196"/>
      <c r="ULL31" s="196"/>
      <c r="ULM31" s="192"/>
      <c r="ULN31" s="181"/>
      <c r="ULO31" s="180"/>
      <c r="ULP31" s="197"/>
      <c r="ULQ31" s="179"/>
      <c r="ULR31" s="196"/>
      <c r="ULS31" s="179"/>
      <c r="ULT31" s="196"/>
      <c r="ULU31" s="196"/>
      <c r="ULV31" s="161"/>
      <c r="ULW31" s="193"/>
      <c r="ULX31" s="193"/>
      <c r="ULY31" s="194"/>
      <c r="ULZ31" s="194"/>
      <c r="UMA31" s="194"/>
      <c r="UMB31" s="194"/>
      <c r="UMC31" s="194"/>
      <c r="UMD31" s="161"/>
      <c r="UME31" s="161"/>
      <c r="UMF31" s="194"/>
      <c r="UMG31" s="161"/>
      <c r="UMH31" s="193"/>
      <c r="UMI31" s="194"/>
      <c r="UMJ31" s="161"/>
      <c r="UMK31" s="161"/>
      <c r="UML31" s="161"/>
      <c r="UMM31" s="194"/>
      <c r="UMN31" s="194"/>
      <c r="UMO31" s="194"/>
      <c r="UMP31" s="161"/>
      <c r="UMQ31" s="194"/>
      <c r="UMR31" s="194"/>
      <c r="UMS31" s="161"/>
      <c r="UMT31" s="194"/>
      <c r="UMU31" s="194"/>
      <c r="UMV31" s="194"/>
      <c r="UMW31" s="194"/>
      <c r="UMX31" s="194"/>
      <c r="UMY31" s="194"/>
      <c r="UMZ31" s="161"/>
      <c r="UNA31" s="195"/>
      <c r="UNB31" s="195"/>
      <c r="UNC31" s="161"/>
      <c r="UND31" s="161"/>
      <c r="UNE31" s="161"/>
      <c r="UNF31" s="161"/>
      <c r="UNG31" s="196"/>
      <c r="UNH31" s="196"/>
      <c r="UNI31" s="192"/>
      <c r="UNJ31" s="181"/>
      <c r="UNK31" s="180"/>
      <c r="UNL31" s="197"/>
      <c r="UNM31" s="179"/>
      <c r="UNN31" s="196"/>
      <c r="UNO31" s="179"/>
      <c r="UNP31" s="196"/>
      <c r="UNQ31" s="196"/>
      <c r="UNR31" s="161"/>
      <c r="UNS31" s="193"/>
      <c r="UNT31" s="193"/>
      <c r="UNU31" s="194"/>
      <c r="UNV31" s="194"/>
      <c r="UNW31" s="194"/>
      <c r="UNX31" s="194"/>
      <c r="UNY31" s="194"/>
      <c r="UNZ31" s="161"/>
      <c r="UOA31" s="161"/>
      <c r="UOB31" s="194"/>
      <c r="UOC31" s="161"/>
      <c r="UOD31" s="193"/>
      <c r="UOE31" s="194"/>
      <c r="UOF31" s="161"/>
      <c r="UOG31" s="161"/>
      <c r="UOH31" s="161"/>
      <c r="UOI31" s="194"/>
      <c r="UOJ31" s="194"/>
      <c r="UOK31" s="194"/>
      <c r="UOL31" s="161"/>
      <c r="UOM31" s="194"/>
      <c r="UON31" s="194"/>
      <c r="UOO31" s="161"/>
      <c r="UOP31" s="194"/>
      <c r="UOQ31" s="194"/>
      <c r="UOR31" s="194"/>
      <c r="UOS31" s="194"/>
      <c r="UOT31" s="194"/>
      <c r="UOU31" s="194"/>
      <c r="UOV31" s="161"/>
      <c r="UOW31" s="195"/>
      <c r="UOX31" s="195"/>
      <c r="UOY31" s="161"/>
      <c r="UOZ31" s="161"/>
      <c r="UPA31" s="161"/>
      <c r="UPB31" s="161"/>
      <c r="UPC31" s="196"/>
      <c r="UPD31" s="196"/>
      <c r="UPE31" s="192"/>
      <c r="UPF31" s="181"/>
      <c r="UPG31" s="180"/>
      <c r="UPH31" s="197"/>
      <c r="UPI31" s="179"/>
      <c r="UPJ31" s="196"/>
      <c r="UPK31" s="179"/>
      <c r="UPL31" s="196"/>
      <c r="UPM31" s="196"/>
      <c r="UPN31" s="161"/>
      <c r="UPO31" s="193"/>
      <c r="UPP31" s="193"/>
      <c r="UPQ31" s="194"/>
      <c r="UPR31" s="194"/>
      <c r="UPS31" s="194"/>
      <c r="UPT31" s="194"/>
      <c r="UPU31" s="194"/>
      <c r="UPV31" s="161"/>
      <c r="UPW31" s="161"/>
      <c r="UPX31" s="194"/>
      <c r="UPY31" s="161"/>
      <c r="UPZ31" s="193"/>
      <c r="UQA31" s="194"/>
      <c r="UQB31" s="161"/>
      <c r="UQC31" s="161"/>
      <c r="UQD31" s="161"/>
      <c r="UQE31" s="194"/>
      <c r="UQF31" s="194"/>
      <c r="UQG31" s="194"/>
      <c r="UQH31" s="161"/>
      <c r="UQI31" s="194"/>
      <c r="UQJ31" s="194"/>
      <c r="UQK31" s="161"/>
      <c r="UQL31" s="194"/>
      <c r="UQM31" s="194"/>
      <c r="UQN31" s="194"/>
      <c r="UQO31" s="194"/>
      <c r="UQP31" s="194"/>
      <c r="UQQ31" s="194"/>
      <c r="UQR31" s="161"/>
      <c r="UQS31" s="195"/>
      <c r="UQT31" s="195"/>
      <c r="UQU31" s="161"/>
      <c r="UQV31" s="161"/>
      <c r="UQW31" s="161"/>
      <c r="UQX31" s="161"/>
      <c r="UQY31" s="196"/>
      <c r="UQZ31" s="196"/>
      <c r="URA31" s="192"/>
      <c r="URB31" s="181"/>
      <c r="URC31" s="180"/>
      <c r="URD31" s="197"/>
      <c r="URE31" s="179"/>
      <c r="URF31" s="196"/>
      <c r="URG31" s="179"/>
      <c r="URH31" s="196"/>
      <c r="URI31" s="196"/>
      <c r="URJ31" s="161"/>
      <c r="URK31" s="193"/>
      <c r="URL31" s="193"/>
      <c r="URM31" s="194"/>
      <c r="URN31" s="194"/>
      <c r="URO31" s="194"/>
      <c r="URP31" s="194"/>
      <c r="URQ31" s="194"/>
      <c r="URR31" s="161"/>
      <c r="URS31" s="161"/>
      <c r="URT31" s="194"/>
      <c r="URU31" s="161"/>
      <c r="URV31" s="193"/>
      <c r="URW31" s="194"/>
      <c r="URX31" s="161"/>
      <c r="URY31" s="161"/>
      <c r="URZ31" s="161"/>
      <c r="USA31" s="194"/>
      <c r="USB31" s="194"/>
      <c r="USC31" s="194"/>
      <c r="USD31" s="161"/>
      <c r="USE31" s="194"/>
      <c r="USF31" s="194"/>
      <c r="USG31" s="161"/>
      <c r="USH31" s="194"/>
      <c r="USI31" s="194"/>
      <c r="USJ31" s="194"/>
      <c r="USK31" s="194"/>
      <c r="USL31" s="194"/>
      <c r="USM31" s="194"/>
      <c r="USN31" s="161"/>
      <c r="USO31" s="195"/>
      <c r="USP31" s="195"/>
      <c r="USQ31" s="161"/>
      <c r="USR31" s="161"/>
      <c r="USS31" s="161"/>
      <c r="UST31" s="161"/>
      <c r="USU31" s="196"/>
      <c r="USV31" s="196"/>
      <c r="USW31" s="192"/>
      <c r="USX31" s="181"/>
      <c r="USY31" s="180"/>
      <c r="USZ31" s="197"/>
      <c r="UTA31" s="179"/>
      <c r="UTB31" s="196"/>
      <c r="UTC31" s="179"/>
      <c r="UTD31" s="196"/>
      <c r="UTE31" s="196"/>
      <c r="UTF31" s="161"/>
      <c r="UTG31" s="193"/>
      <c r="UTH31" s="193"/>
      <c r="UTI31" s="194"/>
      <c r="UTJ31" s="194"/>
      <c r="UTK31" s="194"/>
      <c r="UTL31" s="194"/>
      <c r="UTM31" s="194"/>
      <c r="UTN31" s="161"/>
      <c r="UTO31" s="161"/>
      <c r="UTP31" s="194"/>
      <c r="UTQ31" s="161"/>
      <c r="UTR31" s="193"/>
      <c r="UTS31" s="194"/>
      <c r="UTT31" s="161"/>
      <c r="UTU31" s="161"/>
      <c r="UTV31" s="161"/>
      <c r="UTW31" s="194"/>
      <c r="UTX31" s="194"/>
      <c r="UTY31" s="194"/>
      <c r="UTZ31" s="161"/>
      <c r="UUA31" s="194"/>
      <c r="UUB31" s="194"/>
      <c r="UUC31" s="161"/>
      <c r="UUD31" s="194"/>
      <c r="UUE31" s="194"/>
      <c r="UUF31" s="194"/>
      <c r="UUG31" s="194"/>
      <c r="UUH31" s="194"/>
      <c r="UUI31" s="194"/>
      <c r="UUJ31" s="161"/>
      <c r="UUK31" s="195"/>
      <c r="UUL31" s="195"/>
      <c r="UUM31" s="161"/>
      <c r="UUN31" s="161"/>
      <c r="UUO31" s="161"/>
      <c r="UUP31" s="161"/>
      <c r="UUQ31" s="196"/>
      <c r="UUR31" s="196"/>
      <c r="UUS31" s="192"/>
      <c r="UUT31" s="181"/>
      <c r="UUU31" s="180"/>
      <c r="UUV31" s="197"/>
      <c r="UUW31" s="179"/>
      <c r="UUX31" s="196"/>
      <c r="UUY31" s="179"/>
      <c r="UUZ31" s="196"/>
      <c r="UVA31" s="196"/>
      <c r="UVB31" s="161"/>
      <c r="UVC31" s="193"/>
      <c r="UVD31" s="193"/>
      <c r="UVE31" s="194"/>
      <c r="UVF31" s="194"/>
      <c r="UVG31" s="194"/>
      <c r="UVH31" s="194"/>
      <c r="UVI31" s="194"/>
      <c r="UVJ31" s="161"/>
      <c r="UVK31" s="161"/>
      <c r="UVL31" s="194"/>
      <c r="UVM31" s="161"/>
      <c r="UVN31" s="193"/>
      <c r="UVO31" s="194"/>
      <c r="UVP31" s="161"/>
      <c r="UVQ31" s="161"/>
      <c r="UVR31" s="161"/>
      <c r="UVS31" s="194"/>
      <c r="UVT31" s="194"/>
      <c r="UVU31" s="194"/>
      <c r="UVV31" s="161"/>
      <c r="UVW31" s="194"/>
      <c r="UVX31" s="194"/>
      <c r="UVY31" s="161"/>
      <c r="UVZ31" s="194"/>
      <c r="UWA31" s="194"/>
      <c r="UWB31" s="194"/>
      <c r="UWC31" s="194"/>
      <c r="UWD31" s="194"/>
      <c r="UWE31" s="194"/>
      <c r="UWF31" s="161"/>
      <c r="UWG31" s="195"/>
      <c r="UWH31" s="195"/>
      <c r="UWI31" s="161"/>
      <c r="UWJ31" s="161"/>
      <c r="UWK31" s="161"/>
      <c r="UWL31" s="161"/>
      <c r="UWM31" s="196"/>
      <c r="UWN31" s="196"/>
      <c r="UWO31" s="192"/>
      <c r="UWP31" s="181"/>
      <c r="UWQ31" s="180"/>
      <c r="UWR31" s="197"/>
      <c r="UWS31" s="179"/>
      <c r="UWT31" s="196"/>
      <c r="UWU31" s="179"/>
      <c r="UWV31" s="196"/>
      <c r="UWW31" s="196"/>
      <c r="UWX31" s="161"/>
      <c r="UWY31" s="193"/>
      <c r="UWZ31" s="193"/>
      <c r="UXA31" s="194"/>
      <c r="UXB31" s="194"/>
      <c r="UXC31" s="194"/>
      <c r="UXD31" s="194"/>
      <c r="UXE31" s="194"/>
      <c r="UXF31" s="161"/>
      <c r="UXG31" s="161"/>
      <c r="UXH31" s="194"/>
      <c r="UXI31" s="161"/>
      <c r="UXJ31" s="193"/>
      <c r="UXK31" s="194"/>
      <c r="UXL31" s="161"/>
      <c r="UXM31" s="161"/>
      <c r="UXN31" s="161"/>
      <c r="UXO31" s="194"/>
      <c r="UXP31" s="194"/>
      <c r="UXQ31" s="194"/>
      <c r="UXR31" s="161"/>
      <c r="UXS31" s="194"/>
      <c r="UXT31" s="194"/>
      <c r="UXU31" s="161"/>
      <c r="UXV31" s="194"/>
      <c r="UXW31" s="194"/>
      <c r="UXX31" s="194"/>
      <c r="UXY31" s="194"/>
      <c r="UXZ31" s="194"/>
      <c r="UYA31" s="194"/>
      <c r="UYB31" s="161"/>
      <c r="UYC31" s="195"/>
      <c r="UYD31" s="195"/>
      <c r="UYE31" s="161"/>
      <c r="UYF31" s="161"/>
      <c r="UYG31" s="161"/>
      <c r="UYH31" s="161"/>
      <c r="UYI31" s="196"/>
      <c r="UYJ31" s="196"/>
      <c r="UYK31" s="192"/>
      <c r="UYL31" s="181"/>
      <c r="UYM31" s="180"/>
      <c r="UYN31" s="197"/>
      <c r="UYO31" s="179"/>
      <c r="UYP31" s="196"/>
      <c r="UYQ31" s="179"/>
      <c r="UYR31" s="196"/>
      <c r="UYS31" s="196"/>
      <c r="UYT31" s="161"/>
      <c r="UYU31" s="193"/>
      <c r="UYV31" s="193"/>
      <c r="UYW31" s="194"/>
      <c r="UYX31" s="194"/>
      <c r="UYY31" s="194"/>
      <c r="UYZ31" s="194"/>
      <c r="UZA31" s="194"/>
      <c r="UZB31" s="161"/>
      <c r="UZC31" s="161"/>
      <c r="UZD31" s="194"/>
      <c r="UZE31" s="161"/>
      <c r="UZF31" s="193"/>
      <c r="UZG31" s="194"/>
      <c r="UZH31" s="161"/>
      <c r="UZI31" s="161"/>
      <c r="UZJ31" s="161"/>
      <c r="UZK31" s="194"/>
      <c r="UZL31" s="194"/>
      <c r="UZM31" s="194"/>
      <c r="UZN31" s="161"/>
      <c r="UZO31" s="194"/>
      <c r="UZP31" s="194"/>
      <c r="UZQ31" s="161"/>
      <c r="UZR31" s="194"/>
      <c r="UZS31" s="194"/>
      <c r="UZT31" s="194"/>
      <c r="UZU31" s="194"/>
      <c r="UZV31" s="194"/>
      <c r="UZW31" s="194"/>
      <c r="UZX31" s="161"/>
      <c r="UZY31" s="195"/>
      <c r="UZZ31" s="195"/>
      <c r="VAA31" s="161"/>
      <c r="VAB31" s="161"/>
      <c r="VAC31" s="161"/>
      <c r="VAD31" s="161"/>
      <c r="VAE31" s="196"/>
      <c r="VAF31" s="196"/>
      <c r="VAG31" s="192"/>
      <c r="VAH31" s="181"/>
      <c r="VAI31" s="180"/>
      <c r="VAJ31" s="197"/>
      <c r="VAK31" s="179"/>
      <c r="VAL31" s="196"/>
      <c r="VAM31" s="179"/>
      <c r="VAN31" s="196"/>
      <c r="VAO31" s="196"/>
      <c r="VAP31" s="161"/>
      <c r="VAQ31" s="193"/>
      <c r="VAR31" s="193"/>
      <c r="VAS31" s="194"/>
      <c r="VAT31" s="194"/>
      <c r="VAU31" s="194"/>
      <c r="VAV31" s="194"/>
      <c r="VAW31" s="194"/>
      <c r="VAX31" s="161"/>
      <c r="VAY31" s="161"/>
      <c r="VAZ31" s="194"/>
      <c r="VBA31" s="161"/>
      <c r="VBB31" s="193"/>
      <c r="VBC31" s="194"/>
      <c r="VBD31" s="161"/>
      <c r="VBE31" s="161"/>
      <c r="VBF31" s="161"/>
      <c r="VBG31" s="194"/>
      <c r="VBH31" s="194"/>
      <c r="VBI31" s="194"/>
      <c r="VBJ31" s="161"/>
      <c r="VBK31" s="194"/>
      <c r="VBL31" s="194"/>
      <c r="VBM31" s="161"/>
      <c r="VBN31" s="194"/>
      <c r="VBO31" s="194"/>
      <c r="VBP31" s="194"/>
      <c r="VBQ31" s="194"/>
      <c r="VBR31" s="194"/>
      <c r="VBS31" s="194"/>
      <c r="VBT31" s="161"/>
      <c r="VBU31" s="195"/>
      <c r="VBV31" s="195"/>
      <c r="VBW31" s="161"/>
      <c r="VBX31" s="161"/>
      <c r="VBY31" s="161"/>
      <c r="VBZ31" s="161"/>
      <c r="VCA31" s="196"/>
      <c r="VCB31" s="196"/>
      <c r="VCC31" s="192"/>
      <c r="VCD31" s="181"/>
      <c r="VCE31" s="180"/>
      <c r="VCF31" s="197"/>
      <c r="VCG31" s="179"/>
      <c r="VCH31" s="196"/>
      <c r="VCI31" s="179"/>
      <c r="VCJ31" s="196"/>
      <c r="VCK31" s="196"/>
      <c r="VCL31" s="161"/>
      <c r="VCM31" s="193"/>
      <c r="VCN31" s="193"/>
      <c r="VCO31" s="194"/>
      <c r="VCP31" s="194"/>
      <c r="VCQ31" s="194"/>
      <c r="VCR31" s="194"/>
      <c r="VCS31" s="194"/>
      <c r="VCT31" s="161"/>
      <c r="VCU31" s="161"/>
      <c r="VCV31" s="194"/>
      <c r="VCW31" s="161"/>
      <c r="VCX31" s="193"/>
      <c r="VCY31" s="194"/>
      <c r="VCZ31" s="161"/>
      <c r="VDA31" s="161"/>
      <c r="VDB31" s="161"/>
      <c r="VDC31" s="194"/>
      <c r="VDD31" s="194"/>
      <c r="VDE31" s="194"/>
      <c r="VDF31" s="161"/>
      <c r="VDG31" s="194"/>
      <c r="VDH31" s="194"/>
      <c r="VDI31" s="161"/>
      <c r="VDJ31" s="194"/>
      <c r="VDK31" s="194"/>
      <c r="VDL31" s="194"/>
      <c r="VDM31" s="194"/>
      <c r="VDN31" s="194"/>
      <c r="VDO31" s="194"/>
      <c r="VDP31" s="161"/>
      <c r="VDQ31" s="195"/>
      <c r="VDR31" s="195"/>
      <c r="VDS31" s="161"/>
      <c r="VDT31" s="161"/>
      <c r="VDU31" s="161"/>
      <c r="VDV31" s="161"/>
      <c r="VDW31" s="196"/>
      <c r="VDX31" s="196"/>
      <c r="VDY31" s="192"/>
      <c r="VDZ31" s="181"/>
      <c r="VEA31" s="180"/>
      <c r="VEB31" s="197"/>
      <c r="VEC31" s="179"/>
      <c r="VED31" s="196"/>
      <c r="VEE31" s="179"/>
      <c r="VEF31" s="196"/>
      <c r="VEG31" s="196"/>
      <c r="VEH31" s="161"/>
      <c r="VEI31" s="193"/>
      <c r="VEJ31" s="193"/>
      <c r="VEK31" s="194"/>
      <c r="VEL31" s="194"/>
      <c r="VEM31" s="194"/>
      <c r="VEN31" s="194"/>
      <c r="VEO31" s="194"/>
      <c r="VEP31" s="161"/>
      <c r="VEQ31" s="161"/>
      <c r="VER31" s="194"/>
      <c r="VES31" s="161"/>
      <c r="VET31" s="193"/>
      <c r="VEU31" s="194"/>
      <c r="VEV31" s="161"/>
      <c r="VEW31" s="161"/>
      <c r="VEX31" s="161"/>
      <c r="VEY31" s="194"/>
      <c r="VEZ31" s="194"/>
      <c r="VFA31" s="194"/>
      <c r="VFB31" s="161"/>
      <c r="VFC31" s="194"/>
      <c r="VFD31" s="194"/>
      <c r="VFE31" s="161"/>
      <c r="VFF31" s="194"/>
      <c r="VFG31" s="194"/>
      <c r="VFH31" s="194"/>
      <c r="VFI31" s="194"/>
      <c r="VFJ31" s="194"/>
      <c r="VFK31" s="194"/>
      <c r="VFL31" s="161"/>
      <c r="VFM31" s="195"/>
      <c r="VFN31" s="195"/>
      <c r="VFO31" s="161"/>
      <c r="VFP31" s="161"/>
      <c r="VFQ31" s="161"/>
      <c r="VFR31" s="161"/>
      <c r="VFS31" s="196"/>
      <c r="VFT31" s="196"/>
      <c r="VFU31" s="192"/>
      <c r="VFV31" s="181"/>
      <c r="VFW31" s="180"/>
      <c r="VFX31" s="197"/>
      <c r="VFY31" s="179"/>
      <c r="VFZ31" s="196"/>
      <c r="VGA31" s="179"/>
      <c r="VGB31" s="196"/>
      <c r="VGC31" s="196"/>
      <c r="VGD31" s="161"/>
      <c r="VGE31" s="193"/>
      <c r="VGF31" s="193"/>
      <c r="VGG31" s="194"/>
      <c r="VGH31" s="194"/>
      <c r="VGI31" s="194"/>
      <c r="VGJ31" s="194"/>
      <c r="VGK31" s="194"/>
      <c r="VGL31" s="161"/>
      <c r="VGM31" s="161"/>
      <c r="VGN31" s="194"/>
      <c r="VGO31" s="161"/>
      <c r="VGP31" s="193"/>
      <c r="VGQ31" s="194"/>
      <c r="VGR31" s="161"/>
      <c r="VGS31" s="161"/>
      <c r="VGT31" s="161"/>
      <c r="VGU31" s="194"/>
      <c r="VGV31" s="194"/>
      <c r="VGW31" s="194"/>
      <c r="VGX31" s="161"/>
      <c r="VGY31" s="194"/>
      <c r="VGZ31" s="194"/>
      <c r="VHA31" s="161"/>
      <c r="VHB31" s="194"/>
      <c r="VHC31" s="194"/>
      <c r="VHD31" s="194"/>
      <c r="VHE31" s="194"/>
      <c r="VHF31" s="194"/>
      <c r="VHG31" s="194"/>
      <c r="VHH31" s="161"/>
      <c r="VHI31" s="195"/>
      <c r="VHJ31" s="195"/>
      <c r="VHK31" s="161"/>
      <c r="VHL31" s="161"/>
      <c r="VHM31" s="161"/>
      <c r="VHN31" s="161"/>
      <c r="VHO31" s="196"/>
      <c r="VHP31" s="196"/>
      <c r="VHQ31" s="192"/>
      <c r="VHR31" s="181"/>
      <c r="VHS31" s="180"/>
      <c r="VHT31" s="197"/>
      <c r="VHU31" s="179"/>
      <c r="VHV31" s="196"/>
      <c r="VHW31" s="179"/>
      <c r="VHX31" s="196"/>
      <c r="VHY31" s="196"/>
      <c r="VHZ31" s="161"/>
      <c r="VIA31" s="193"/>
      <c r="VIB31" s="193"/>
      <c r="VIC31" s="194"/>
      <c r="VID31" s="194"/>
      <c r="VIE31" s="194"/>
      <c r="VIF31" s="194"/>
      <c r="VIG31" s="194"/>
      <c r="VIH31" s="161"/>
      <c r="VII31" s="161"/>
      <c r="VIJ31" s="194"/>
      <c r="VIK31" s="161"/>
      <c r="VIL31" s="193"/>
      <c r="VIM31" s="194"/>
      <c r="VIN31" s="161"/>
      <c r="VIO31" s="161"/>
      <c r="VIP31" s="161"/>
      <c r="VIQ31" s="194"/>
      <c r="VIR31" s="194"/>
      <c r="VIS31" s="194"/>
      <c r="VIT31" s="161"/>
      <c r="VIU31" s="194"/>
      <c r="VIV31" s="194"/>
      <c r="VIW31" s="161"/>
      <c r="VIX31" s="194"/>
      <c r="VIY31" s="194"/>
      <c r="VIZ31" s="194"/>
      <c r="VJA31" s="194"/>
      <c r="VJB31" s="194"/>
      <c r="VJC31" s="194"/>
      <c r="VJD31" s="161"/>
      <c r="VJE31" s="195"/>
      <c r="VJF31" s="195"/>
      <c r="VJG31" s="161"/>
      <c r="VJH31" s="161"/>
      <c r="VJI31" s="161"/>
      <c r="VJJ31" s="161"/>
      <c r="VJK31" s="196"/>
      <c r="VJL31" s="196"/>
      <c r="VJM31" s="192"/>
      <c r="VJN31" s="181"/>
      <c r="VJO31" s="180"/>
      <c r="VJP31" s="197"/>
      <c r="VJQ31" s="179"/>
      <c r="VJR31" s="196"/>
      <c r="VJS31" s="179"/>
      <c r="VJT31" s="196"/>
      <c r="VJU31" s="196"/>
      <c r="VJV31" s="161"/>
      <c r="VJW31" s="193"/>
      <c r="VJX31" s="193"/>
      <c r="VJY31" s="194"/>
      <c r="VJZ31" s="194"/>
      <c r="VKA31" s="194"/>
      <c r="VKB31" s="194"/>
      <c r="VKC31" s="194"/>
      <c r="VKD31" s="161"/>
      <c r="VKE31" s="161"/>
      <c r="VKF31" s="194"/>
      <c r="VKG31" s="161"/>
      <c r="VKH31" s="193"/>
      <c r="VKI31" s="194"/>
      <c r="VKJ31" s="161"/>
      <c r="VKK31" s="161"/>
      <c r="VKL31" s="161"/>
      <c r="VKM31" s="194"/>
      <c r="VKN31" s="194"/>
      <c r="VKO31" s="194"/>
      <c r="VKP31" s="161"/>
      <c r="VKQ31" s="194"/>
      <c r="VKR31" s="194"/>
      <c r="VKS31" s="161"/>
      <c r="VKT31" s="194"/>
      <c r="VKU31" s="194"/>
      <c r="VKV31" s="194"/>
      <c r="VKW31" s="194"/>
      <c r="VKX31" s="194"/>
      <c r="VKY31" s="194"/>
      <c r="VKZ31" s="161"/>
      <c r="VLA31" s="195"/>
      <c r="VLB31" s="195"/>
      <c r="VLC31" s="161"/>
      <c r="VLD31" s="161"/>
      <c r="VLE31" s="161"/>
      <c r="VLF31" s="161"/>
      <c r="VLG31" s="196"/>
      <c r="VLH31" s="196"/>
      <c r="VLI31" s="192"/>
      <c r="VLJ31" s="181"/>
      <c r="VLK31" s="180"/>
      <c r="VLL31" s="197"/>
      <c r="VLM31" s="179"/>
      <c r="VLN31" s="196"/>
      <c r="VLO31" s="179"/>
      <c r="VLP31" s="196"/>
      <c r="VLQ31" s="196"/>
      <c r="VLR31" s="161"/>
      <c r="VLS31" s="193"/>
      <c r="VLT31" s="193"/>
      <c r="VLU31" s="194"/>
      <c r="VLV31" s="194"/>
      <c r="VLW31" s="194"/>
      <c r="VLX31" s="194"/>
      <c r="VLY31" s="194"/>
      <c r="VLZ31" s="161"/>
      <c r="VMA31" s="161"/>
      <c r="VMB31" s="194"/>
      <c r="VMC31" s="161"/>
      <c r="VMD31" s="193"/>
      <c r="VME31" s="194"/>
      <c r="VMF31" s="161"/>
      <c r="VMG31" s="161"/>
      <c r="VMH31" s="161"/>
      <c r="VMI31" s="194"/>
      <c r="VMJ31" s="194"/>
      <c r="VMK31" s="194"/>
      <c r="VML31" s="161"/>
      <c r="VMM31" s="194"/>
      <c r="VMN31" s="194"/>
      <c r="VMO31" s="161"/>
      <c r="VMP31" s="194"/>
      <c r="VMQ31" s="194"/>
      <c r="VMR31" s="194"/>
      <c r="VMS31" s="194"/>
      <c r="VMT31" s="194"/>
      <c r="VMU31" s="194"/>
      <c r="VMV31" s="161"/>
      <c r="VMW31" s="195"/>
      <c r="VMX31" s="195"/>
      <c r="VMY31" s="161"/>
      <c r="VMZ31" s="161"/>
      <c r="VNA31" s="161"/>
      <c r="VNB31" s="161"/>
      <c r="VNC31" s="196"/>
      <c r="VND31" s="196"/>
      <c r="VNE31" s="192"/>
      <c r="VNF31" s="181"/>
      <c r="VNG31" s="180"/>
      <c r="VNH31" s="197"/>
      <c r="VNI31" s="179"/>
      <c r="VNJ31" s="196"/>
      <c r="VNK31" s="179"/>
      <c r="VNL31" s="196"/>
      <c r="VNM31" s="196"/>
      <c r="VNN31" s="161"/>
      <c r="VNO31" s="193"/>
      <c r="VNP31" s="193"/>
      <c r="VNQ31" s="194"/>
      <c r="VNR31" s="194"/>
      <c r="VNS31" s="194"/>
      <c r="VNT31" s="194"/>
      <c r="VNU31" s="194"/>
      <c r="VNV31" s="161"/>
      <c r="VNW31" s="161"/>
      <c r="VNX31" s="194"/>
      <c r="VNY31" s="161"/>
      <c r="VNZ31" s="193"/>
      <c r="VOA31" s="194"/>
      <c r="VOB31" s="161"/>
      <c r="VOC31" s="161"/>
      <c r="VOD31" s="161"/>
      <c r="VOE31" s="194"/>
      <c r="VOF31" s="194"/>
      <c r="VOG31" s="194"/>
      <c r="VOH31" s="161"/>
      <c r="VOI31" s="194"/>
      <c r="VOJ31" s="194"/>
      <c r="VOK31" s="161"/>
      <c r="VOL31" s="194"/>
      <c r="VOM31" s="194"/>
      <c r="VON31" s="194"/>
      <c r="VOO31" s="194"/>
      <c r="VOP31" s="194"/>
      <c r="VOQ31" s="194"/>
      <c r="VOR31" s="161"/>
      <c r="VOS31" s="195"/>
      <c r="VOT31" s="195"/>
      <c r="VOU31" s="161"/>
      <c r="VOV31" s="161"/>
      <c r="VOW31" s="161"/>
      <c r="VOX31" s="161"/>
      <c r="VOY31" s="196"/>
      <c r="VOZ31" s="196"/>
      <c r="VPA31" s="192"/>
      <c r="VPB31" s="181"/>
      <c r="VPC31" s="180"/>
      <c r="VPD31" s="197"/>
      <c r="VPE31" s="179"/>
      <c r="VPF31" s="196"/>
      <c r="VPG31" s="179"/>
      <c r="VPH31" s="196"/>
      <c r="VPI31" s="196"/>
      <c r="VPJ31" s="161"/>
      <c r="VPK31" s="193"/>
      <c r="VPL31" s="193"/>
      <c r="VPM31" s="194"/>
      <c r="VPN31" s="194"/>
      <c r="VPO31" s="194"/>
      <c r="VPP31" s="194"/>
      <c r="VPQ31" s="194"/>
      <c r="VPR31" s="161"/>
      <c r="VPS31" s="161"/>
      <c r="VPT31" s="194"/>
      <c r="VPU31" s="161"/>
      <c r="VPV31" s="193"/>
      <c r="VPW31" s="194"/>
      <c r="VPX31" s="161"/>
      <c r="VPY31" s="161"/>
      <c r="VPZ31" s="161"/>
      <c r="VQA31" s="194"/>
      <c r="VQB31" s="194"/>
      <c r="VQC31" s="194"/>
      <c r="VQD31" s="161"/>
      <c r="VQE31" s="194"/>
      <c r="VQF31" s="194"/>
      <c r="VQG31" s="161"/>
      <c r="VQH31" s="194"/>
      <c r="VQI31" s="194"/>
      <c r="VQJ31" s="194"/>
      <c r="VQK31" s="194"/>
      <c r="VQL31" s="194"/>
      <c r="VQM31" s="194"/>
      <c r="VQN31" s="161"/>
      <c r="VQO31" s="195"/>
      <c r="VQP31" s="195"/>
      <c r="VQQ31" s="161"/>
      <c r="VQR31" s="161"/>
      <c r="VQS31" s="161"/>
      <c r="VQT31" s="161"/>
      <c r="VQU31" s="196"/>
      <c r="VQV31" s="196"/>
      <c r="VQW31" s="192"/>
      <c r="VQX31" s="181"/>
      <c r="VQY31" s="180"/>
      <c r="VQZ31" s="197"/>
      <c r="VRA31" s="179"/>
      <c r="VRB31" s="196"/>
      <c r="VRC31" s="179"/>
      <c r="VRD31" s="196"/>
      <c r="VRE31" s="196"/>
      <c r="VRF31" s="161"/>
      <c r="VRG31" s="193"/>
      <c r="VRH31" s="193"/>
      <c r="VRI31" s="194"/>
      <c r="VRJ31" s="194"/>
      <c r="VRK31" s="194"/>
      <c r="VRL31" s="194"/>
      <c r="VRM31" s="194"/>
      <c r="VRN31" s="161"/>
      <c r="VRO31" s="161"/>
      <c r="VRP31" s="194"/>
      <c r="VRQ31" s="161"/>
      <c r="VRR31" s="193"/>
      <c r="VRS31" s="194"/>
      <c r="VRT31" s="161"/>
      <c r="VRU31" s="161"/>
      <c r="VRV31" s="161"/>
      <c r="VRW31" s="194"/>
      <c r="VRX31" s="194"/>
      <c r="VRY31" s="194"/>
      <c r="VRZ31" s="161"/>
      <c r="VSA31" s="194"/>
      <c r="VSB31" s="194"/>
      <c r="VSC31" s="161"/>
      <c r="VSD31" s="194"/>
      <c r="VSE31" s="194"/>
      <c r="VSF31" s="194"/>
      <c r="VSG31" s="194"/>
      <c r="VSH31" s="194"/>
      <c r="VSI31" s="194"/>
      <c r="VSJ31" s="161"/>
      <c r="VSK31" s="195"/>
      <c r="VSL31" s="195"/>
      <c r="VSM31" s="161"/>
      <c r="VSN31" s="161"/>
      <c r="VSO31" s="161"/>
      <c r="VSP31" s="161"/>
      <c r="VSQ31" s="196"/>
      <c r="VSR31" s="196"/>
      <c r="VSS31" s="192"/>
      <c r="VST31" s="181"/>
      <c r="VSU31" s="180"/>
      <c r="VSV31" s="197"/>
      <c r="VSW31" s="179"/>
      <c r="VSX31" s="196"/>
      <c r="VSY31" s="179"/>
      <c r="VSZ31" s="196"/>
      <c r="VTA31" s="196"/>
      <c r="VTB31" s="161"/>
      <c r="VTC31" s="193"/>
      <c r="VTD31" s="193"/>
      <c r="VTE31" s="194"/>
      <c r="VTF31" s="194"/>
      <c r="VTG31" s="194"/>
      <c r="VTH31" s="194"/>
      <c r="VTI31" s="194"/>
      <c r="VTJ31" s="161"/>
      <c r="VTK31" s="161"/>
      <c r="VTL31" s="194"/>
      <c r="VTM31" s="161"/>
      <c r="VTN31" s="193"/>
      <c r="VTO31" s="194"/>
      <c r="VTP31" s="161"/>
      <c r="VTQ31" s="161"/>
      <c r="VTR31" s="161"/>
      <c r="VTS31" s="194"/>
      <c r="VTT31" s="194"/>
      <c r="VTU31" s="194"/>
      <c r="VTV31" s="161"/>
      <c r="VTW31" s="194"/>
      <c r="VTX31" s="194"/>
      <c r="VTY31" s="161"/>
      <c r="VTZ31" s="194"/>
      <c r="VUA31" s="194"/>
      <c r="VUB31" s="194"/>
      <c r="VUC31" s="194"/>
      <c r="VUD31" s="194"/>
      <c r="VUE31" s="194"/>
      <c r="VUF31" s="161"/>
      <c r="VUG31" s="195"/>
      <c r="VUH31" s="195"/>
      <c r="VUI31" s="161"/>
      <c r="VUJ31" s="161"/>
      <c r="VUK31" s="161"/>
      <c r="VUL31" s="161"/>
      <c r="VUM31" s="196"/>
      <c r="VUN31" s="196"/>
      <c r="VUO31" s="192"/>
      <c r="VUP31" s="181"/>
      <c r="VUQ31" s="180"/>
      <c r="VUR31" s="197"/>
      <c r="VUS31" s="179"/>
      <c r="VUT31" s="196"/>
      <c r="VUU31" s="179"/>
      <c r="VUV31" s="196"/>
      <c r="VUW31" s="196"/>
      <c r="VUX31" s="161"/>
      <c r="VUY31" s="193"/>
      <c r="VUZ31" s="193"/>
      <c r="VVA31" s="194"/>
      <c r="VVB31" s="194"/>
      <c r="VVC31" s="194"/>
      <c r="VVD31" s="194"/>
      <c r="VVE31" s="194"/>
      <c r="VVF31" s="161"/>
      <c r="VVG31" s="161"/>
      <c r="VVH31" s="194"/>
      <c r="VVI31" s="161"/>
      <c r="VVJ31" s="193"/>
      <c r="VVK31" s="194"/>
      <c r="VVL31" s="161"/>
      <c r="VVM31" s="161"/>
      <c r="VVN31" s="161"/>
      <c r="VVO31" s="194"/>
      <c r="VVP31" s="194"/>
      <c r="VVQ31" s="194"/>
      <c r="VVR31" s="161"/>
      <c r="VVS31" s="194"/>
      <c r="VVT31" s="194"/>
      <c r="VVU31" s="161"/>
      <c r="VVV31" s="194"/>
      <c r="VVW31" s="194"/>
      <c r="VVX31" s="194"/>
      <c r="VVY31" s="194"/>
      <c r="VVZ31" s="194"/>
      <c r="VWA31" s="194"/>
      <c r="VWB31" s="161"/>
      <c r="VWC31" s="195"/>
      <c r="VWD31" s="195"/>
      <c r="VWE31" s="161"/>
      <c r="VWF31" s="161"/>
      <c r="VWG31" s="161"/>
      <c r="VWH31" s="161"/>
      <c r="VWI31" s="196"/>
      <c r="VWJ31" s="196"/>
      <c r="VWK31" s="192"/>
      <c r="VWL31" s="181"/>
      <c r="VWM31" s="180"/>
      <c r="VWN31" s="197"/>
      <c r="VWO31" s="179"/>
      <c r="VWP31" s="196"/>
      <c r="VWQ31" s="179"/>
      <c r="VWR31" s="196"/>
      <c r="VWS31" s="196"/>
      <c r="VWT31" s="161"/>
      <c r="VWU31" s="193"/>
      <c r="VWV31" s="193"/>
      <c r="VWW31" s="194"/>
      <c r="VWX31" s="194"/>
      <c r="VWY31" s="194"/>
      <c r="VWZ31" s="194"/>
      <c r="VXA31" s="194"/>
      <c r="VXB31" s="161"/>
      <c r="VXC31" s="161"/>
      <c r="VXD31" s="194"/>
      <c r="VXE31" s="161"/>
      <c r="VXF31" s="193"/>
      <c r="VXG31" s="194"/>
      <c r="VXH31" s="161"/>
      <c r="VXI31" s="161"/>
      <c r="VXJ31" s="161"/>
      <c r="VXK31" s="194"/>
      <c r="VXL31" s="194"/>
      <c r="VXM31" s="194"/>
      <c r="VXN31" s="161"/>
      <c r="VXO31" s="194"/>
      <c r="VXP31" s="194"/>
      <c r="VXQ31" s="161"/>
      <c r="VXR31" s="194"/>
      <c r="VXS31" s="194"/>
      <c r="VXT31" s="194"/>
      <c r="VXU31" s="194"/>
      <c r="VXV31" s="194"/>
      <c r="VXW31" s="194"/>
      <c r="VXX31" s="161"/>
      <c r="VXY31" s="195"/>
      <c r="VXZ31" s="195"/>
      <c r="VYA31" s="161"/>
      <c r="VYB31" s="161"/>
      <c r="VYC31" s="161"/>
      <c r="VYD31" s="161"/>
      <c r="VYE31" s="196"/>
      <c r="VYF31" s="196"/>
      <c r="VYG31" s="192"/>
      <c r="VYH31" s="181"/>
      <c r="VYI31" s="180"/>
      <c r="VYJ31" s="197"/>
      <c r="VYK31" s="179"/>
      <c r="VYL31" s="196"/>
      <c r="VYM31" s="179"/>
      <c r="VYN31" s="196"/>
      <c r="VYO31" s="196"/>
      <c r="VYP31" s="161"/>
      <c r="VYQ31" s="193"/>
      <c r="VYR31" s="193"/>
      <c r="VYS31" s="194"/>
      <c r="VYT31" s="194"/>
      <c r="VYU31" s="194"/>
      <c r="VYV31" s="194"/>
      <c r="VYW31" s="194"/>
      <c r="VYX31" s="161"/>
      <c r="VYY31" s="161"/>
      <c r="VYZ31" s="194"/>
      <c r="VZA31" s="161"/>
      <c r="VZB31" s="193"/>
      <c r="VZC31" s="194"/>
      <c r="VZD31" s="161"/>
      <c r="VZE31" s="161"/>
      <c r="VZF31" s="161"/>
      <c r="VZG31" s="194"/>
      <c r="VZH31" s="194"/>
      <c r="VZI31" s="194"/>
      <c r="VZJ31" s="161"/>
      <c r="VZK31" s="194"/>
      <c r="VZL31" s="194"/>
      <c r="VZM31" s="161"/>
      <c r="VZN31" s="194"/>
      <c r="VZO31" s="194"/>
      <c r="VZP31" s="194"/>
      <c r="VZQ31" s="194"/>
      <c r="VZR31" s="194"/>
      <c r="VZS31" s="194"/>
      <c r="VZT31" s="161"/>
      <c r="VZU31" s="195"/>
      <c r="VZV31" s="195"/>
      <c r="VZW31" s="161"/>
      <c r="VZX31" s="161"/>
      <c r="VZY31" s="161"/>
      <c r="VZZ31" s="161"/>
      <c r="WAA31" s="196"/>
      <c r="WAB31" s="196"/>
      <c r="WAC31" s="192"/>
      <c r="WAD31" s="181"/>
      <c r="WAE31" s="180"/>
      <c r="WAF31" s="197"/>
      <c r="WAG31" s="179"/>
      <c r="WAH31" s="196"/>
      <c r="WAI31" s="179"/>
      <c r="WAJ31" s="196"/>
      <c r="WAK31" s="196"/>
      <c r="WAL31" s="161"/>
      <c r="WAM31" s="193"/>
      <c r="WAN31" s="193"/>
      <c r="WAO31" s="194"/>
      <c r="WAP31" s="194"/>
      <c r="WAQ31" s="194"/>
      <c r="WAR31" s="194"/>
      <c r="WAS31" s="194"/>
      <c r="WAT31" s="161"/>
      <c r="WAU31" s="161"/>
      <c r="WAV31" s="194"/>
      <c r="WAW31" s="161"/>
      <c r="WAX31" s="193"/>
      <c r="WAY31" s="194"/>
      <c r="WAZ31" s="161"/>
      <c r="WBA31" s="161"/>
      <c r="WBB31" s="161"/>
      <c r="WBC31" s="194"/>
      <c r="WBD31" s="194"/>
      <c r="WBE31" s="194"/>
      <c r="WBF31" s="161"/>
      <c r="WBG31" s="194"/>
      <c r="WBH31" s="194"/>
      <c r="WBI31" s="161"/>
      <c r="WBJ31" s="194"/>
      <c r="WBK31" s="194"/>
      <c r="WBL31" s="194"/>
      <c r="WBM31" s="194"/>
      <c r="WBN31" s="194"/>
      <c r="WBO31" s="194"/>
      <c r="WBP31" s="161"/>
      <c r="WBQ31" s="195"/>
      <c r="WBR31" s="195"/>
      <c r="WBS31" s="161"/>
      <c r="WBT31" s="161"/>
      <c r="WBU31" s="161"/>
      <c r="WBV31" s="161"/>
      <c r="WBW31" s="196"/>
      <c r="WBX31" s="196"/>
      <c r="WBY31" s="192"/>
      <c r="WBZ31" s="181"/>
      <c r="WCA31" s="180"/>
      <c r="WCB31" s="197"/>
      <c r="WCC31" s="179"/>
      <c r="WCD31" s="196"/>
      <c r="WCE31" s="179"/>
      <c r="WCF31" s="196"/>
      <c r="WCG31" s="196"/>
      <c r="WCH31" s="161"/>
      <c r="WCI31" s="193"/>
      <c r="WCJ31" s="193"/>
      <c r="WCK31" s="194"/>
      <c r="WCL31" s="194"/>
      <c r="WCM31" s="194"/>
      <c r="WCN31" s="194"/>
      <c r="WCO31" s="194"/>
      <c r="WCP31" s="161"/>
      <c r="WCQ31" s="161"/>
      <c r="WCR31" s="194"/>
      <c r="WCS31" s="161"/>
      <c r="WCT31" s="193"/>
      <c r="WCU31" s="194"/>
      <c r="WCV31" s="161"/>
      <c r="WCW31" s="161"/>
      <c r="WCX31" s="161"/>
      <c r="WCY31" s="194"/>
      <c r="WCZ31" s="194"/>
      <c r="WDA31" s="194"/>
      <c r="WDB31" s="161"/>
      <c r="WDC31" s="194"/>
      <c r="WDD31" s="194"/>
      <c r="WDE31" s="161"/>
      <c r="WDF31" s="194"/>
      <c r="WDG31" s="194"/>
      <c r="WDH31" s="194"/>
      <c r="WDI31" s="194"/>
      <c r="WDJ31" s="194"/>
      <c r="WDK31" s="194"/>
      <c r="WDL31" s="161"/>
      <c r="WDM31" s="195"/>
      <c r="WDN31" s="195"/>
      <c r="WDO31" s="161"/>
      <c r="WDP31" s="161"/>
      <c r="WDQ31" s="161"/>
      <c r="WDR31" s="161"/>
      <c r="WDS31" s="196"/>
      <c r="WDT31" s="196"/>
      <c r="WDU31" s="192"/>
      <c r="WDV31" s="181"/>
      <c r="WDW31" s="180"/>
      <c r="WDX31" s="197"/>
      <c r="WDY31" s="179"/>
      <c r="WDZ31" s="196"/>
      <c r="WEA31" s="179"/>
      <c r="WEB31" s="196"/>
      <c r="WEC31" s="196"/>
      <c r="WED31" s="161"/>
      <c r="WEE31" s="193"/>
      <c r="WEF31" s="193"/>
      <c r="WEG31" s="194"/>
      <c r="WEH31" s="194"/>
      <c r="WEI31" s="194"/>
      <c r="WEJ31" s="194"/>
      <c r="WEK31" s="194"/>
      <c r="WEL31" s="161"/>
      <c r="WEM31" s="161"/>
      <c r="WEN31" s="194"/>
      <c r="WEO31" s="161"/>
      <c r="WEP31" s="193"/>
      <c r="WEQ31" s="194"/>
      <c r="WER31" s="161"/>
      <c r="WES31" s="161"/>
      <c r="WET31" s="161"/>
      <c r="WEU31" s="194"/>
      <c r="WEV31" s="194"/>
      <c r="WEW31" s="194"/>
      <c r="WEX31" s="161"/>
      <c r="WEY31" s="194"/>
      <c r="WEZ31" s="194"/>
      <c r="WFA31" s="161"/>
      <c r="WFB31" s="194"/>
      <c r="WFC31" s="194"/>
      <c r="WFD31" s="194"/>
      <c r="WFE31" s="194"/>
      <c r="WFF31" s="194"/>
      <c r="WFG31" s="194"/>
      <c r="WFH31" s="161"/>
      <c r="WFI31" s="195"/>
      <c r="WFJ31" s="195"/>
      <c r="WFK31" s="161"/>
      <c r="WFL31" s="161"/>
      <c r="WFM31" s="161"/>
      <c r="WFN31" s="161"/>
      <c r="WFO31" s="196"/>
      <c r="WFP31" s="196"/>
      <c r="WFQ31" s="192"/>
      <c r="WFR31" s="181"/>
      <c r="WFS31" s="180"/>
      <c r="WFT31" s="197"/>
      <c r="WFU31" s="179"/>
      <c r="WFV31" s="196"/>
      <c r="WFW31" s="179"/>
      <c r="WFX31" s="196"/>
      <c r="WFY31" s="196"/>
      <c r="WFZ31" s="161"/>
      <c r="WGA31" s="193"/>
      <c r="WGB31" s="193"/>
      <c r="WGC31" s="194"/>
      <c r="WGD31" s="194"/>
      <c r="WGE31" s="194"/>
      <c r="WGF31" s="194"/>
      <c r="WGG31" s="194"/>
      <c r="WGH31" s="161"/>
      <c r="WGI31" s="161"/>
      <c r="WGJ31" s="194"/>
      <c r="WGK31" s="161"/>
      <c r="WGL31" s="193"/>
      <c r="WGM31" s="194"/>
      <c r="WGN31" s="161"/>
      <c r="WGO31" s="161"/>
      <c r="WGP31" s="161"/>
      <c r="WGQ31" s="194"/>
      <c r="WGR31" s="194"/>
      <c r="WGS31" s="194"/>
      <c r="WGT31" s="161"/>
      <c r="WGU31" s="194"/>
      <c r="WGV31" s="194"/>
      <c r="WGW31" s="161"/>
      <c r="WGX31" s="194"/>
      <c r="WGY31" s="194"/>
      <c r="WGZ31" s="194"/>
      <c r="WHA31" s="194"/>
      <c r="WHB31" s="194"/>
      <c r="WHC31" s="194"/>
      <c r="WHD31" s="161"/>
      <c r="WHE31" s="195"/>
      <c r="WHF31" s="195"/>
      <c r="WHG31" s="161"/>
      <c r="WHH31" s="161"/>
      <c r="WHI31" s="161"/>
      <c r="WHJ31" s="161"/>
      <c r="WHK31" s="196"/>
      <c r="WHL31" s="196"/>
      <c r="WHM31" s="192"/>
      <c r="WHN31" s="181"/>
      <c r="WHO31" s="180"/>
      <c r="WHP31" s="197"/>
      <c r="WHQ31" s="179"/>
      <c r="WHR31" s="196"/>
      <c r="WHS31" s="179"/>
      <c r="WHT31" s="196"/>
      <c r="WHU31" s="196"/>
      <c r="WHV31" s="161"/>
      <c r="WHW31" s="193"/>
      <c r="WHX31" s="193"/>
      <c r="WHY31" s="194"/>
      <c r="WHZ31" s="194"/>
      <c r="WIA31" s="194"/>
      <c r="WIB31" s="194"/>
      <c r="WIC31" s="194"/>
      <c r="WID31" s="161"/>
      <c r="WIE31" s="161"/>
      <c r="WIF31" s="194"/>
      <c r="WIG31" s="161"/>
      <c r="WIH31" s="193"/>
      <c r="WII31" s="194"/>
      <c r="WIJ31" s="161"/>
      <c r="WIK31" s="161"/>
      <c r="WIL31" s="161"/>
      <c r="WIM31" s="194"/>
      <c r="WIN31" s="194"/>
      <c r="WIO31" s="194"/>
      <c r="WIP31" s="161"/>
      <c r="WIQ31" s="194"/>
      <c r="WIR31" s="194"/>
      <c r="WIS31" s="161"/>
      <c r="WIT31" s="194"/>
      <c r="WIU31" s="194"/>
      <c r="WIV31" s="194"/>
      <c r="WIW31" s="194"/>
      <c r="WIX31" s="194"/>
      <c r="WIY31" s="194"/>
      <c r="WIZ31" s="161"/>
      <c r="WJA31" s="195"/>
      <c r="WJB31" s="195"/>
      <c r="WJC31" s="161"/>
      <c r="WJD31" s="161"/>
      <c r="WJE31" s="161"/>
      <c r="WJF31" s="161"/>
      <c r="WJG31" s="196"/>
      <c r="WJH31" s="196"/>
      <c r="WJI31" s="192"/>
      <c r="WJJ31" s="181"/>
      <c r="WJK31" s="180"/>
      <c r="WJL31" s="197"/>
      <c r="WJM31" s="179"/>
      <c r="WJN31" s="196"/>
      <c r="WJO31" s="179"/>
      <c r="WJP31" s="196"/>
      <c r="WJQ31" s="196"/>
      <c r="WJR31" s="161"/>
      <c r="WJS31" s="193"/>
      <c r="WJT31" s="193"/>
      <c r="WJU31" s="194"/>
      <c r="WJV31" s="194"/>
      <c r="WJW31" s="194"/>
      <c r="WJX31" s="194"/>
      <c r="WJY31" s="194"/>
      <c r="WJZ31" s="161"/>
      <c r="WKA31" s="161"/>
      <c r="WKB31" s="194"/>
      <c r="WKC31" s="161"/>
      <c r="WKD31" s="193"/>
      <c r="WKE31" s="194"/>
      <c r="WKF31" s="161"/>
      <c r="WKG31" s="161"/>
      <c r="WKH31" s="161"/>
      <c r="WKI31" s="194"/>
      <c r="WKJ31" s="194"/>
      <c r="WKK31" s="194"/>
      <c r="WKL31" s="161"/>
      <c r="WKM31" s="194"/>
      <c r="WKN31" s="194"/>
      <c r="WKO31" s="161"/>
      <c r="WKP31" s="194"/>
      <c r="WKQ31" s="194"/>
      <c r="WKR31" s="194"/>
      <c r="WKS31" s="194"/>
      <c r="WKT31" s="194"/>
      <c r="WKU31" s="194"/>
      <c r="WKV31" s="161"/>
      <c r="WKW31" s="195"/>
      <c r="WKX31" s="195"/>
      <c r="WKY31" s="161"/>
      <c r="WKZ31" s="161"/>
      <c r="WLA31" s="161"/>
      <c r="WLB31" s="161"/>
      <c r="WLC31" s="196"/>
      <c r="WLD31" s="196"/>
      <c r="WLE31" s="192"/>
      <c r="WLF31" s="181"/>
      <c r="WLG31" s="180"/>
      <c r="WLH31" s="197"/>
      <c r="WLI31" s="179"/>
      <c r="WLJ31" s="196"/>
      <c r="WLK31" s="179"/>
      <c r="WLL31" s="196"/>
      <c r="WLM31" s="196"/>
      <c r="WLN31" s="161"/>
      <c r="WLO31" s="193"/>
      <c r="WLP31" s="193"/>
      <c r="WLQ31" s="194"/>
      <c r="WLR31" s="194"/>
      <c r="WLS31" s="194"/>
      <c r="WLT31" s="194"/>
      <c r="WLU31" s="194"/>
      <c r="WLV31" s="161"/>
      <c r="WLW31" s="161"/>
      <c r="WLX31" s="194"/>
      <c r="WLY31" s="161"/>
      <c r="WLZ31" s="193"/>
      <c r="WMA31" s="194"/>
      <c r="WMB31" s="161"/>
      <c r="WMC31" s="161"/>
      <c r="WMD31" s="161"/>
      <c r="WME31" s="194"/>
      <c r="WMF31" s="194"/>
      <c r="WMG31" s="194"/>
      <c r="WMH31" s="161"/>
      <c r="WMI31" s="194"/>
      <c r="WMJ31" s="194"/>
      <c r="WMK31" s="161"/>
      <c r="WML31" s="194"/>
      <c r="WMM31" s="194"/>
      <c r="WMN31" s="194"/>
      <c r="WMO31" s="194"/>
      <c r="WMP31" s="194"/>
      <c r="WMQ31" s="194"/>
      <c r="WMR31" s="161"/>
      <c r="WMS31" s="195"/>
      <c r="WMT31" s="195"/>
      <c r="WMU31" s="161"/>
      <c r="WMV31" s="161"/>
      <c r="WMW31" s="161"/>
      <c r="WMX31" s="161"/>
      <c r="WMY31" s="196"/>
      <c r="WMZ31" s="196"/>
      <c r="WNA31" s="192"/>
      <c r="WNB31" s="181"/>
      <c r="WNC31" s="180"/>
      <c r="WND31" s="197"/>
      <c r="WNE31" s="179"/>
      <c r="WNF31" s="196"/>
      <c r="WNG31" s="179"/>
      <c r="WNH31" s="196"/>
      <c r="WNI31" s="196"/>
      <c r="WNJ31" s="161"/>
      <c r="WNK31" s="193"/>
      <c r="WNL31" s="193"/>
      <c r="WNM31" s="194"/>
      <c r="WNN31" s="194"/>
      <c r="WNO31" s="194"/>
      <c r="WNP31" s="194"/>
      <c r="WNQ31" s="194"/>
      <c r="WNR31" s="161"/>
      <c r="WNS31" s="161"/>
      <c r="WNT31" s="194"/>
      <c r="WNU31" s="161"/>
      <c r="WNV31" s="193"/>
      <c r="WNW31" s="194"/>
      <c r="WNX31" s="161"/>
      <c r="WNY31" s="161"/>
      <c r="WNZ31" s="161"/>
      <c r="WOA31" s="194"/>
      <c r="WOB31" s="194"/>
      <c r="WOC31" s="194"/>
      <c r="WOD31" s="161"/>
      <c r="WOE31" s="194"/>
      <c r="WOF31" s="194"/>
      <c r="WOG31" s="161"/>
      <c r="WOH31" s="194"/>
      <c r="WOI31" s="194"/>
      <c r="WOJ31" s="194"/>
      <c r="WOK31" s="194"/>
      <c r="WOL31" s="194"/>
      <c r="WOM31" s="194"/>
      <c r="WON31" s="161"/>
      <c r="WOO31" s="195"/>
      <c r="WOP31" s="195"/>
      <c r="WOQ31" s="161"/>
      <c r="WOR31" s="161"/>
      <c r="WOS31" s="161"/>
      <c r="WOT31" s="161"/>
      <c r="WOU31" s="196"/>
      <c r="WOV31" s="196"/>
      <c r="WOW31" s="192"/>
      <c r="WOX31" s="181"/>
      <c r="WOY31" s="180"/>
      <c r="WOZ31" s="197"/>
      <c r="WPA31" s="179"/>
      <c r="WPB31" s="196"/>
      <c r="WPC31" s="179"/>
      <c r="WPD31" s="196"/>
      <c r="WPE31" s="196"/>
      <c r="WPF31" s="161"/>
      <c r="WPG31" s="193"/>
      <c r="WPH31" s="193"/>
      <c r="WPI31" s="194"/>
      <c r="WPJ31" s="194"/>
      <c r="WPK31" s="194"/>
      <c r="WPL31" s="194"/>
      <c r="WPM31" s="194"/>
      <c r="WPN31" s="161"/>
      <c r="WPO31" s="161"/>
      <c r="WPP31" s="194"/>
      <c r="WPQ31" s="161"/>
      <c r="WPR31" s="193"/>
      <c r="WPS31" s="194"/>
      <c r="WPT31" s="161"/>
      <c r="WPU31" s="161"/>
      <c r="WPV31" s="161"/>
      <c r="WPW31" s="194"/>
      <c r="WPX31" s="194"/>
      <c r="WPY31" s="194"/>
      <c r="WPZ31" s="161"/>
      <c r="WQA31" s="194"/>
      <c r="WQB31" s="194"/>
      <c r="WQC31" s="161"/>
      <c r="WQD31" s="194"/>
      <c r="WQE31" s="194"/>
      <c r="WQF31" s="194"/>
      <c r="WQG31" s="194"/>
      <c r="WQH31" s="194"/>
      <c r="WQI31" s="194"/>
      <c r="WQJ31" s="161"/>
      <c r="WQK31" s="195"/>
      <c r="WQL31" s="195"/>
      <c r="WQM31" s="161"/>
      <c r="WQN31" s="161"/>
      <c r="WQO31" s="161"/>
      <c r="WQP31" s="161"/>
      <c r="WQQ31" s="196"/>
      <c r="WQR31" s="196"/>
      <c r="WQS31" s="192"/>
      <c r="WQT31" s="181"/>
      <c r="WQU31" s="180"/>
      <c r="WQV31" s="197"/>
      <c r="WQW31" s="179"/>
      <c r="WQX31" s="196"/>
      <c r="WQY31" s="179"/>
      <c r="WQZ31" s="196"/>
      <c r="WRA31" s="196"/>
      <c r="WRB31" s="161"/>
      <c r="WRC31" s="193"/>
      <c r="WRD31" s="193"/>
      <c r="WRE31" s="194"/>
      <c r="WRF31" s="194"/>
      <c r="WRG31" s="194"/>
      <c r="WRH31" s="194"/>
      <c r="WRI31" s="194"/>
      <c r="WRJ31" s="161"/>
      <c r="WRK31" s="161"/>
      <c r="WRL31" s="194"/>
      <c r="WRM31" s="161"/>
      <c r="WRN31" s="193"/>
      <c r="WRO31" s="194"/>
      <c r="WRP31" s="161"/>
      <c r="WRQ31" s="161"/>
      <c r="WRR31" s="161"/>
      <c r="WRS31" s="194"/>
      <c r="WRT31" s="194"/>
      <c r="WRU31" s="194"/>
      <c r="WRV31" s="161"/>
      <c r="WRW31" s="194"/>
      <c r="WRX31" s="194"/>
      <c r="WRY31" s="161"/>
      <c r="WRZ31" s="194"/>
      <c r="WSA31" s="194"/>
      <c r="WSB31" s="194"/>
      <c r="WSC31" s="194"/>
      <c r="WSD31" s="194"/>
      <c r="WSE31" s="194"/>
      <c r="WSF31" s="161"/>
      <c r="WSG31" s="195"/>
      <c r="WSH31" s="195"/>
      <c r="WSI31" s="161"/>
      <c r="WSJ31" s="161"/>
      <c r="WSK31" s="161"/>
      <c r="WSL31" s="161"/>
      <c r="WSM31" s="196"/>
      <c r="WSN31" s="196"/>
      <c r="WSO31" s="192"/>
      <c r="WSP31" s="181"/>
      <c r="WSQ31" s="180"/>
      <c r="WSR31" s="197"/>
      <c r="WSS31" s="179"/>
      <c r="WST31" s="196"/>
      <c r="WSU31" s="179"/>
      <c r="WSV31" s="196"/>
      <c r="WSW31" s="196"/>
      <c r="WSX31" s="161"/>
      <c r="WSY31" s="193"/>
      <c r="WSZ31" s="193"/>
      <c r="WTA31" s="194"/>
      <c r="WTB31" s="194"/>
      <c r="WTC31" s="194"/>
      <c r="WTD31" s="194"/>
      <c r="WTE31" s="194"/>
      <c r="WTF31" s="161"/>
      <c r="WTG31" s="161"/>
      <c r="WTH31" s="194"/>
      <c r="WTI31" s="161"/>
      <c r="WTJ31" s="193"/>
      <c r="WTK31" s="194"/>
      <c r="WTL31" s="161"/>
      <c r="WTM31" s="161"/>
      <c r="WTN31" s="161"/>
      <c r="WTO31" s="194"/>
      <c r="WTP31" s="194"/>
      <c r="WTQ31" s="194"/>
      <c r="WTR31" s="161"/>
      <c r="WTS31" s="194"/>
      <c r="WTT31" s="194"/>
      <c r="WTU31" s="161"/>
      <c r="WTV31" s="194"/>
      <c r="WTW31" s="194"/>
      <c r="WTX31" s="194"/>
      <c r="WTY31" s="194"/>
      <c r="WTZ31" s="194"/>
      <c r="WUA31" s="194"/>
      <c r="WUB31" s="161"/>
      <c r="WUC31" s="195"/>
      <c r="WUD31" s="195"/>
      <c r="WUE31" s="161"/>
      <c r="WUF31" s="161"/>
      <c r="WUG31" s="161"/>
      <c r="WUH31" s="161"/>
      <c r="WUI31" s="196"/>
      <c r="WUJ31" s="196"/>
      <c r="WUK31" s="192"/>
      <c r="WUL31" s="181"/>
      <c r="WUM31" s="180"/>
      <c r="WUN31" s="197"/>
      <c r="WUO31" s="179"/>
      <c r="WUP31" s="196"/>
      <c r="WUQ31" s="179"/>
      <c r="WUR31" s="196"/>
      <c r="WUS31" s="196"/>
      <c r="WUT31" s="161"/>
      <c r="WUU31" s="193"/>
      <c r="WUV31" s="193"/>
      <c r="WUW31" s="194"/>
      <c r="WUX31" s="194"/>
      <c r="WUY31" s="194"/>
      <c r="WUZ31" s="194"/>
      <c r="WVA31" s="194"/>
      <c r="WVB31" s="161"/>
      <c r="WVC31" s="161"/>
      <c r="WVD31" s="194"/>
      <c r="WVE31" s="161"/>
      <c r="WVF31" s="193"/>
      <c r="WVG31" s="194"/>
      <c r="WVH31" s="161"/>
      <c r="WVI31" s="161"/>
      <c r="WVJ31" s="161"/>
      <c r="WVK31" s="194"/>
      <c r="WVL31" s="194"/>
      <c r="WVM31" s="194"/>
      <c r="WVN31" s="161"/>
      <c r="WVO31" s="194"/>
      <c r="WVP31" s="194"/>
      <c r="WVQ31" s="161"/>
      <c r="WVR31" s="194"/>
      <c r="WVS31" s="194"/>
      <c r="WVT31" s="194"/>
      <c r="WVU31" s="194"/>
      <c r="WVV31" s="194"/>
      <c r="WVW31" s="194"/>
      <c r="WVX31" s="161"/>
      <c r="WVY31" s="195"/>
      <c r="WVZ31" s="195"/>
      <c r="WWA31" s="161"/>
      <c r="WWB31" s="161"/>
      <c r="WWC31" s="161"/>
      <c r="WWD31" s="161"/>
      <c r="WWE31" s="196"/>
      <c r="WWF31" s="196"/>
      <c r="WWG31" s="192"/>
      <c r="WWH31" s="181"/>
      <c r="WWI31" s="180"/>
      <c r="WWJ31" s="197"/>
      <c r="WWK31" s="179"/>
      <c r="WWL31" s="196"/>
      <c r="WWM31" s="179"/>
      <c r="WWN31" s="196"/>
      <c r="WWO31" s="196"/>
      <c r="WWP31" s="161"/>
      <c r="WWQ31" s="193"/>
      <c r="WWR31" s="193"/>
      <c r="WWS31" s="194"/>
      <c r="WWT31" s="194"/>
      <c r="WWU31" s="194"/>
      <c r="WWV31" s="194"/>
      <c r="WWW31" s="194"/>
      <c r="WWX31" s="161"/>
      <c r="WWY31" s="161"/>
      <c r="WWZ31" s="194"/>
      <c r="WXA31" s="161"/>
      <c r="WXB31" s="193"/>
      <c r="WXC31" s="194"/>
      <c r="WXD31" s="161"/>
      <c r="WXE31" s="161"/>
      <c r="WXF31" s="161"/>
      <c r="WXG31" s="194"/>
      <c r="WXH31" s="194"/>
      <c r="WXI31" s="194"/>
      <c r="WXJ31" s="161"/>
      <c r="WXK31" s="194"/>
      <c r="WXL31" s="194"/>
      <c r="WXM31" s="161"/>
      <c r="WXN31" s="194"/>
      <c r="WXO31" s="194"/>
      <c r="WXP31" s="194"/>
      <c r="WXQ31" s="194"/>
      <c r="WXR31" s="194"/>
      <c r="WXS31" s="194"/>
      <c r="WXT31" s="161"/>
      <c r="WXU31" s="195"/>
      <c r="WXV31" s="195"/>
      <c r="WXW31" s="161"/>
      <c r="WXX31" s="161"/>
      <c r="WXY31" s="161"/>
      <c r="WXZ31" s="161"/>
      <c r="WYA31" s="196"/>
      <c r="WYB31" s="196"/>
      <c r="WYC31" s="192"/>
      <c r="WYD31" s="181"/>
      <c r="WYE31" s="180"/>
      <c r="WYF31" s="197"/>
      <c r="WYG31" s="179"/>
      <c r="WYH31" s="196"/>
      <c r="WYI31" s="179"/>
      <c r="WYJ31" s="196"/>
      <c r="WYK31" s="196"/>
      <c r="WYL31" s="161"/>
      <c r="WYM31" s="193"/>
      <c r="WYN31" s="193"/>
      <c r="WYO31" s="194"/>
      <c r="WYP31" s="194"/>
      <c r="WYQ31" s="194"/>
      <c r="WYR31" s="194"/>
      <c r="WYS31" s="194"/>
      <c r="WYT31" s="161"/>
      <c r="WYU31" s="161"/>
      <c r="WYV31" s="194"/>
      <c r="WYW31" s="161"/>
      <c r="WYX31" s="193"/>
      <c r="WYY31" s="194"/>
      <c r="WYZ31" s="161"/>
      <c r="WZA31" s="161"/>
      <c r="WZB31" s="161"/>
      <c r="WZC31" s="194"/>
      <c r="WZD31" s="194"/>
      <c r="WZE31" s="194"/>
      <c r="WZF31" s="161"/>
      <c r="WZG31" s="194"/>
      <c r="WZH31" s="194"/>
      <c r="WZI31" s="161"/>
      <c r="WZJ31" s="194"/>
      <c r="WZK31" s="194"/>
      <c r="WZL31" s="194"/>
      <c r="WZM31" s="194"/>
      <c r="WZN31" s="194"/>
      <c r="WZO31" s="194"/>
      <c r="WZP31" s="161"/>
      <c r="WZQ31" s="195"/>
      <c r="WZR31" s="195"/>
      <c r="WZS31" s="161"/>
      <c r="WZT31" s="161"/>
      <c r="WZU31" s="161"/>
      <c r="WZV31" s="161"/>
      <c r="WZW31" s="196"/>
      <c r="WZX31" s="196"/>
      <c r="WZY31" s="192"/>
      <c r="WZZ31" s="181"/>
      <c r="XAA31" s="180"/>
      <c r="XAB31" s="197"/>
      <c r="XAC31" s="179"/>
      <c r="XAD31" s="196"/>
      <c r="XAE31" s="179"/>
      <c r="XAF31" s="196"/>
      <c r="XAG31" s="196"/>
      <c r="XAH31" s="161"/>
      <c r="XAI31" s="193"/>
      <c r="XAJ31" s="193"/>
      <c r="XAK31" s="194"/>
      <c r="XAL31" s="194"/>
      <c r="XAM31" s="194"/>
      <c r="XAN31" s="194"/>
      <c r="XAO31" s="194"/>
      <c r="XAP31" s="161"/>
      <c r="XAQ31" s="161"/>
      <c r="XAR31" s="194"/>
      <c r="XAS31" s="161"/>
      <c r="XAT31" s="193"/>
      <c r="XAU31" s="194"/>
      <c r="XAV31" s="161"/>
      <c r="XAW31" s="161"/>
      <c r="XAX31" s="161"/>
      <c r="XAY31" s="194"/>
      <c r="XAZ31" s="194"/>
      <c r="XBA31" s="194"/>
      <c r="XBB31" s="161"/>
      <c r="XBC31" s="194"/>
      <c r="XBD31" s="194"/>
      <c r="XBE31" s="161"/>
      <c r="XBF31" s="194"/>
      <c r="XBG31" s="194"/>
      <c r="XBH31" s="194"/>
      <c r="XBI31" s="194"/>
      <c r="XBJ31" s="194"/>
      <c r="XBK31" s="194"/>
      <c r="XBL31" s="161"/>
      <c r="XBM31" s="195"/>
      <c r="XBN31" s="195"/>
      <c r="XBO31" s="161"/>
      <c r="XBP31" s="161"/>
      <c r="XBQ31" s="161"/>
      <c r="XBR31" s="161"/>
      <c r="XBS31" s="196"/>
      <c r="XBT31" s="196"/>
      <c r="XBU31" s="192"/>
      <c r="XBV31" s="181"/>
      <c r="XBW31" s="180"/>
      <c r="XBX31" s="197"/>
      <c r="XBY31" s="179"/>
      <c r="XBZ31" s="196"/>
      <c r="XCA31" s="179"/>
      <c r="XCB31" s="196"/>
      <c r="XCC31" s="196"/>
      <c r="XCD31" s="161"/>
      <c r="XCE31" s="193"/>
      <c r="XCF31" s="193"/>
      <c r="XCG31" s="194"/>
      <c r="XCH31" s="194"/>
      <c r="XCI31" s="194"/>
      <c r="XCJ31" s="194"/>
      <c r="XCK31" s="194"/>
      <c r="XCL31" s="161"/>
      <c r="XCM31" s="161"/>
      <c r="XCN31" s="194"/>
      <c r="XCO31" s="161"/>
      <c r="XCP31" s="193"/>
      <c r="XCQ31" s="194"/>
      <c r="XCR31" s="161"/>
      <c r="XCS31" s="161"/>
      <c r="XCT31" s="161"/>
      <c r="XCU31" s="194"/>
      <c r="XCV31" s="194"/>
      <c r="XCW31" s="194"/>
      <c r="XCX31" s="161"/>
      <c r="XCY31" s="194"/>
      <c r="XCZ31" s="194"/>
      <c r="XDA31" s="161"/>
      <c r="XDB31" s="194"/>
      <c r="XDC31" s="194"/>
      <c r="XDD31" s="194"/>
      <c r="XDE31" s="194"/>
      <c r="XDF31" s="194"/>
      <c r="XDG31" s="194"/>
      <c r="XDH31" s="161"/>
      <c r="XDI31" s="195"/>
      <c r="XDJ31" s="195"/>
      <c r="XDK31" s="161"/>
      <c r="XDL31" s="161"/>
      <c r="XDM31" s="161"/>
      <c r="XDN31" s="161"/>
      <c r="XDO31" s="196"/>
      <c r="XDP31" s="196"/>
      <c r="XDQ31" s="192"/>
      <c r="XDR31" s="181"/>
      <c r="XDS31" s="180"/>
      <c r="XDT31" s="197"/>
      <c r="XDU31" s="179"/>
      <c r="XDV31" s="196"/>
      <c r="XDW31" s="179"/>
      <c r="XDX31" s="196"/>
      <c r="XDY31" s="196"/>
      <c r="XDZ31" s="161"/>
      <c r="XEA31" s="193"/>
      <c r="XEB31" s="193"/>
      <c r="XEC31" s="194"/>
      <c r="XED31" s="194"/>
      <c r="XEE31" s="194"/>
      <c r="XEF31" s="194"/>
      <c r="XEG31" s="194"/>
      <c r="XEH31" s="161"/>
      <c r="XEI31" s="161"/>
      <c r="XEJ31" s="194"/>
      <c r="XEK31" s="161"/>
      <c r="XEL31" s="193"/>
      <c r="XEM31" s="194"/>
      <c r="XEN31" s="161"/>
      <c r="XEO31" s="161"/>
    </row>
    <row r="32" spans="1:16369" ht="72" customHeight="1">
      <c r="A32" s="234">
        <v>211</v>
      </c>
      <c r="B32" s="243">
        <v>46169.990219907399</v>
      </c>
      <c r="C32" s="243">
        <v>46169.994224536997</v>
      </c>
      <c r="D32" s="234" t="s">
        <v>124</v>
      </c>
      <c r="E32" s="234" t="s">
        <v>125</v>
      </c>
      <c r="F32" s="234" t="s">
        <v>2560</v>
      </c>
      <c r="G32" s="234" t="s">
        <v>74</v>
      </c>
      <c r="H32" s="234" t="s">
        <v>75</v>
      </c>
      <c r="I32" s="234" t="s">
        <v>76</v>
      </c>
      <c r="J32" s="260" t="s">
        <v>127</v>
      </c>
      <c r="K32" s="234" t="s">
        <v>2561</v>
      </c>
      <c r="L32" s="243" t="s">
        <v>56</v>
      </c>
      <c r="M32" s="243">
        <v>46209</v>
      </c>
      <c r="N32" s="234" t="s">
        <v>57</v>
      </c>
      <c r="O32" s="234">
        <v>0</v>
      </c>
      <c r="P32" s="234">
        <v>0</v>
      </c>
      <c r="Q32" s="260" t="s">
        <v>79</v>
      </c>
      <c r="R32" s="234" t="s">
        <v>80</v>
      </c>
      <c r="S32" s="234" t="s">
        <v>81</v>
      </c>
      <c r="T32" s="234" t="s">
        <v>360</v>
      </c>
      <c r="U32" s="260" t="s">
        <v>82</v>
      </c>
      <c r="V32" s="234" t="s">
        <v>63</v>
      </c>
      <c r="W32" s="234" t="s">
        <v>83</v>
      </c>
      <c r="X32" s="262" t="s">
        <v>84</v>
      </c>
      <c r="Y32" s="234" t="s">
        <v>131</v>
      </c>
      <c r="Z32" s="234" t="s">
        <v>2562</v>
      </c>
      <c r="AA32" s="234">
        <v>1.2</v>
      </c>
      <c r="AB32" s="250" t="s">
        <v>133</v>
      </c>
      <c r="AC32" s="250" t="s">
        <v>68</v>
      </c>
      <c r="AD32" s="250">
        <v>46170</v>
      </c>
      <c r="AE32" s="250" t="s">
        <v>3</v>
      </c>
      <c r="AF32" s="254">
        <v>46181</v>
      </c>
      <c r="AG32" s="254">
        <v>46195</v>
      </c>
      <c r="AH32" s="250"/>
      <c r="AI32" s="251"/>
      <c r="AJ32" s="252"/>
      <c r="AK32" s="253"/>
      <c r="AL32" s="252"/>
      <c r="AM32" s="250"/>
      <c r="AN32" s="250"/>
      <c r="AO32" s="250" t="s">
        <v>2563</v>
      </c>
      <c r="AP32" s="250" t="s">
        <v>2564</v>
      </c>
      <c r="AQ32" s="349"/>
      <c r="AR32" s="349"/>
      <c r="AS32" s="364"/>
      <c r="AT32" s="359"/>
      <c r="AU32" s="349"/>
      <c r="AV32" s="349"/>
      <c r="AW32" s="349"/>
      <c r="AX32" s="349"/>
      <c r="AY32" s="349"/>
      <c r="AZ32" s="349"/>
      <c r="BA32" s="349"/>
      <c r="BB32" s="254"/>
      <c r="BC32" s="250"/>
      <c r="BD32" s="388"/>
      <c r="BE32" s="389"/>
      <c r="BF32" s="390"/>
      <c r="BG32" s="161"/>
      <c r="BH32" s="161"/>
      <c r="BI32" s="194"/>
    </row>
    <row r="33" spans="1:152" ht="104.25" customHeight="1">
      <c r="A33" s="234">
        <v>153</v>
      </c>
      <c r="B33" s="243">
        <v>46153.723240740699</v>
      </c>
      <c r="C33" s="243">
        <v>46153.7434027778</v>
      </c>
      <c r="D33" s="234" t="s">
        <v>179</v>
      </c>
      <c r="E33" s="234" t="s">
        <v>180</v>
      </c>
      <c r="F33" s="234" t="s">
        <v>2565</v>
      </c>
      <c r="G33" s="234" t="s">
        <v>2566</v>
      </c>
      <c r="H33" s="234" t="s">
        <v>158</v>
      </c>
      <c r="I33" s="234" t="s">
        <v>393</v>
      </c>
      <c r="J33" s="260" t="s">
        <v>2567</v>
      </c>
      <c r="K33" s="234" t="s">
        <v>2568</v>
      </c>
      <c r="L33" s="243" t="s">
        <v>161</v>
      </c>
      <c r="M33" s="243">
        <v>46162</v>
      </c>
      <c r="N33" s="234" t="s">
        <v>57</v>
      </c>
      <c r="O33" s="234">
        <v>0</v>
      </c>
      <c r="P33" s="234"/>
      <c r="Q33" s="260" t="s">
        <v>79</v>
      </c>
      <c r="R33" s="234" t="s">
        <v>2569</v>
      </c>
      <c r="S33" s="234" t="s">
        <v>2570</v>
      </c>
      <c r="T33" s="234" t="s">
        <v>2571</v>
      </c>
      <c r="U33" s="260" t="s">
        <v>370</v>
      </c>
      <c r="V33" s="234" t="s">
        <v>63</v>
      </c>
      <c r="W33" s="234" t="s">
        <v>188</v>
      </c>
      <c r="X33" s="262" t="s">
        <v>166</v>
      </c>
      <c r="Y33" s="234" t="s">
        <v>2572</v>
      </c>
      <c r="Z33" s="234" t="s">
        <v>2573</v>
      </c>
      <c r="AA33" s="234">
        <v>0.9</v>
      </c>
      <c r="AB33" s="250" t="s">
        <v>390</v>
      </c>
      <c r="AC33" s="250" t="s">
        <v>68</v>
      </c>
      <c r="AD33" s="250">
        <v>46154</v>
      </c>
      <c r="AE33" s="250" t="s">
        <v>3</v>
      </c>
      <c r="AF33" s="254">
        <v>46167</v>
      </c>
      <c r="AG33" s="254">
        <v>46178</v>
      </c>
      <c r="AH33" s="250">
        <v>1</v>
      </c>
      <c r="AI33" s="251">
        <v>0</v>
      </c>
      <c r="AJ33" s="252">
        <v>0</v>
      </c>
      <c r="AK33" s="253" t="s">
        <v>2574</v>
      </c>
      <c r="AL33" s="252" t="s">
        <v>1867</v>
      </c>
      <c r="AM33" s="250" t="s">
        <v>2575</v>
      </c>
      <c r="AN33" s="250" t="s">
        <v>224</v>
      </c>
      <c r="AO33" s="250" t="s">
        <v>1716</v>
      </c>
      <c r="AP33" s="250" t="s">
        <v>2576</v>
      </c>
      <c r="AQ33" s="349"/>
      <c r="AR33" s="349"/>
      <c r="AS33" s="364"/>
      <c r="AT33" s="359"/>
      <c r="AU33" s="349"/>
      <c r="AV33" s="349"/>
      <c r="AW33" s="349"/>
      <c r="AX33" s="349"/>
      <c r="AY33" s="349"/>
      <c r="AZ33" s="349"/>
      <c r="BA33" s="349"/>
      <c r="BB33" s="254"/>
      <c r="BC33" s="384" t="s">
        <v>2577</v>
      </c>
      <c r="BD33" s="388"/>
      <c r="BE33" s="389"/>
      <c r="BF33" s="390"/>
      <c r="BG33" s="161"/>
      <c r="BH33" s="161"/>
      <c r="BI33" s="194"/>
      <c r="BX33" s="187"/>
      <c r="BY33" s="59"/>
      <c r="BZ33" s="59"/>
      <c r="CP33" s="59"/>
      <c r="CQ33" s="187"/>
      <c r="CX33" s="224"/>
      <c r="CY33" s="224"/>
      <c r="DJ33" s="224"/>
      <c r="EC33" s="187"/>
      <c r="ED33" s="59"/>
      <c r="EE33" s="59"/>
      <c r="EU33" s="59"/>
      <c r="EV33" s="187"/>
    </row>
    <row r="34" spans="1:152" ht="117" customHeight="1">
      <c r="A34" s="234">
        <v>156</v>
      </c>
      <c r="B34" s="243">
        <v>46153.7438078704</v>
      </c>
      <c r="C34" s="243">
        <v>46153.746921296297</v>
      </c>
      <c r="D34" s="234" t="s">
        <v>179</v>
      </c>
      <c r="E34" s="234" t="s">
        <v>180</v>
      </c>
      <c r="F34" s="234" t="s">
        <v>2578</v>
      </c>
      <c r="G34" s="234" t="s">
        <v>2579</v>
      </c>
      <c r="H34" s="234" t="s">
        <v>158</v>
      </c>
      <c r="I34" s="234" t="s">
        <v>393</v>
      </c>
      <c r="J34" s="260" t="s">
        <v>2567</v>
      </c>
      <c r="K34" s="234" t="s">
        <v>2580</v>
      </c>
      <c r="L34" s="243" t="s">
        <v>184</v>
      </c>
      <c r="M34" s="243">
        <v>46162</v>
      </c>
      <c r="N34" s="234" t="s">
        <v>57</v>
      </c>
      <c r="O34" s="234">
        <v>0</v>
      </c>
      <c r="P34" s="234"/>
      <c r="Q34" s="260" t="s">
        <v>79</v>
      </c>
      <c r="R34" s="234" t="s">
        <v>2581</v>
      </c>
      <c r="S34" s="234" t="s">
        <v>2582</v>
      </c>
      <c r="T34" s="234" t="s">
        <v>2583</v>
      </c>
      <c r="U34" s="260" t="s">
        <v>370</v>
      </c>
      <c r="V34" s="234" t="s">
        <v>63</v>
      </c>
      <c r="W34" s="234" t="s">
        <v>188</v>
      </c>
      <c r="X34" s="262" t="s">
        <v>166</v>
      </c>
      <c r="Y34" s="234" t="s">
        <v>2584</v>
      </c>
      <c r="Z34" s="234" t="s">
        <v>2585</v>
      </c>
      <c r="AA34" s="234">
        <v>0.9</v>
      </c>
      <c r="AB34" s="250" t="s">
        <v>390</v>
      </c>
      <c r="AC34" s="250" t="s">
        <v>68</v>
      </c>
      <c r="AD34" s="250">
        <v>46155</v>
      </c>
      <c r="AE34" s="250" t="s">
        <v>3</v>
      </c>
      <c r="AF34" s="254">
        <v>3</v>
      </c>
      <c r="AG34" s="254">
        <v>46178</v>
      </c>
      <c r="AH34" s="250"/>
      <c r="AI34" s="251"/>
      <c r="AJ34" s="252"/>
      <c r="AK34" s="253"/>
      <c r="AL34" s="252"/>
      <c r="AM34" s="250"/>
      <c r="AN34" s="250"/>
      <c r="AO34" s="250" t="s">
        <v>253</v>
      </c>
      <c r="AP34" s="250" t="s">
        <v>2586</v>
      </c>
      <c r="AQ34" s="349"/>
      <c r="AR34" s="349"/>
      <c r="AS34" s="364"/>
      <c r="AT34" s="359"/>
      <c r="AU34" s="349"/>
      <c r="AV34" s="349"/>
      <c r="AW34" s="349"/>
      <c r="AX34" s="349"/>
      <c r="AY34" s="349"/>
      <c r="AZ34" s="349"/>
      <c r="BA34" s="349"/>
      <c r="BB34" s="254"/>
      <c r="BC34" s="384" t="s">
        <v>2577</v>
      </c>
      <c r="BD34" s="388"/>
      <c r="BE34" s="389"/>
      <c r="BF34" s="390"/>
      <c r="BG34" s="161"/>
      <c r="BH34" s="161"/>
      <c r="BI34" s="194"/>
    </row>
  </sheetData>
  <sheetProtection algorithmName="SHA-512" hashValue="/mc/nG5/IGQw+X4NSOW42W9EJvTmSbTsUlhDPEJgX3/WORzoEoeRQoPUdu5XGcS7aJXTKP7epq5dWmUP2GuneQ==" saltValue="naIIvStorzc3SVqVQWdY4w==" spinCount="100000" sheet="1" objects="1" scenarios="1"/>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algorithmName="SHA-512" hashValue="22rEZDOLaaAzExp0xxQCGNby3L6gXjGHIg9yH60f4Eq8XFziCgY0/JIYc2E2Nq4g+VRVZfuCR88Vp60KM5L1Fw==" saltValue="qJpW/Ecdk5+EDugQ3hU7fw==" spinCount="100000" sqref="Z1 W1" name="Rango1_2_3"/>
  </protectedRanges>
  <dataValidations count="4">
    <dataValidation type="list" allowBlank="1" showInputMessage="1" showErrorMessage="1" sqref="AE14 AE29:AE30" xr:uid="{9813261A-4EE1-4CDE-8AFE-EEB545C5D8DA}">
      <formula1>ComplejidadEstimación</formula1>
    </dataValidation>
    <dataValidation type="list" allowBlank="1" showInputMessage="1" showErrorMessage="1" errorTitle="Valor no válido" error="Por favor seleccione una opción de la lista: Pendiente o Finalizado" sqref="AZ2:AZ34" xr:uid="{E2B4B738-5EF1-42CD-A5DA-1951A66916D2}">
      <formula1>"Pendiente,Finalizado"</formula1>
    </dataValidation>
    <dataValidation type="list" allowBlank="1" showInputMessage="1" showErrorMessage="1" errorTitle="Valor no válido" error="Por favor seleccione una opción de la lista: Baja o Media." sqref="AR2:AR34" xr:uid="{A584ADC0-57AB-4215-8E33-61C8A60658AF}">
      <formula1>"Baja,Media"</formula1>
    </dataValidation>
    <dataValidation type="list" allowBlank="1" showInputMessage="1" showErrorMessage="1" errorTitle="Valor no válido" error="Por favor seleccione una opción de la lista desplegable." sqref="AQ2:AQ34" xr:uid="{5AAB9ACA-5B30-47ED-9BC4-2ECC7A54C581}">
      <formula1>"Estimación incompleta,Ajuste del alcance,Otro"</formula1>
    </dataValidation>
  </dataValidations>
  <hyperlinks>
    <hyperlink ref="Z6"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F5CC07E76C8CC4C92342016432D39A7" ma:contentTypeVersion="16" ma:contentTypeDescription="Crear nuevo documento." ma:contentTypeScope="" ma:versionID="b3223834551ad4470b7dac1b6c3119f9">
  <xsd:schema xmlns:xsd="http://www.w3.org/2001/XMLSchema" xmlns:xs="http://www.w3.org/2001/XMLSchema" xmlns:p="http://schemas.microsoft.com/office/2006/metadata/properties" xmlns:ns2="bbbcebc0-debb-4c52-b60f-331cb1c19ba2" xmlns:ns3="72ee4bb3-2990-4bdf-aa7b-0a6147bbc927" xmlns:ns4="366cce6f-499f-4568-8daf-a3a279448f14" targetNamespace="http://schemas.microsoft.com/office/2006/metadata/properties" ma:root="true" ma:fieldsID="baf073382fad8a5f2f2ff88a23d4ae36" ns2:_="" ns3:_="" ns4:_="">
    <xsd:import namespace="bbbcebc0-debb-4c52-b60f-331cb1c19ba2"/>
    <xsd:import namespace="72ee4bb3-2990-4bdf-aa7b-0a6147bbc927"/>
    <xsd:import namespace="366cce6f-499f-4568-8daf-a3a279448f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bcebc0-debb-4c52-b60f-331cb1c19b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e4bb3-2990-4bdf-aa7b-0a6147bbc927"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6cce6f-499f-4568-8daf-a3a279448f1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d533eb5-3794-4ce5-af51-ac253266f2a5}" ma:internalName="TaxCatchAll" ma:showField="CatchAllData" ma:web="366cce6f-499f-4568-8daf-a3a279448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66cce6f-499f-4568-8daf-a3a279448f14" xsi:nil="true"/>
    <lcf76f155ced4ddcb4097134ff3c332f xmlns="bbbcebc0-debb-4c52-b60f-331cb1c19ba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DB7B65-459C-4916-A910-4E1AF376932E}"/>
</file>

<file path=customXml/itemProps2.xml><?xml version="1.0" encoding="utf-8"?>
<ds:datastoreItem xmlns:ds="http://schemas.openxmlformats.org/officeDocument/2006/customXml" ds:itemID="{D37E9530-7C32-4FC1-BD8A-2EE692AF2BC2}"/>
</file>

<file path=customXml/itemProps3.xml><?xml version="1.0" encoding="utf-8"?>
<ds:datastoreItem xmlns:ds="http://schemas.openxmlformats.org/officeDocument/2006/customXml" ds:itemID="{A591C435-4F4C-4B78-95F5-6D79AB2295AC}"/>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2026-06-17T14:19:54Z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0x010100FF5CC07E76C8CC4C92342016432D39A7</vt:lpwstr>
  </property>
  <property fmtid="{D5CDD505-2E9C-101B-9397-08002B2CF9AE}" pid="3" name="MediaServiceImageTags">
    <vt:lpwstr/>
  </property>
</Properties>
</file>